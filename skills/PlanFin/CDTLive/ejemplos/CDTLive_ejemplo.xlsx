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DP~1\AppData\Local\Temp\cdt_clean\"/>
    </mc:Choice>
  </mc:AlternateContent>
  <xr:revisionPtr revIDLastSave="0" documentId="13_ncr:1_{BEE3D83C-6622-4599-AF6C-42CD1FD28C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" sheetId="1" r:id="rId1"/>
    <sheet name="Controles" sheetId="2" r:id="rId2"/>
    <sheet name="Parametros" sheetId="3" r:id="rId3"/>
    <sheet name="Tasas" sheetId="4" r:id="rId4"/>
    <sheet name="Simulacion" sheetId="5" r:id="rId5"/>
    <sheet name="Flujo_Mejor" sheetId="6" r:id="rId6"/>
    <sheet name="Ahorro" sheetId="7" r:id="rId7"/>
    <sheet name="Referencias" sheetId="8" r:id="rId8"/>
    <sheet name="Fuentes" sheetId="9" r:id="rId9"/>
  </sheets>
  <definedNames>
    <definedName name="BaseDias">Parametros!$C$11</definedName>
    <definedName name="ChequeoPlazo">Parametros!$C$10</definedName>
    <definedName name="CoberturaFogafin">Parametros!$C$15</definedName>
    <definedName name="DiasPeriodo">Parametros!$C$8</definedName>
    <definedName name="DifSistemaMejor">Flujo_Mejor!$C$15</definedName>
    <definedName name="FechaConsulta">Parametros!$C$17</definedName>
    <definedName name="FechaCorte">Parametros!$C$16</definedName>
    <definedName name="IBR3M">Parametros!$C$19</definedName>
    <definedName name="IPC12m">Parametros!$C$13</definedName>
    <definedName name="MejorEntidad">Flujo_Mejor!$C$4</definedName>
    <definedName name="MejorInteresNeto">Flujo_Mejor!$C$13</definedName>
    <definedName name="ModeloOK">Controles!$C$17</definedName>
    <definedName name="Monto">Parametros!$C$5</definedName>
    <definedName name="NPer">Parametros!$C$9</definedName>
    <definedName name="Periodicidad">Parametros!$C$7</definedName>
    <definedName name="PlazoDias">Parametros!$C$6</definedName>
    <definedName name="PromedioSistema">Parametros!$C$14</definedName>
    <definedName name="RentNetaMejor">Flujo_Mejor!$C$9</definedName>
    <definedName name="RentRealMejor">Flujo_Mejor!$C$14</definedName>
    <definedName name="Retencion">Parametros!$C$12</definedName>
    <definedName name="SumXfd">Flujo_Mejor!$C$10</definedName>
    <definedName name="TasaMejor">Flujo_Mejor!$C$5</definedName>
    <definedName name="TasaPerMejor">Flujo_Mejor!$C$6</definedName>
    <definedName name="TIREA">Flujo_Mejor!$C$8</definedName>
    <definedName name="TIRPer">Flujo_Mejor!$C$7</definedName>
    <definedName name="TPM">Parametros!$C$18</definedName>
    <definedName name="ValidaTIR">Flujo_Mejor!$C$12</definedName>
    <definedName name="ValidaXfd">Flujo_Mejor!$C$11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7" l="1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F6" i="7"/>
  <c r="G6" i="7" s="1"/>
  <c r="F5" i="7"/>
  <c r="G5" i="7" s="1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C19" i="6"/>
  <c r="D29" i="5"/>
  <c r="N29" i="5" s="1"/>
  <c r="D28" i="5"/>
  <c r="N28" i="5" s="1"/>
  <c r="D27" i="5"/>
  <c r="N27" i="5" s="1"/>
  <c r="D26" i="5"/>
  <c r="N26" i="5" s="1"/>
  <c r="D25" i="5"/>
  <c r="N25" i="5" s="1"/>
  <c r="D24" i="5"/>
  <c r="N24" i="5" s="1"/>
  <c r="D23" i="5"/>
  <c r="N23" i="5" s="1"/>
  <c r="D22" i="5"/>
  <c r="N22" i="5" s="1"/>
  <c r="D21" i="5"/>
  <c r="N21" i="5" s="1"/>
  <c r="D20" i="5"/>
  <c r="N20" i="5" s="1"/>
  <c r="D19" i="5"/>
  <c r="D18" i="5"/>
  <c r="N18" i="5" s="1"/>
  <c r="D17" i="5"/>
  <c r="N17" i="5" s="1"/>
  <c r="D16" i="5"/>
  <c r="N16" i="5" s="1"/>
  <c r="D15" i="5"/>
  <c r="N15" i="5" s="1"/>
  <c r="D14" i="5"/>
  <c r="N14" i="5" s="1"/>
  <c r="D13" i="5"/>
  <c r="N13" i="5" s="1"/>
  <c r="D12" i="5"/>
  <c r="N12" i="5" s="1"/>
  <c r="D11" i="5"/>
  <c r="N11" i="5" s="1"/>
  <c r="D10" i="5"/>
  <c r="N10" i="5" s="1"/>
  <c r="D9" i="5"/>
  <c r="N9" i="5" s="1"/>
  <c r="D8" i="5"/>
  <c r="N8" i="5" s="1"/>
  <c r="D7" i="5"/>
  <c r="N7" i="5" s="1"/>
  <c r="D6" i="5"/>
  <c r="N6" i="5" s="1"/>
  <c r="D5" i="5"/>
  <c r="N5" i="5" s="1"/>
  <c r="C8" i="3"/>
  <c r="D12" i="2"/>
  <c r="D11" i="2"/>
  <c r="E32" i="1"/>
  <c r="D32" i="1"/>
  <c r="E31" i="1"/>
  <c r="D31" i="1"/>
  <c r="D30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B3" i="1"/>
  <c r="E19" i="6" l="1"/>
  <c r="N19" i="5"/>
  <c r="D9" i="2"/>
  <c r="E30" i="1"/>
  <c r="O9" i="5"/>
  <c r="O29" i="5"/>
  <c r="E29" i="5"/>
  <c r="O22" i="5"/>
  <c r="E15" i="5"/>
  <c r="O14" i="5"/>
  <c r="E14" i="5"/>
  <c r="O10" i="5"/>
  <c r="E10" i="5"/>
  <c r="E27" i="5"/>
  <c r="O26" i="5"/>
  <c r="E26" i="5"/>
  <c r="O25" i="5"/>
  <c r="O27" i="5"/>
  <c r="E25" i="5"/>
  <c r="O24" i="5"/>
  <c r="E23" i="5"/>
  <c r="G23" i="5" s="1"/>
  <c r="E24" i="5"/>
  <c r="O23" i="5"/>
  <c r="L23" i="5"/>
  <c r="E8" i="5"/>
  <c r="O13" i="5"/>
  <c r="E13" i="5"/>
  <c r="O12" i="5"/>
  <c r="E7" i="5"/>
  <c r="E9" i="5"/>
  <c r="O8" i="5"/>
  <c r="O7" i="5"/>
  <c r="O6" i="5"/>
  <c r="E22" i="5"/>
  <c r="O21" i="5"/>
  <c r="E6" i="5"/>
  <c r="E21" i="5"/>
  <c r="O20" i="5"/>
  <c r="O5" i="5"/>
  <c r="E20" i="5"/>
  <c r="O19" i="5"/>
  <c r="C9" i="3"/>
  <c r="C10" i="3" s="1"/>
  <c r="D7" i="2" s="1"/>
  <c r="E19" i="5"/>
  <c r="O18" i="5"/>
  <c r="O28" i="5"/>
  <c r="E18" i="5"/>
  <c r="O17" i="5"/>
  <c r="E28" i="5"/>
  <c r="E17" i="5"/>
  <c r="O16" i="5"/>
  <c r="E12" i="5"/>
  <c r="E16" i="5"/>
  <c r="O15" i="5"/>
  <c r="O11" i="5"/>
  <c r="E11" i="5"/>
  <c r="G11" i="5" s="1"/>
  <c r="L11" i="5"/>
  <c r="E5" i="5"/>
  <c r="L5" i="5" s="1"/>
  <c r="G6" i="5" l="1"/>
  <c r="L6" i="5"/>
  <c r="G15" i="5"/>
  <c r="L15" i="5"/>
  <c r="M15" i="5" s="1"/>
  <c r="G10" i="5"/>
  <c r="L10" i="5"/>
  <c r="G27" i="5"/>
  <c r="L27" i="5"/>
  <c r="G12" i="5"/>
  <c r="L12" i="5"/>
  <c r="M6" i="5"/>
  <c r="H17" i="1" s="1"/>
  <c r="F17" i="1"/>
  <c r="M27" i="5"/>
  <c r="M23" i="5"/>
  <c r="M12" i="5"/>
  <c r="H23" i="1" s="1"/>
  <c r="F23" i="1"/>
  <c r="M5" i="5"/>
  <c r="H16" i="1" s="1"/>
  <c r="F16" i="1"/>
  <c r="F9" i="5"/>
  <c r="C25" i="6"/>
  <c r="E25" i="6" s="1"/>
  <c r="C27" i="6"/>
  <c r="E27" i="6" s="1"/>
  <c r="C29" i="6"/>
  <c r="E29" i="6" s="1"/>
  <c r="C32" i="6"/>
  <c r="E32" i="6" s="1"/>
  <c r="C33" i="6"/>
  <c r="E33" i="6" s="1"/>
  <c r="C34" i="6"/>
  <c r="E34" i="6" s="1"/>
  <c r="C41" i="6"/>
  <c r="E41" i="6" s="1"/>
  <c r="C51" i="6"/>
  <c r="E51" i="6" s="1"/>
  <c r="C53" i="6"/>
  <c r="E53" i="6" s="1"/>
  <c r="F10" i="5"/>
  <c r="F12" i="5"/>
  <c r="F13" i="5"/>
  <c r="F15" i="5"/>
  <c r="F17" i="5"/>
  <c r="F18" i="5"/>
  <c r="F19" i="5"/>
  <c r="F20" i="5"/>
  <c r="F21" i="5"/>
  <c r="F22" i="5"/>
  <c r="F5" i="5"/>
  <c r="F16" i="5"/>
  <c r="F23" i="5"/>
  <c r="H23" i="5" s="1"/>
  <c r="F24" i="5"/>
  <c r="F25" i="5"/>
  <c r="F26" i="5"/>
  <c r="F27" i="5"/>
  <c r="F7" i="5"/>
  <c r="F29" i="5"/>
  <c r="C21" i="6"/>
  <c r="E21" i="6" s="1"/>
  <c r="C22" i="6"/>
  <c r="E22" i="6" s="1"/>
  <c r="C23" i="6"/>
  <c r="E23" i="6" s="1"/>
  <c r="F6" i="5"/>
  <c r="H6" i="5" s="1"/>
  <c r="F8" i="5"/>
  <c r="F11" i="5"/>
  <c r="H11" i="5" s="1"/>
  <c r="F14" i="5"/>
  <c r="F28" i="5"/>
  <c r="C24" i="6"/>
  <c r="E24" i="6" s="1"/>
  <c r="C26" i="6"/>
  <c r="E26" i="6" s="1"/>
  <c r="C28" i="6"/>
  <c r="E28" i="6" s="1"/>
  <c r="C30" i="6"/>
  <c r="E30" i="6" s="1"/>
  <c r="C31" i="6"/>
  <c r="E31" i="6" s="1"/>
  <c r="C35" i="6"/>
  <c r="E35" i="6" s="1"/>
  <c r="C36" i="6"/>
  <c r="E36" i="6" s="1"/>
  <c r="C37" i="6"/>
  <c r="E37" i="6" s="1"/>
  <c r="C38" i="6"/>
  <c r="E38" i="6" s="1"/>
  <c r="C39" i="6"/>
  <c r="E39" i="6" s="1"/>
  <c r="C40" i="6"/>
  <c r="E40" i="6" s="1"/>
  <c r="C42" i="6"/>
  <c r="E42" i="6" s="1"/>
  <c r="C43" i="6"/>
  <c r="E43" i="6" s="1"/>
  <c r="C44" i="6"/>
  <c r="E44" i="6" s="1"/>
  <c r="C45" i="6"/>
  <c r="E45" i="6" s="1"/>
  <c r="C46" i="6"/>
  <c r="E46" i="6" s="1"/>
  <c r="C47" i="6"/>
  <c r="E47" i="6" s="1"/>
  <c r="C48" i="6"/>
  <c r="E48" i="6" s="1"/>
  <c r="C49" i="6"/>
  <c r="E49" i="6" s="1"/>
  <c r="C50" i="6"/>
  <c r="E50" i="6" s="1"/>
  <c r="C52" i="6"/>
  <c r="E52" i="6" s="1"/>
  <c r="C54" i="6"/>
  <c r="E54" i="6" s="1"/>
  <c r="C55" i="6"/>
  <c r="E55" i="6" s="1"/>
  <c r="C56" i="6"/>
  <c r="E56" i="6" s="1"/>
  <c r="C57" i="6"/>
  <c r="E57" i="6" s="1"/>
  <c r="C58" i="6"/>
  <c r="E58" i="6" s="1"/>
  <c r="C59" i="6"/>
  <c r="E59" i="6" s="1"/>
  <c r="C60" i="6"/>
  <c r="E60" i="6" s="1"/>
  <c r="C61" i="6"/>
  <c r="E61" i="6" s="1"/>
  <c r="C62" i="6"/>
  <c r="E62" i="6" s="1"/>
  <c r="C63" i="6"/>
  <c r="E63" i="6" s="1"/>
  <c r="C64" i="6"/>
  <c r="E64" i="6" s="1"/>
  <c r="C65" i="6"/>
  <c r="E65" i="6" s="1"/>
  <c r="C66" i="6"/>
  <c r="E66" i="6" s="1"/>
  <c r="C67" i="6"/>
  <c r="E67" i="6" s="1"/>
  <c r="C68" i="6"/>
  <c r="E68" i="6" s="1"/>
  <c r="C69" i="6"/>
  <c r="E69" i="6" s="1"/>
  <c r="C70" i="6"/>
  <c r="E70" i="6" s="1"/>
  <c r="C71" i="6"/>
  <c r="E71" i="6" s="1"/>
  <c r="C72" i="6"/>
  <c r="E72" i="6" s="1"/>
  <c r="C73" i="6"/>
  <c r="E73" i="6" s="1"/>
  <c r="C74" i="6"/>
  <c r="E74" i="6" s="1"/>
  <c r="C75" i="6"/>
  <c r="E75" i="6" s="1"/>
  <c r="C76" i="6"/>
  <c r="E76" i="6" s="1"/>
  <c r="C77" i="6"/>
  <c r="E77" i="6" s="1"/>
  <c r="C78" i="6"/>
  <c r="E78" i="6" s="1"/>
  <c r="C79" i="6"/>
  <c r="E79" i="6" s="1"/>
  <c r="F22" i="1"/>
  <c r="M11" i="5"/>
  <c r="H22" i="1" s="1"/>
  <c r="G5" i="5"/>
  <c r="G29" i="5"/>
  <c r="L29" i="5"/>
  <c r="G14" i="5"/>
  <c r="L14" i="5"/>
  <c r="G26" i="5"/>
  <c r="L26" i="5"/>
  <c r="G25" i="5"/>
  <c r="L25" i="5"/>
  <c r="G24" i="5"/>
  <c r="L24" i="5"/>
  <c r="G8" i="5"/>
  <c r="L8" i="5"/>
  <c r="G13" i="5"/>
  <c r="L13" i="5"/>
  <c r="G7" i="5"/>
  <c r="L7" i="5"/>
  <c r="G9" i="5"/>
  <c r="L9" i="5"/>
  <c r="G22" i="5"/>
  <c r="L22" i="5"/>
  <c r="G21" i="5"/>
  <c r="L21" i="5"/>
  <c r="G20" i="5"/>
  <c r="L20" i="5"/>
  <c r="G19" i="5"/>
  <c r="L19" i="5"/>
  <c r="G18" i="5"/>
  <c r="L18" i="5"/>
  <c r="G28" i="5"/>
  <c r="L28" i="5"/>
  <c r="G17" i="5"/>
  <c r="L17" i="5"/>
  <c r="G16" i="5"/>
  <c r="L16" i="5"/>
  <c r="F30" i="1" l="1"/>
  <c r="H10" i="5"/>
  <c r="I10" i="5" s="1"/>
  <c r="J10" i="5" s="1"/>
  <c r="H12" i="5"/>
  <c r="I12" i="5" s="1"/>
  <c r="J12" i="5" s="1"/>
  <c r="H15" i="5"/>
  <c r="I15" i="5" s="1"/>
  <c r="J15" i="5" s="1"/>
  <c r="K15" i="5" s="1"/>
  <c r="P15" i="5" s="1"/>
  <c r="H27" i="5"/>
  <c r="I27" i="5" s="1"/>
  <c r="J27" i="5" s="1"/>
  <c r="K27" i="5" s="1"/>
  <c r="P27" i="5" s="1"/>
  <c r="H5" i="5"/>
  <c r="F31" i="1"/>
  <c r="M10" i="5"/>
  <c r="H21" i="1" s="1"/>
  <c r="F21" i="1"/>
  <c r="H9" i="5"/>
  <c r="I9" i="5" s="1"/>
  <c r="J9" i="5" s="1"/>
  <c r="H13" i="5"/>
  <c r="H17" i="5"/>
  <c r="I17" i="5" s="1"/>
  <c r="J17" i="5" s="1"/>
  <c r="K17" i="5" s="1"/>
  <c r="P17" i="5" s="1"/>
  <c r="H18" i="5"/>
  <c r="I18" i="5" s="1"/>
  <c r="J18" i="5" s="1"/>
  <c r="K18" i="5" s="1"/>
  <c r="P18" i="5" s="1"/>
  <c r="H19" i="5"/>
  <c r="H20" i="5"/>
  <c r="I20" i="5" s="1"/>
  <c r="J20" i="5" s="1"/>
  <c r="K20" i="5" s="1"/>
  <c r="P20" i="5" s="1"/>
  <c r="H21" i="5"/>
  <c r="I21" i="5" s="1"/>
  <c r="J21" i="5" s="1"/>
  <c r="K21" i="5" s="1"/>
  <c r="P21" i="5" s="1"/>
  <c r="H22" i="5"/>
  <c r="I22" i="5" s="1"/>
  <c r="J22" i="5" s="1"/>
  <c r="K22" i="5" s="1"/>
  <c r="P22" i="5" s="1"/>
  <c r="H16" i="5"/>
  <c r="H24" i="5"/>
  <c r="I24" i="5" s="1"/>
  <c r="J24" i="5" s="1"/>
  <c r="K24" i="5" s="1"/>
  <c r="P24" i="5" s="1"/>
  <c r="H25" i="5"/>
  <c r="I25" i="5" s="1"/>
  <c r="J25" i="5" s="1"/>
  <c r="K25" i="5" s="1"/>
  <c r="P25" i="5" s="1"/>
  <c r="H26" i="5"/>
  <c r="I26" i="5" s="1"/>
  <c r="J26" i="5" s="1"/>
  <c r="K26" i="5" s="1"/>
  <c r="P26" i="5" s="1"/>
  <c r="H7" i="5"/>
  <c r="H29" i="5"/>
  <c r="I29" i="5" s="1"/>
  <c r="J29" i="5" s="1"/>
  <c r="K29" i="5" s="1"/>
  <c r="P29" i="5" s="1"/>
  <c r="H8" i="5"/>
  <c r="H14" i="5"/>
  <c r="I14" i="5" s="1"/>
  <c r="J14" i="5" s="1"/>
  <c r="H28" i="5"/>
  <c r="I28" i="5" s="1"/>
  <c r="J28" i="5" s="1"/>
  <c r="K28" i="5" s="1"/>
  <c r="P28" i="5" s="1"/>
  <c r="I23" i="5"/>
  <c r="J23" i="5" s="1"/>
  <c r="K23" i="5" s="1"/>
  <c r="P23" i="5" s="1"/>
  <c r="I6" i="5"/>
  <c r="J6" i="5" s="1"/>
  <c r="Q29" i="5"/>
  <c r="M29" i="5"/>
  <c r="Q14" i="5"/>
  <c r="F25" i="1"/>
  <c r="M14" i="5"/>
  <c r="H25" i="1" s="1"/>
  <c r="Q26" i="5"/>
  <c r="M26" i="5"/>
  <c r="Q25" i="5"/>
  <c r="M25" i="5"/>
  <c r="Q24" i="5"/>
  <c r="M24" i="5"/>
  <c r="Q8" i="5"/>
  <c r="M8" i="5"/>
  <c r="H19" i="1" s="1"/>
  <c r="F19" i="1"/>
  <c r="F24" i="1"/>
  <c r="Q13" i="5"/>
  <c r="M13" i="5"/>
  <c r="H24" i="1" s="1"/>
  <c r="F18" i="1"/>
  <c r="M7" i="5"/>
  <c r="H18" i="1" s="1"/>
  <c r="Q7" i="5"/>
  <c r="Q9" i="5"/>
  <c r="M9" i="5"/>
  <c r="H20" i="1" s="1"/>
  <c r="F20" i="1"/>
  <c r="M22" i="5"/>
  <c r="Q22" i="5"/>
  <c r="Q21" i="5"/>
  <c r="M21" i="5"/>
  <c r="Q20" i="5"/>
  <c r="M20" i="5"/>
  <c r="Q19" i="5"/>
  <c r="M19" i="5"/>
  <c r="Q18" i="5"/>
  <c r="M18" i="5"/>
  <c r="Q28" i="5"/>
  <c r="M28" i="5"/>
  <c r="Q17" i="5"/>
  <c r="M17" i="5"/>
  <c r="M16" i="5"/>
  <c r="Q16" i="5"/>
  <c r="I11" i="5"/>
  <c r="J11" i="5" s="1"/>
  <c r="Q6" i="5"/>
  <c r="F32" i="1"/>
  <c r="Q27" i="5"/>
  <c r="Q23" i="5"/>
  <c r="Q12" i="5"/>
  <c r="Q5" i="5"/>
  <c r="Q15" i="5"/>
  <c r="Q11" i="5"/>
  <c r="Q10" i="5"/>
  <c r="K12" i="5" l="1"/>
  <c r="P12" i="5" s="1"/>
  <c r="I23" i="1" s="1"/>
  <c r="G23" i="1"/>
  <c r="I5" i="5"/>
  <c r="J5" i="5"/>
  <c r="I13" i="5"/>
  <c r="J13" i="5"/>
  <c r="I19" i="5"/>
  <c r="J19" i="5" s="1"/>
  <c r="K19" i="5" s="1"/>
  <c r="P19" i="5" s="1"/>
  <c r="I16" i="5"/>
  <c r="J16" i="5"/>
  <c r="K16" i="5" s="1"/>
  <c r="P16" i="5" s="1"/>
  <c r="I7" i="5"/>
  <c r="J7" i="5"/>
  <c r="I8" i="5"/>
  <c r="J8" i="5"/>
  <c r="K9" i="5"/>
  <c r="P9" i="5" s="1"/>
  <c r="I20" i="1" s="1"/>
  <c r="G20" i="1"/>
  <c r="K10" i="5"/>
  <c r="P10" i="5" s="1"/>
  <c r="I21" i="1" s="1"/>
  <c r="G21" i="1"/>
  <c r="K6" i="5"/>
  <c r="P6" i="5" s="1"/>
  <c r="I17" i="1" s="1"/>
  <c r="G17" i="1"/>
  <c r="G25" i="1"/>
  <c r="K14" i="5"/>
  <c r="P14" i="5" s="1"/>
  <c r="I25" i="1" s="1"/>
  <c r="K11" i="5"/>
  <c r="P11" i="5" s="1"/>
  <c r="I22" i="1" s="1"/>
  <c r="G22" i="1"/>
  <c r="D10" i="2"/>
  <c r="C15" i="6"/>
  <c r="C14" i="6"/>
  <c r="C9" i="6"/>
  <c r="C5" i="6"/>
  <c r="C4" i="6"/>
  <c r="G18" i="1" l="1"/>
  <c r="K7" i="5"/>
  <c r="P7" i="5" s="1"/>
  <c r="I18" i="1" s="1"/>
  <c r="K8" i="5"/>
  <c r="P8" i="5" s="1"/>
  <c r="I19" i="1" s="1"/>
  <c r="G19" i="1"/>
  <c r="G16" i="1"/>
  <c r="K5" i="5"/>
  <c r="C13" i="6"/>
  <c r="K13" i="5"/>
  <c r="P13" i="5" s="1"/>
  <c r="I24" i="1" s="1"/>
  <c r="G24" i="1"/>
  <c r="J7" i="1"/>
  <c r="B11" i="1"/>
  <c r="H7" i="1"/>
  <c r="B12" i="1"/>
  <c r="C6" i="6"/>
  <c r="D7" i="1"/>
  <c r="B7" i="1"/>
  <c r="B10" i="1"/>
  <c r="H5" i="7" l="1"/>
  <c r="H7" i="7"/>
  <c r="H9" i="7"/>
  <c r="H11" i="7"/>
  <c r="H6" i="7"/>
  <c r="H8" i="7"/>
  <c r="H10" i="7"/>
  <c r="H12" i="7"/>
  <c r="H13" i="7"/>
  <c r="H14" i="7"/>
  <c r="H15" i="7"/>
  <c r="H16" i="7"/>
  <c r="H17" i="7"/>
  <c r="D13" i="2"/>
  <c r="P5" i="5"/>
  <c r="H18" i="7"/>
  <c r="H19" i="7"/>
  <c r="H20" i="7"/>
  <c r="H21" i="7"/>
  <c r="H22" i="7"/>
  <c r="H23" i="7"/>
  <c r="H24" i="7"/>
  <c r="H25" i="7"/>
  <c r="H26" i="7"/>
  <c r="F7" i="1"/>
  <c r="C20" i="6"/>
  <c r="E20" i="6" s="1"/>
  <c r="C7" i="6" s="1"/>
  <c r="I16" i="1" l="1"/>
  <c r="D8" i="2"/>
  <c r="C8" i="6"/>
  <c r="C12" i="6" s="1"/>
  <c r="D6" i="2" s="1"/>
  <c r="F19" i="6"/>
  <c r="G19" i="6" s="1"/>
  <c r="F20" i="6"/>
  <c r="G20" i="6" s="1"/>
  <c r="F21" i="6"/>
  <c r="G21" i="6" s="1"/>
  <c r="F22" i="6"/>
  <c r="G22" i="6" s="1"/>
  <c r="F23" i="6"/>
  <c r="G23" i="6" s="1"/>
  <c r="F24" i="6"/>
  <c r="G24" i="6" s="1"/>
  <c r="F25" i="6"/>
  <c r="G25" i="6" s="1"/>
  <c r="F26" i="6"/>
  <c r="G26" i="6" s="1"/>
  <c r="F27" i="6"/>
  <c r="G27" i="6" s="1"/>
  <c r="F28" i="6"/>
  <c r="G28" i="6" s="1"/>
  <c r="F29" i="6"/>
  <c r="G29" i="6" s="1"/>
  <c r="F31" i="6"/>
  <c r="G31" i="6" s="1"/>
  <c r="F32" i="6"/>
  <c r="G32" i="6" s="1"/>
  <c r="F33" i="6"/>
  <c r="G33" i="6" s="1"/>
  <c r="F34" i="6"/>
  <c r="G34" i="6" s="1"/>
  <c r="F35" i="6"/>
  <c r="G35" i="6" s="1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4" i="6"/>
  <c r="G44" i="6" s="1"/>
  <c r="F45" i="6"/>
  <c r="G45" i="6" s="1"/>
  <c r="F46" i="6"/>
  <c r="G46" i="6" s="1"/>
  <c r="F47" i="6"/>
  <c r="G47" i="6" s="1"/>
  <c r="F48" i="6"/>
  <c r="G48" i="6" s="1"/>
  <c r="F49" i="6"/>
  <c r="G49" i="6" s="1"/>
  <c r="F50" i="6"/>
  <c r="G50" i="6" s="1"/>
  <c r="F51" i="6"/>
  <c r="G51" i="6" s="1"/>
  <c r="F52" i="6"/>
  <c r="G52" i="6" s="1"/>
  <c r="F53" i="6"/>
  <c r="G53" i="6" s="1"/>
  <c r="F54" i="6"/>
  <c r="G54" i="6" s="1"/>
  <c r="F55" i="6"/>
  <c r="G55" i="6" s="1"/>
  <c r="F56" i="6"/>
  <c r="G56" i="6" s="1"/>
  <c r="F57" i="6"/>
  <c r="G57" i="6" s="1"/>
  <c r="F58" i="6"/>
  <c r="G58" i="6" s="1"/>
  <c r="F59" i="6"/>
  <c r="G59" i="6" s="1"/>
  <c r="F60" i="6"/>
  <c r="G60" i="6" s="1"/>
  <c r="F61" i="6"/>
  <c r="G61" i="6" s="1"/>
  <c r="F62" i="6"/>
  <c r="G62" i="6" s="1"/>
  <c r="F63" i="6"/>
  <c r="G63" i="6" s="1"/>
  <c r="F64" i="6"/>
  <c r="G64" i="6" s="1"/>
  <c r="F65" i="6"/>
  <c r="G65" i="6" s="1"/>
  <c r="F66" i="6"/>
  <c r="G66" i="6" s="1"/>
  <c r="F67" i="6"/>
  <c r="G67" i="6" s="1"/>
  <c r="F68" i="6"/>
  <c r="G68" i="6" s="1"/>
  <c r="F69" i="6"/>
  <c r="G69" i="6" s="1"/>
  <c r="F70" i="6"/>
  <c r="G70" i="6" s="1"/>
  <c r="F71" i="6"/>
  <c r="G71" i="6" s="1"/>
  <c r="F72" i="6"/>
  <c r="G72" i="6" s="1"/>
  <c r="F73" i="6"/>
  <c r="G73" i="6" s="1"/>
  <c r="F74" i="6"/>
  <c r="G74" i="6" s="1"/>
  <c r="F75" i="6"/>
  <c r="G75" i="6" s="1"/>
  <c r="F76" i="6"/>
  <c r="G76" i="6" s="1"/>
  <c r="F77" i="6"/>
  <c r="G77" i="6" s="1"/>
  <c r="F78" i="6"/>
  <c r="G78" i="6" s="1"/>
  <c r="F30" i="6"/>
  <c r="G30" i="6" s="1"/>
  <c r="F36" i="6"/>
  <c r="G36" i="6" s="1"/>
  <c r="F43" i="6"/>
  <c r="G43" i="6" s="1"/>
  <c r="F79" i="6"/>
  <c r="G79" i="6" s="1"/>
  <c r="C10" i="6" l="1"/>
  <c r="C11" i="6" l="1"/>
  <c r="L7" i="1" s="1"/>
  <c r="D5" i="2"/>
  <c r="C17" i="2" s="1"/>
  <c r="K3" i="1" s="1"/>
</calcChain>
</file>

<file path=xl/sharedStrings.xml><?xml version="1.0" encoding="utf-8"?>
<sst xmlns="http://schemas.openxmlformats.org/spreadsheetml/2006/main" count="577" uniqueCount="251">
  <si>
    <t>CDTLive · ¿Dónde rinde más un CDT hoy en Colombia?</t>
  </si>
  <si>
    <t>Estado del modelo</t>
  </si>
  <si>
    <t>PlanFin v1.0  ·  datos oficiales de Colombia  ·  linaje de cada cifra en la hoja Fuentes</t>
  </si>
  <si>
    <t>MEJOR ENTIDAD</t>
  </si>
  <si>
    <t>TASA EA BRUTA</t>
  </si>
  <si>
    <t>INTERÉS NETO (COP)</t>
  </si>
  <si>
    <t>RENTABILIDAD REAL EA</t>
  </si>
  <si>
    <t>VS PROMEDIO DEL SISTEMA</t>
  </si>
  <si>
    <t>CONTROL ΣXfd = 0</t>
  </si>
  <si>
    <t>HALLAZGOS</t>
  </si>
  <si>
    <t>RANKING · 10 MEJORES POR RENTABILIDAD NETA</t>
  </si>
  <si>
    <t>#</t>
  </si>
  <si>
    <t>ENTIDAD</t>
  </si>
  <si>
    <t>CATEGORÍA</t>
  </si>
  <si>
    <t>RENT. NETA EA</t>
  </si>
  <si>
    <t>RENT. REAL EA</t>
  </si>
  <si>
    <t>ALERTA</t>
  </si>
  <si>
    <t>POR TIPO DE ENTIDAD</t>
  </si>
  <si>
    <t>ENTIDADES</t>
  </si>
  <si>
    <t>TASA EA PROM.</t>
  </si>
  <si>
    <t>RENT. NETA EA PROM.</t>
  </si>
  <si>
    <t>Banco tradicional</t>
  </si>
  <si>
    <t>Banco digital</t>
  </si>
  <si>
    <t>Fintech</t>
  </si>
  <si>
    <t>RENTABILIDAD NETA EA POR ENTIDAD · TOP 15 VS PROMEDIO NETO DEL SISTEMA</t>
  </si>
  <si>
    <t>Colores: gris oscuro = banco tradicional, verde azulado = banco digital, ámbar = fintech. La línea roja punteada es el promedio del sistema (BanRep) con el mismo cálculo neto. Educación financiera, no asesoría de inversión. Verifique la tasa con la entidad antes de invertir.</t>
  </si>
  <si>
    <t>Controles de integridad del modelo</t>
  </si>
  <si>
    <t>ID</t>
  </si>
  <si>
    <t>Control</t>
  </si>
  <si>
    <t>Estado</t>
  </si>
  <si>
    <t>C01</t>
  </si>
  <si>
    <t>Suma de flujos descontados a la TIR es cero (ΣXfd)</t>
  </si>
  <si>
    <t>C02</t>
  </si>
  <si>
    <t>TIR anualizada del flujo coincide con la rentabilidad neta de la hoja Simulacion</t>
  </si>
  <si>
    <t>C03</t>
  </si>
  <si>
    <t>El plazo es múltiplo del periodo de pago y cabe en la hoja de flujos</t>
  </si>
  <si>
    <t>C04</t>
  </si>
  <si>
    <t>Las celdas de cálculo no contienen errores de fórmula</t>
  </si>
  <si>
    <t>C05</t>
  </si>
  <si>
    <t>Todas las tasas de la simulación están entre 0 % y 25 % EA</t>
  </si>
  <si>
    <t>C06</t>
  </si>
  <si>
    <t>Hay un único primer lugar en el ranking</t>
  </si>
  <si>
    <t>C07</t>
  </si>
  <si>
    <t>Al menos 10 entidades con dato</t>
  </si>
  <si>
    <t>C08</t>
  </si>
  <si>
    <t>Dato de la Superfinanciera con menos de 7 días de antigüedad</t>
  </si>
  <si>
    <t>C09</t>
  </si>
  <si>
    <t>El valor final está dentro de la cobertura del seguro de depósitos</t>
  </si>
  <si>
    <t>C10</t>
  </si>
  <si>
    <t>Conciliación del Excel contra un cálculo independiente en Python</t>
  </si>
  <si>
    <t>OK</t>
  </si>
  <si>
    <t>Estado global del modelo</t>
  </si>
  <si>
    <t>Parámetros del CDT (celdas azules: cámbielas y todo se recalcula)</t>
  </si>
  <si>
    <t>Variable</t>
  </si>
  <si>
    <t>Valor</t>
  </si>
  <si>
    <t>Unidad</t>
  </si>
  <si>
    <t>Observación</t>
  </si>
  <si>
    <t>Monto</t>
  </si>
  <si>
    <t>COP</t>
  </si>
  <si>
    <t>Capital a invertir</t>
  </si>
  <si>
    <t>Plazo</t>
  </si>
  <si>
    <t>días</t>
  </si>
  <si>
    <t>Plazo del CDT</t>
  </si>
  <si>
    <t>Periodicidad de pago</t>
  </si>
  <si>
    <t>Al vencimiento</t>
  </si>
  <si>
    <t>Cómo se pagan los intereses</t>
  </si>
  <si>
    <t>Días por periodo</t>
  </si>
  <si>
    <t>Calculado</t>
  </si>
  <si>
    <t>Número de periodos</t>
  </si>
  <si>
    <t>Chequeo del plazo</t>
  </si>
  <si>
    <t>Hasta 60 periodos en la hoja Flujo_Mejor</t>
  </si>
  <si>
    <t>Base de días del año</t>
  </si>
  <si>
    <t>Convención de la EA</t>
  </si>
  <si>
    <t>Retención en la fuente</t>
  </si>
  <si>
    <t>% sobre intereses</t>
  </si>
  <si>
    <t>Verifique la tarifa vigente con la entidad</t>
  </si>
  <si>
    <t>Inflación a 12 meses (IPC)</t>
  </si>
  <si>
    <t>% anual</t>
  </si>
  <si>
    <t>DANE, corte 2026-08-31</t>
  </si>
  <si>
    <t>Promedio del sistema (CDT)</t>
  </si>
  <si>
    <t>% EA bruta</t>
  </si>
  <si>
    <t>BanRep serie 240, 2026-09-25</t>
  </si>
  <si>
    <t>Cobertura seguro de depósitos</t>
  </si>
  <si>
    <t>COP por persona y entidad</t>
  </si>
  <si>
    <t>Fogafín (capital + intereses). Verificado 2026-09-29</t>
  </si>
  <si>
    <t>Fecha del último corte</t>
  </si>
  <si>
    <t>Superfinanciera, con un día de rezago</t>
  </si>
  <si>
    <t>Fecha de consulta</t>
  </si>
  <si>
    <t>2026-09-29 23:16</t>
  </si>
  <si>
    <t>Tasa de política monetaria</t>
  </si>
  <si>
    <t>% EA</t>
  </si>
  <si>
    <t>BanRep, 2026-09-29</t>
  </si>
  <si>
    <t>IBR a 3 meses</t>
  </si>
  <si>
    <t>% nominal</t>
  </si>
  <si>
    <t>Tasas de captación por entidad, A 360 días (subcuenta 130): tasa promedio ponderada pagada, no tasa de cartelera</t>
  </si>
  <si>
    <t>Categoria</t>
  </si>
  <si>
    <t>Entidad</t>
  </si>
  <si>
    <t>MarcaComercial</t>
  </si>
  <si>
    <t>TipoEntidad</t>
  </si>
  <si>
    <t>CodigoEntidad</t>
  </si>
  <si>
    <t>Subcuenta</t>
  </si>
  <si>
    <t>PlazoDescripcion</t>
  </si>
  <si>
    <t>TasaEA</t>
  </si>
  <si>
    <t>MontoCaptadoMiles</t>
  </si>
  <si>
    <t>FechaCorte</t>
  </si>
  <si>
    <t>RezagoCortes</t>
  </si>
  <si>
    <t>Alerta</t>
  </si>
  <si>
    <t>Fuente</t>
  </si>
  <si>
    <t>IDDataset</t>
  </si>
  <si>
    <t>ExtraidoEn</t>
  </si>
  <si>
    <t>Bancolombia</t>
  </si>
  <si>
    <t>A 360 días</t>
  </si>
  <si>
    <t>Superfinanciera de Colombia</t>
  </si>
  <si>
    <t>datos.gov.co/axk9-g2nh (uca 1)</t>
  </si>
  <si>
    <t>Banco de Bogotá</t>
  </si>
  <si>
    <t>Davivienda</t>
  </si>
  <si>
    <t>BBVA Colombia</t>
  </si>
  <si>
    <t>Banco de Occidente</t>
  </si>
  <si>
    <t>Banco Popular</t>
  </si>
  <si>
    <t>AV Villas</t>
  </si>
  <si>
    <t>Banco Caja Social</t>
  </si>
  <si>
    <t>Scotiabank Colpatria</t>
  </si>
  <si>
    <t>Itaú</t>
  </si>
  <si>
    <t>GNB Sudameris</t>
  </si>
  <si>
    <t>Baja representatividad</t>
  </si>
  <si>
    <t>Banco Santander</t>
  </si>
  <si>
    <t>Banco Agrario</t>
  </si>
  <si>
    <t>Bancoomeva</t>
  </si>
  <si>
    <t>Banco Falabella</t>
  </si>
  <si>
    <t>Banco Serfinanza</t>
  </si>
  <si>
    <t>Banco Finandina</t>
  </si>
  <si>
    <t>Lulo Bank</t>
  </si>
  <si>
    <t>Banco Pichincha</t>
  </si>
  <si>
    <t>Pibank</t>
  </si>
  <si>
    <t>Banco Credifinanciera</t>
  </si>
  <si>
    <t>Ban100</t>
  </si>
  <si>
    <t>Nu Colombia</t>
  </si>
  <si>
    <t>Nu</t>
  </si>
  <si>
    <t>Iris CF</t>
  </si>
  <si>
    <t>Iris</t>
  </si>
  <si>
    <t>Plata</t>
  </si>
  <si>
    <t>Sin dato</t>
  </si>
  <si>
    <t>Bold CF</t>
  </si>
  <si>
    <t>Bold</t>
  </si>
  <si>
    <t>KOA CF</t>
  </si>
  <si>
    <t>KOA</t>
  </si>
  <si>
    <t>Tuya</t>
  </si>
  <si>
    <t>Nequi</t>
  </si>
  <si>
    <t>No emite CDT</t>
  </si>
  <si>
    <t>RappiPay</t>
  </si>
  <si>
    <t>Simulación por entidad (todas las columnas de cálculo son fórmulas vivas)</t>
  </si>
  <si>
    <t>TasaPeriodica</t>
  </si>
  <si>
    <t>NumPeriodos</t>
  </si>
  <si>
    <t>InteresBrutoPeriodo</t>
  </si>
  <si>
    <t>InteresBrutoTotal</t>
  </si>
  <si>
    <t>RetencionCOP</t>
  </si>
  <si>
    <t>InteresNeto</t>
  </si>
  <si>
    <t>ValorFinal</t>
  </si>
  <si>
    <t>RentNetaEA</t>
  </si>
  <si>
    <t>RentRealEA</t>
  </si>
  <si>
    <t>DifVsSistema</t>
  </si>
  <si>
    <t>LineaSistemaNeta</t>
  </si>
  <si>
    <t>AlertaFogafin</t>
  </si>
  <si>
    <t>Ranking</t>
  </si>
  <si>
    <t>RentNetaEA = TIR anualizada del flujo neto (interés menos retención; supone reinversión de los intereses a la misma tasa). DifVsSistema = tasa bruta de la entidad menos el promedio bruto del sistema (BanRep). LineaSistemaNeta = el promedio del sistema pasado por el mismo cálculo neto, para comparar peras con peras.</t>
  </si>
  <si>
    <t>Flujo de caja de la mejor opción y validación ΣXfd = 0</t>
  </si>
  <si>
    <t>Mejor entidad (mayor rentabilidad neta)</t>
  </si>
  <si>
    <t>Tasa EA bruta de la mejor</t>
  </si>
  <si>
    <t>Tasa periódica de la mejor</t>
  </si>
  <si>
    <t>TIR periódica del flujo neto (IRR de FCN)</t>
  </si>
  <si>
    <t>TIR anualizada (EA)</t>
  </si>
  <si>
    <t>Rentabilidad neta EA (hoja Simulacion)</t>
  </si>
  <si>
    <t>ΣXfd</t>
  </si>
  <si>
    <t>Validación ΣXfd = 0</t>
  </si>
  <si>
    <t>TIR coincide con la hoja Simulacion</t>
  </si>
  <si>
    <t>Interés neto de la mejor opción</t>
  </si>
  <si>
    <t>Rentabilidad real EA de la mejor</t>
  </si>
  <si>
    <t>Diferencia de tasa vs sistema (mejor)</t>
  </si>
  <si>
    <t>Period</t>
  </si>
  <si>
    <t>Inflow</t>
  </si>
  <si>
    <t>Outflow</t>
  </si>
  <si>
    <t>FCN</t>
  </si>
  <si>
    <t>fd</t>
  </si>
  <si>
    <t>Xfd</t>
  </si>
  <si>
    <t>Cuentas de ahorro (persona natural) frente al mejor CDT, mismo monto y plazo</t>
  </si>
  <si>
    <t>SaldoMiles</t>
  </si>
  <si>
    <t>InteresBrutoAhorro</t>
  </si>
  <si>
    <t>InteresNetoAhorro</t>
  </si>
  <si>
    <t>DifVsMejorCDT</t>
  </si>
  <si>
    <t>Ahorro, no CDT: la tasa es el promedio ponderado del saldo de depósitos de ahorro activos de persona natural (uca 7, subcuenta 10). Se usa la misma retención del CDT para comparar; el tratamiento tributario real del ahorro puede diferir. DifVsMejorCDT negativo = lo que se deja de ganar frente al mejor CDT.</t>
  </si>
  <si>
    <t>Series de referencia (BanRep y DANE)</t>
  </si>
  <si>
    <t>Serie</t>
  </si>
  <si>
    <t>IDSerie</t>
  </si>
  <si>
    <t>Fecha</t>
  </si>
  <si>
    <t>Tasa de Certificado de Depósito a Término (CDT) a 90 días, diaria</t>
  </si>
  <si>
    <t>Tasa efectiva anual, base 365.</t>
  </si>
  <si>
    <t>https://suameca.banrep.gov.co/estadisticas-economicas-back/rest/estadisticaEconomicaRestService/consultaInformacionSerie?idSerie=238</t>
  </si>
  <si>
    <t>Tasa de Certificado de Depósito a Término (CDT) a 180 días, diaria</t>
  </si>
  <si>
    <t>https://suameca.banrep.gov.co/estadisticas-economicas-back/rest/estadisticaEconomicaRestService/consultaInformacionSerie?idSerie=239</t>
  </si>
  <si>
    <t>Tasa de Certificado de Depósito a Término (CDT) a 360 días, diaria</t>
  </si>
  <si>
    <t>https://suameca.banrep.gov.co/estadisticas-economicas-back/rest/estadisticaEconomicaRestService/consultaInformacionSerie?idSerie=240</t>
  </si>
  <si>
    <t>Tasa de Depósitos a Término Fijo (DTF) a 90 días, semanal</t>
  </si>
  <si>
    <t>https://suameca.banrep.gov.co/estadisticas-economicas-back/rest/estadisticaEconomicaRestService/consultaInformacionSerie?idSerie=65</t>
  </si>
  <si>
    <t>Indicador Bancario de Referencia (IBR) a 3 meses, nominal</t>
  </si>
  <si>
    <t>Tasa nominal, base 360</t>
  </si>
  <si>
    <t>https://suameca.banrep.gov.co/estadisticas-economicas-back/rest/estadisticaEconomicaRestService/consultaInformacionSerie?idSerie=243</t>
  </si>
  <si>
    <t>Tasa efectiva anual base 365.</t>
  </si>
  <si>
    <t>https://suameca.banrep.gov.co/estadisticas-economicas-back/rest/estadisticaEconomicaRestService/consultaInformacionSerie?idSerie=59</t>
  </si>
  <si>
    <t>Meta de inflación</t>
  </si>
  <si>
    <t>Porcentaje</t>
  </si>
  <si>
    <t>https://suameca.banrep.gov.co/estadisticas-economicas-back/rest/estadisticaEconomicaRestService/consultaInformacionSerie?idSerie=853</t>
  </si>
  <si>
    <t>IPC total nacional, variación anual (DANE)</t>
  </si>
  <si>
    <t>https://www.dane.gov.co/files/operaciones/IPC/ago2026/anex-IPC-Indices-ago2026.xlsx</t>
  </si>
  <si>
    <t>Fuentes, validaciones y notas metodológicas</t>
  </si>
  <si>
    <t>URL</t>
  </si>
  <si>
    <t>FechaHoraConsulta</t>
  </si>
  <si>
    <t>FilasRecibidas</t>
  </si>
  <si>
    <t>Detalle</t>
  </si>
  <si>
    <t>Superfinanciera (datos.gov.co, dataset axk9-g2nh)</t>
  </si>
  <si>
    <t>https://www.datos.gov.co/resource/axk9-g2nh.json?$where=fechacorte&gt;='2026-09-18T00:00:00.000' AND uca in('1','7')&amp;$limit=50000</t>
  </si>
  <si>
    <t>Cortes: 2026-09-25, 2026-09-24, 2026-09-23, 2026-09-22, 2026-09-21, 2026-09-18; ucas 1 (CDT) y 7 (ahorro)</t>
  </si>
  <si>
    <t>BanRep Suameca serie 238</t>
  </si>
  <si>
    <t>BanRep Suameca serie 239</t>
  </si>
  <si>
    <t>BanRep Suameca serie 240</t>
  </si>
  <si>
    <t>BanRep Suameca serie 65</t>
  </si>
  <si>
    <t>BanRep Suameca serie 243</t>
  </si>
  <si>
    <t>BanRep Suameca serie 59</t>
  </si>
  <si>
    <t>BanRep Suameca serie 853</t>
  </si>
  <si>
    <t>DANE IPC (archivo de índices)</t>
  </si>
  <si>
    <t>Índice 160.42 / 150.99 - 1</t>
  </si>
  <si>
    <t>Validacion</t>
  </si>
  <si>
    <t>Resultado</t>
  </si>
  <si>
    <t>ΣXfd = 0 a la TIR (tolerancia $1)</t>
  </si>
  <si>
    <t>ΣXfd = 0.000000</t>
  </si>
  <si>
    <t>TIR anualizada = rentabilidad neta EA de la mejor opción</t>
  </si>
  <si>
    <t>TIR EA 0.12921161 vs 0.12921161</t>
  </si>
  <si>
    <t>Fecha de corte con menos de 7 días</t>
  </si>
  <si>
    <t>Último corte 2026-09-25 (4 días)</t>
  </si>
  <si>
    <t>25 entidades con dato de CDT</t>
  </si>
  <si>
    <t>Plazo múltiplo del periodo y hasta 60 periodos</t>
  </si>
  <si>
    <t>360 días / 360 días por periodo</t>
  </si>
  <si>
    <t>Entidades de entidades.csv presentes en el dataset</t>
  </si>
  <si>
    <t>Todas presentes</t>
  </si>
  <si>
    <t>Excel recalculado coincide con Python; al duplicar el Monto todo se recalcula</t>
  </si>
  <si>
    <t>0 errores de fórmula; interés neto mejor 1273334.32</t>
  </si>
  <si>
    <t>Qué es la tasa: promedio ponderado por monto de lo que cada entidad pagó por CDT emitidos en el corte, en % EA. No es la tasa de cartelera ni la que le ofrezcan en la oficina.</t>
  </si>
  <si>
    <t>Por qué no se usa el simulador de Davivienda: el sitio tiene protección antibots y su backend respondió con error 500. Se replicó su cálculo en Python aplicado a la tasa que Davivienda reporta a la Superfinanciera.</t>
  </si>
  <si>
    <t>Cobertura del seguro de depósitos: $50,000,000 por persona y por entidad (capital más intereses). Fuente: https://www.fogafin.gov.co/sites/default/files/2025-12/ABC%20del%20proceso%20de%20pago%20del%20seguro%20de%20dep%C3%B3sitos.pdf</t>
  </si>
  <si>
    <t>Entidades sin dato o que no emiten CDT en este plazo: Plata (Sin dato), Nequi (No emite CDT), RappiPay (No emite CDT)</t>
  </si>
  <si>
    <t>Entidades con rezago: Itaú (1 corte), Banco Santander (1 corte), Banco Agrario (1 corte), Bancoomeva (1 corte), Banco Falabella (1 corte), Banco Credifinanciera (1 corte)</t>
  </si>
  <si>
    <t>Educación financiera, no asesoría de inversión. Verifique la tasa con la entidad antes de invertir.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</si>
</sst>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%"/>
    <numFmt numFmtId="166" formatCode="\+0.00%;\-0.00%"/>
    <numFmt numFmtId="167" formatCode="0.000000"/>
    <numFmt numFmtId="168" formatCode="[Color10]\+0.00%;[Red]\-0.00%"/>
  </numFmts>
  <fonts count="14">
    <font>
      <sz val="11"/>
      <color theme="1"/>
      <name val="Calibri"/>
      <family val="2"/>
      <scheme val="minor"/>
    </font>
    <font>
      <b/>
      <sz val="22"/>
      <color rgb="FF111827"/>
      <name val="Segoe UI"/>
    </font>
    <font>
      <sz val="10"/>
      <color rgb="FF6B7280"/>
      <name val="Segoe UI"/>
    </font>
    <font>
      <sz val="8"/>
      <color rgb="FF9CA3AF"/>
      <name val="Segoe UI"/>
    </font>
    <font>
      <sz val="8"/>
      <color rgb="FF7F7F7F"/>
      <name val="Segoe UI"/>
    </font>
    <font>
      <b/>
      <sz val="10"/>
      <name val="Segoe UI"/>
    </font>
    <font>
      <b/>
      <sz val="8"/>
      <color rgb="FF6B7280"/>
      <name val="Segoe UI"/>
    </font>
    <font>
      <b/>
      <sz val="20"/>
      <color rgb="FF111827"/>
      <name val="Segoe UI"/>
    </font>
    <font>
      <sz val="10"/>
      <color theme="1"/>
      <name val="Calibri"/>
      <family val="2"/>
      <scheme val="minor"/>
    </font>
    <font>
      <i/>
      <sz val="8"/>
      <color rgb="FF6B7280"/>
      <name val="Segoe UI"/>
    </font>
    <font>
      <b/>
      <sz val="16"/>
      <color rgb="FF111827"/>
      <name val="Segoe UI"/>
    </font>
    <font>
      <b/>
      <sz val="12"/>
      <name val="Segoe UI"/>
    </font>
    <font>
      <b/>
      <sz val="14"/>
      <color rgb="FF111827"/>
      <name val="Segoe UI"/>
    </font>
    <font>
      <sz val="10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111827"/>
      </bottom>
      <diagonal/>
    </border>
    <border>
      <left/>
      <right/>
      <top/>
      <bottom style="hair">
        <color rgb="FF9CA3AF"/>
      </bottom>
      <diagonal/>
    </border>
    <border>
      <left/>
      <right/>
      <top/>
      <bottom style="thin">
        <color rgb="FFE5E7EB"/>
      </bottom>
      <diagonal/>
    </border>
    <border>
      <left/>
      <right/>
      <top style="medium">
        <color rgb="FF0F766E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3" xfId="0" applyFont="1" applyBorder="1"/>
    <xf numFmtId="0" fontId="0" fillId="0" borderId="3" xfId="0" applyBorder="1"/>
    <xf numFmtId="0" fontId="6" fillId="0" borderId="0" xfId="0" applyFont="1"/>
    <xf numFmtId="0" fontId="8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2" xfId="0" applyFont="1" applyBorder="1"/>
    <xf numFmtId="10" fontId="8" fillId="0" borderId="2" xfId="0" applyNumberFormat="1" applyFont="1" applyBorder="1"/>
    <xf numFmtId="3" fontId="8" fillId="0" borderId="2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3" fontId="13" fillId="2" borderId="2" xfId="0" applyNumberFormat="1" applyFont="1" applyFill="1" applyBorder="1"/>
    <xf numFmtId="1" fontId="13" fillId="2" borderId="2" xfId="0" applyNumberFormat="1" applyFont="1" applyFill="1" applyBorder="1"/>
    <xf numFmtId="0" fontId="13" fillId="2" borderId="2" xfId="0" applyFont="1" applyFill="1" applyBorder="1"/>
    <xf numFmtId="1" fontId="8" fillId="0" borderId="2" xfId="0" applyNumberFormat="1" applyFont="1" applyBorder="1"/>
    <xf numFmtId="2" fontId="8" fillId="0" borderId="2" xfId="0" applyNumberFormat="1" applyFont="1" applyBorder="1"/>
    <xf numFmtId="10" fontId="13" fillId="2" borderId="2" xfId="0" applyNumberFormat="1" applyFont="1" applyFill="1" applyBorder="1"/>
    <xf numFmtId="164" fontId="8" fillId="0" borderId="2" xfId="0" applyNumberFormat="1" applyFont="1" applyBorder="1"/>
    <xf numFmtId="10" fontId="0" fillId="0" borderId="2" xfId="0" applyNumberFormat="1" applyBorder="1"/>
    <xf numFmtId="3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165" fontId="8" fillId="0" borderId="2" xfId="0" applyNumberFormat="1" applyFont="1" applyBorder="1"/>
    <xf numFmtId="166" fontId="8" fillId="0" borderId="2" xfId="0" applyNumberFormat="1" applyFont="1" applyBorder="1"/>
    <xf numFmtId="167" fontId="8" fillId="0" borderId="2" xfId="0" applyNumberFormat="1" applyFont="1" applyBorder="1"/>
    <xf numFmtId="4" fontId="8" fillId="0" borderId="2" xfId="0" applyNumberFormat="1" applyFont="1" applyBorder="1"/>
    <xf numFmtId="38" fontId="8" fillId="0" borderId="2" xfId="0" applyNumberFormat="1" applyFont="1" applyBorder="1"/>
    <xf numFmtId="0" fontId="6" fillId="0" borderId="4" xfId="0" applyFont="1" applyBorder="1" applyAlignment="1">
      <alignment horizontal="left"/>
    </xf>
    <xf numFmtId="0" fontId="0" fillId="0" borderId="4" xfId="0" applyBorder="1"/>
    <xf numFmtId="10" fontId="7" fillId="0" borderId="0" xfId="0" applyNumberFormat="1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top" wrapText="1"/>
    </xf>
    <xf numFmtId="3" fontId="7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6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Simulacion!$L$4</c:f>
              <c:strCache>
                <c:ptCount val="1"/>
                <c:pt idx="0">
                  <c:v>RentNetaEA</c:v>
                </c:pt>
              </c:strCache>
            </c:strRef>
          </c:tx>
          <c:spPr>
            <a:solidFill>
              <a:srgbClr val="1F293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C1-4240-A370-A444044768D5}"/>
              </c:ext>
            </c:extLst>
          </c:dPt>
          <c:dPt>
            <c:idx val="1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C1-4240-A370-A444044768D5}"/>
              </c:ext>
            </c:extLst>
          </c:dPt>
          <c:dPt>
            <c:idx val="2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C1-4240-A370-A444044768D5}"/>
              </c:ext>
            </c:extLst>
          </c:dPt>
          <c:dPt>
            <c:idx val="3"/>
            <c:invertIfNegative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BC1-4240-A370-A444044768D5}"/>
              </c:ext>
            </c:extLst>
          </c:dPt>
          <c:dPt>
            <c:idx val="4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BC1-4240-A370-A444044768D5}"/>
              </c:ext>
            </c:extLst>
          </c:dPt>
          <c:dPt>
            <c:idx val="5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BC1-4240-A370-A444044768D5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0BC1-4240-A370-A444044768D5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0BC1-4240-A370-A444044768D5}"/>
              </c:ext>
            </c:extLst>
          </c:dPt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0BC1-4240-A370-A444044768D5}"/>
              </c:ext>
            </c:extLst>
          </c:dPt>
          <c:dPt>
            <c:idx val="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0BC1-4240-A370-A444044768D5}"/>
              </c:ext>
            </c:extLst>
          </c:dPt>
          <c:dPt>
            <c:idx val="10"/>
            <c:invertIfNegative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BC1-4240-A370-A444044768D5}"/>
              </c:ext>
            </c:extLst>
          </c:dPt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0BC1-4240-A370-A444044768D5}"/>
              </c:ext>
            </c:extLst>
          </c:dPt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0BC1-4240-A370-A444044768D5}"/>
              </c:ext>
            </c:extLst>
          </c:dPt>
          <c:dPt>
            <c:idx val="1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0BC1-4240-A370-A444044768D5}"/>
              </c:ext>
            </c:extLst>
          </c:dPt>
          <c:dPt>
            <c:idx val="1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0BC1-4240-A370-A444044768D5}"/>
              </c:ext>
            </c:extLst>
          </c:dPt>
          <c:cat>
            <c:strRef>
              <c:f>Simulacion!$A$5:$A$19</c:f>
              <c:strCache>
                <c:ptCount val="15"/>
                <c:pt idx="0">
                  <c:v>Banco Pichincha</c:v>
                </c:pt>
                <c:pt idx="1">
                  <c:v>KOA CF</c:v>
                </c:pt>
                <c:pt idx="2">
                  <c:v>Iris CF</c:v>
                </c:pt>
                <c:pt idx="3">
                  <c:v>Banco Credifinanciera</c:v>
                </c:pt>
                <c:pt idx="4">
                  <c:v>Tuya</c:v>
                </c:pt>
                <c:pt idx="5">
                  <c:v>Bold CF</c:v>
                </c:pt>
                <c:pt idx="6">
                  <c:v>AV Villas</c:v>
                </c:pt>
                <c:pt idx="7">
                  <c:v>Banco Serfinanza</c:v>
                </c:pt>
                <c:pt idx="8">
                  <c:v>Banco de Bogotá</c:v>
                </c:pt>
                <c:pt idx="9">
                  <c:v>Itaú</c:v>
                </c:pt>
                <c:pt idx="10">
                  <c:v>Banco Finandina</c:v>
                </c:pt>
                <c:pt idx="11">
                  <c:v>Banco de Occidente</c:v>
                </c:pt>
                <c:pt idx="12">
                  <c:v>GNB Sudameris</c:v>
                </c:pt>
                <c:pt idx="13">
                  <c:v>Bancoomeva</c:v>
                </c:pt>
                <c:pt idx="14">
                  <c:v>Banco Falabella</c:v>
                </c:pt>
              </c:strCache>
            </c:strRef>
          </c:cat>
          <c:val>
            <c:numRef>
              <c:f>Simulacion!$L$5:$L$19</c:f>
              <c:numCache>
                <c:formatCode>0.00%</c:formatCode>
                <c:ptCount val="15"/>
                <c:pt idx="0">
                  <c:v>0.12921161414252236</c:v>
                </c:pt>
                <c:pt idx="1">
                  <c:v>0.12719574469742079</c:v>
                </c:pt>
                <c:pt idx="2">
                  <c:v>0.12421993409287757</c:v>
                </c:pt>
                <c:pt idx="3">
                  <c:v>0.12354797630849323</c:v>
                </c:pt>
                <c:pt idx="4">
                  <c:v>0.12268403028656483</c:v>
                </c:pt>
                <c:pt idx="5">
                  <c:v>0.11999619606066614</c:v>
                </c:pt>
                <c:pt idx="6">
                  <c:v>0.11999619606066614</c:v>
                </c:pt>
                <c:pt idx="7">
                  <c:v>0.11903625447212485</c:v>
                </c:pt>
                <c:pt idx="8">
                  <c:v>0.11855628352083736</c:v>
                </c:pt>
                <c:pt idx="9">
                  <c:v>0.1175963413037735</c:v>
                </c:pt>
                <c:pt idx="10">
                  <c:v>0.11730835855680199</c:v>
                </c:pt>
                <c:pt idx="11">
                  <c:v>0.11644441008893081</c:v>
                </c:pt>
                <c:pt idx="12">
                  <c:v>0.11519648392233939</c:v>
                </c:pt>
                <c:pt idx="13">
                  <c:v>0.11404455144365588</c:v>
                </c:pt>
                <c:pt idx="14">
                  <c:v>0.11404455144365588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0BC1-4240-A370-A44404476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Simulacion!$O$4</c:f>
              <c:strCache>
                <c:ptCount val="1"/>
                <c:pt idx="0">
                  <c:v>LineaSistemaNeta</c:v>
                </c:pt>
              </c:strCache>
            </c:strRef>
          </c:tx>
          <c:spPr>
            <a:ln w="19000">
              <a:solidFill>
                <a:srgbClr val="DC2626"/>
              </a:solidFill>
              <a:prstDash val="dash"/>
            </a:ln>
          </c:spPr>
          <c:marker>
            <c:symbol val="none"/>
          </c:marker>
          <c:val>
            <c:numRef>
              <c:f>Simulacion!$O$5:$O$19</c:f>
              <c:numCache>
                <c:formatCode>0.00%</c:formatCode>
                <c:ptCount val="15"/>
                <c:pt idx="0">
                  <c:v>0.11596443857064398</c:v>
                </c:pt>
                <c:pt idx="1">
                  <c:v>0.11596443857064398</c:v>
                </c:pt>
                <c:pt idx="2">
                  <c:v>0.11596443857064398</c:v>
                </c:pt>
                <c:pt idx="3">
                  <c:v>0.11596443857064398</c:v>
                </c:pt>
                <c:pt idx="4">
                  <c:v>0.11596443857064398</c:v>
                </c:pt>
                <c:pt idx="5">
                  <c:v>0.11596443857064398</c:v>
                </c:pt>
                <c:pt idx="6">
                  <c:v>0.11596443857064398</c:v>
                </c:pt>
                <c:pt idx="7">
                  <c:v>0.11596443857064398</c:v>
                </c:pt>
                <c:pt idx="8">
                  <c:v>0.11596443857064398</c:v>
                </c:pt>
                <c:pt idx="9">
                  <c:v>0.11596443857064398</c:v>
                </c:pt>
                <c:pt idx="10">
                  <c:v>0.11596443857064398</c:v>
                </c:pt>
                <c:pt idx="11">
                  <c:v>0.11596443857064398</c:v>
                </c:pt>
                <c:pt idx="12">
                  <c:v>0.11596443857064398</c:v>
                </c:pt>
                <c:pt idx="13">
                  <c:v>0.11596443857064398</c:v>
                </c:pt>
                <c:pt idx="14">
                  <c:v>0.11596443857064398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BC1-4240-A370-A44404476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7EB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97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ontroles" displayName="TControles" ref="B4:D14">
  <autoFilter ref="B4:D14" xr:uid="{00000000-0009-0000-0100-000001000000}"/>
  <tableColumns count="3">
    <tableColumn id="2" xr3:uid="{00000000-0010-0000-0000-000002000000}" name="ID"/>
    <tableColumn id="3" xr3:uid="{00000000-0010-0000-0000-000003000000}" name="Control"/>
    <tableColumn id="4" xr3:uid="{00000000-0010-0000-0000-000004000000}" name="Est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Tasas" displayName="TTasas" ref="A4:P32">
  <autoFilter ref="A4:P32" xr:uid="{00000000-0009-0000-0100-000002000000}"/>
  <tableColumns count="16">
    <tableColumn id="1" xr3:uid="{00000000-0010-0000-0100-000001000000}" name="Categoria"/>
    <tableColumn id="2" xr3:uid="{00000000-0010-0000-0100-000002000000}" name="Entidad"/>
    <tableColumn id="3" xr3:uid="{00000000-0010-0000-0100-000003000000}" name="MarcaComercial"/>
    <tableColumn id="4" xr3:uid="{00000000-0010-0000-0100-000004000000}" name="TipoEntidad"/>
    <tableColumn id="5" xr3:uid="{00000000-0010-0000-0100-000005000000}" name="CodigoEntidad"/>
    <tableColumn id="6" xr3:uid="{00000000-0010-0000-0100-000006000000}" name="Subcuenta"/>
    <tableColumn id="7" xr3:uid="{00000000-0010-0000-0100-000007000000}" name="PlazoDescripcion"/>
    <tableColumn id="8" xr3:uid="{00000000-0010-0000-0100-000008000000}" name="TasaEA"/>
    <tableColumn id="9" xr3:uid="{00000000-0010-0000-0100-000009000000}" name="MontoCaptadoMiles"/>
    <tableColumn id="10" xr3:uid="{00000000-0010-0000-0100-00000A000000}" name="FechaCorte"/>
    <tableColumn id="11" xr3:uid="{00000000-0010-0000-0100-00000B000000}" name="RezagoCortes"/>
    <tableColumn id="12" xr3:uid="{00000000-0010-0000-0100-00000C000000}" name="Estado"/>
    <tableColumn id="13" xr3:uid="{00000000-0010-0000-0100-00000D000000}" name="Alerta"/>
    <tableColumn id="14" xr3:uid="{00000000-0010-0000-0100-00000E000000}" name="Fuente"/>
    <tableColumn id="15" xr3:uid="{00000000-0010-0000-0100-00000F000000}" name="IDDataset"/>
    <tableColumn id="16" xr3:uid="{00000000-0010-0000-0100-000010000000}" name="ExtraidoE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Simulacion" displayName="TSimulacion" ref="A4:Q29">
  <autoFilter ref="A4:Q29" xr:uid="{00000000-0009-0000-0100-000003000000}"/>
  <tableColumns count="17">
    <tableColumn id="1" xr3:uid="{00000000-0010-0000-0200-000001000000}" name="Entidad"/>
    <tableColumn id="2" xr3:uid="{00000000-0010-0000-0200-000002000000}" name="Categoria"/>
    <tableColumn id="3" xr3:uid="{00000000-0010-0000-0200-000003000000}" name="MarcaComercial"/>
    <tableColumn id="4" xr3:uid="{00000000-0010-0000-0200-000004000000}" name="TasaEA"/>
    <tableColumn id="5" xr3:uid="{00000000-0010-0000-0200-000005000000}" name="TasaPeriodica"/>
    <tableColumn id="6" xr3:uid="{00000000-0010-0000-0200-000006000000}" name="NumPeriodos"/>
    <tableColumn id="7" xr3:uid="{00000000-0010-0000-0200-000007000000}" name="InteresBrutoPeriodo"/>
    <tableColumn id="8" xr3:uid="{00000000-0010-0000-0200-000008000000}" name="InteresBrutoTotal"/>
    <tableColumn id="9" xr3:uid="{00000000-0010-0000-0200-000009000000}" name="RetencionCOP"/>
    <tableColumn id="10" xr3:uid="{00000000-0010-0000-0200-00000A000000}" name="InteresNeto"/>
    <tableColumn id="11" xr3:uid="{00000000-0010-0000-0200-00000B000000}" name="ValorFinal"/>
    <tableColumn id="12" xr3:uid="{00000000-0010-0000-0200-00000C000000}" name="RentNetaEA"/>
    <tableColumn id="13" xr3:uid="{00000000-0010-0000-0200-00000D000000}" name="RentRealEA"/>
    <tableColumn id="14" xr3:uid="{00000000-0010-0000-0200-00000E000000}" name="DifVsSistema"/>
    <tableColumn id="15" xr3:uid="{00000000-0010-0000-0200-00000F000000}" name="LineaSistemaNeta"/>
    <tableColumn id="16" xr3:uid="{00000000-0010-0000-0200-000010000000}" name="AlertaFogafin"/>
    <tableColumn id="17" xr3:uid="{00000000-0010-0000-0200-000011000000}" name="Ranking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Flujo" displayName="TFlujo" ref="B18:G79">
  <autoFilter ref="B18:G79" xr:uid="{00000000-0009-0000-0100-000004000000}"/>
  <tableColumns count="6">
    <tableColumn id="2" xr3:uid="{00000000-0010-0000-0300-000002000000}" name="Period"/>
    <tableColumn id="3" xr3:uid="{00000000-0010-0000-0300-000003000000}" name="Inflow"/>
    <tableColumn id="4" xr3:uid="{00000000-0010-0000-0300-000004000000}" name="Outflow"/>
    <tableColumn id="5" xr3:uid="{00000000-0010-0000-0300-000005000000}" name="FCN"/>
    <tableColumn id="6" xr3:uid="{00000000-0010-0000-0300-000006000000}" name="fd"/>
    <tableColumn id="7" xr3:uid="{00000000-0010-0000-0300-000007000000}" name="Xfd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horro" displayName="TAhorro" ref="A4:H26">
  <autoFilter ref="A4:H26" xr:uid="{00000000-0009-0000-0100-000005000000}"/>
  <tableColumns count="8">
    <tableColumn id="1" xr3:uid="{00000000-0010-0000-0400-000001000000}" name="Entidad"/>
    <tableColumn id="2" xr3:uid="{00000000-0010-0000-0400-000002000000}" name="Categoria"/>
    <tableColumn id="3" xr3:uid="{00000000-0010-0000-0400-000003000000}" name="TasaEA"/>
    <tableColumn id="4" xr3:uid="{00000000-0010-0000-0400-000004000000}" name="SaldoMiles"/>
    <tableColumn id="5" xr3:uid="{00000000-0010-0000-0400-000005000000}" name="FechaCorte"/>
    <tableColumn id="6" xr3:uid="{00000000-0010-0000-0400-000006000000}" name="InteresBrutoAhorro"/>
    <tableColumn id="7" xr3:uid="{00000000-0010-0000-0400-000007000000}" name="InteresNetoAhorro"/>
    <tableColumn id="8" xr3:uid="{00000000-0010-0000-0400-000008000000}" name="DifVsMejorCD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eferencias" displayName="TReferencias" ref="A4:F12">
  <autoFilter ref="A4:F12" xr:uid="{00000000-0009-0000-0100-000006000000}"/>
  <tableColumns count="6">
    <tableColumn id="1" xr3:uid="{00000000-0010-0000-0500-000001000000}" name="Serie"/>
    <tableColumn id="2" xr3:uid="{00000000-0010-0000-0500-000002000000}" name="IDSerie"/>
    <tableColumn id="3" xr3:uid="{00000000-0010-0000-0500-000003000000}" name="Fecha"/>
    <tableColumn id="4" xr3:uid="{00000000-0010-0000-0500-000004000000}" name="Valor"/>
    <tableColumn id="5" xr3:uid="{00000000-0010-0000-0500-000005000000}" name="Unidad"/>
    <tableColumn id="6" xr3:uid="{00000000-0010-0000-0500-000006000000}" name="Fuent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Fuentes" displayName="TFuentes" ref="A4:E13">
  <autoFilter ref="A4:E13" xr:uid="{00000000-0009-0000-0100-000007000000}"/>
  <tableColumns count="5">
    <tableColumn id="1" xr3:uid="{00000000-0010-0000-0600-000001000000}" name="Fuente"/>
    <tableColumn id="2" xr3:uid="{00000000-0010-0000-0600-000002000000}" name="URL"/>
    <tableColumn id="3" xr3:uid="{00000000-0010-0000-0600-000003000000}" name="FechaHoraConsulta"/>
    <tableColumn id="4" xr3:uid="{00000000-0010-0000-0600-000004000000}" name="FilasRecibidas"/>
    <tableColumn id="5" xr3:uid="{00000000-0010-0000-0600-000005000000}" name="Detall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Validaciones" displayName="TValidaciones" ref="A16:C23">
  <autoFilter ref="A16:C23" xr:uid="{00000000-0009-0000-0100-000008000000}"/>
  <tableColumns count="3">
    <tableColumn id="1" xr3:uid="{00000000-0010-0000-0700-000001000000}" name="Validacion"/>
    <tableColumn id="2" xr3:uid="{00000000-0010-0000-0700-000002000000}" name="Resultado"/>
    <tableColumn id="3" xr3:uid="{00000000-0010-0000-0700-000003000000}" name="Detal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B2:M57"/>
  <sheetViews>
    <sheetView showGridLines="0" tabSelected="1" workbookViewId="0"/>
  </sheetViews>
  <sheetFormatPr baseColWidth="10" defaultColWidth="8.88671875" defaultRowHeight="14.4"/>
  <cols>
    <col min="1" max="1" width="3" customWidth="1"/>
    <col min="2" max="2" width="6" customWidth="1"/>
    <col min="3" max="3" width="26" customWidth="1"/>
    <col min="4" max="4" width="18" customWidth="1"/>
    <col min="5" max="13" width="16" customWidth="1"/>
  </cols>
  <sheetData>
    <row r="2" spans="2:13" ht="34.049999999999997" customHeight="1">
      <c r="B2" s="1" t="s">
        <v>0</v>
      </c>
      <c r="K2" s="2" t="s">
        <v>1</v>
      </c>
    </row>
    <row r="3" spans="2:13" ht="15">
      <c r="B3" s="3" t="str">
        <f>"CDT de $"&amp;FIXED(Monto,0)&amp;" COP a "&amp;PlazoDias&amp;" días  ·  intereses: "&amp;Periodicidad&amp;"  ·  datos al corte "&amp;YEAR(FechaCorte)&amp;"-"&amp;RIGHT("0"&amp;MONTH(FechaCorte),2)&amp;"-"&amp;RIGHT("0"&amp;DAY(FechaCorte),2)</f>
        <v>CDT de $10,000,000 COP a 360 días  ·  intereses: Al vencimiento  ·  datos al corte 2026-09-25</v>
      </c>
      <c r="K3" s="4" t="str">
        <f ca="1">ModeloOK</f>
        <v>OK</v>
      </c>
    </row>
    <row r="4" spans="2:13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2:13" ht="19.95" customHeight="1">
      <c r="B6" s="33" t="s">
        <v>3</v>
      </c>
      <c r="C6" s="34"/>
      <c r="D6" s="33" t="s">
        <v>4</v>
      </c>
      <c r="E6" s="34"/>
      <c r="F6" s="33" t="s">
        <v>5</v>
      </c>
      <c r="G6" s="34"/>
      <c r="H6" s="33" t="s">
        <v>6</v>
      </c>
      <c r="I6" s="34"/>
      <c r="J6" s="33" t="s">
        <v>7</v>
      </c>
      <c r="K6" s="34"/>
      <c r="L6" s="33" t="s">
        <v>8</v>
      </c>
      <c r="M6" s="34"/>
    </row>
    <row r="7" spans="2:13" ht="34.049999999999997" customHeight="1">
      <c r="B7" s="37" t="str">
        <f>MejorEntidad</f>
        <v>Banco Pichincha</v>
      </c>
      <c r="C7" s="36"/>
      <c r="D7" s="35">
        <f>TasaMejor</f>
        <v>0.1346</v>
      </c>
      <c r="E7" s="36"/>
      <c r="F7" s="40">
        <f>MejorInteresNeto</f>
        <v>1273334.3181629216</v>
      </c>
      <c r="G7" s="36"/>
      <c r="H7" s="35">
        <f>RentRealMejor</f>
        <v>6.2832948630965557E-2</v>
      </c>
      <c r="I7" s="36"/>
      <c r="J7" s="38">
        <f>DifSistemaMejor</f>
        <v>1.3799999999999993E-2</v>
      </c>
      <c r="K7" s="36"/>
      <c r="L7" s="37" t="str">
        <f>ValidaXfd</f>
        <v>OK</v>
      </c>
      <c r="M7" s="36"/>
    </row>
    <row r="9" spans="2:13">
      <c r="B9" s="7" t="s">
        <v>9</v>
      </c>
    </row>
    <row r="10" spans="2:13">
      <c r="B10" s="8" t="str">
        <f>"1. "&amp;MejorEntidad&amp;" ofrece la mayor rentabilidad neta: "&amp;ROUND(TasaMejor*100,2)&amp;" % EA bruta, "&amp;ROUND(RentNetaMejor*100,2)&amp;" % EA tras retención."</f>
        <v>1. Banco Pichincha ofrece la mayor rentabilidad neta: 13.46 % EA bruta, 12.92 % EA tras retención.</v>
      </c>
    </row>
    <row r="11" spans="2:13">
      <c r="B11" s="8" t="str">
        <f>"2. Frente al promedio del sistema ("&amp;ROUND(PromedioSistema*100,2)&amp;" % EA), la mejor tasa está "&amp;ROUND(ABS(DifSistemaMejor)*100,2)&amp;" puntos porcentuales "&amp;IF(DifSistemaMejor&gt;=0,"por encima.","por debajo.")</f>
        <v>2. Frente al promedio del sistema (12.08 % EA), la mejor tasa está 1.38 puntos porcentuales por encima.</v>
      </c>
    </row>
    <row r="12" spans="2:13">
      <c r="B12" s="8" t="str">
        <f>"3. Con inflación de "&amp;ROUND(IPC12m*100,2)&amp;" %, la rentabilidad real de la mejor opción es "&amp;ROUND(RentRealMejor*100,2)&amp;" % EA."</f>
        <v>3. Con inflación de 6.25 %, la rentabilidad real de la mejor opción es 6.28 % EA.</v>
      </c>
    </row>
    <row r="14" spans="2:13">
      <c r="B14" s="7" t="s">
        <v>10</v>
      </c>
    </row>
    <row r="15" spans="2:13">
      <c r="B15" s="9" t="s">
        <v>11</v>
      </c>
      <c r="C15" s="9" t="s">
        <v>12</v>
      </c>
      <c r="D15" s="9" t="s">
        <v>13</v>
      </c>
      <c r="E15" s="10" t="s">
        <v>4</v>
      </c>
      <c r="F15" s="10" t="s">
        <v>14</v>
      </c>
      <c r="G15" s="10" t="s">
        <v>5</v>
      </c>
      <c r="H15" s="10" t="s">
        <v>15</v>
      </c>
      <c r="I15" s="9" t="s">
        <v>16</v>
      </c>
    </row>
    <row r="16" spans="2:13">
      <c r="B16" s="11">
        <v>1</v>
      </c>
      <c r="C16" s="11" t="str">
        <f>INDEX(TSimulacion[Entidad],1)</f>
        <v>Banco Pichincha</v>
      </c>
      <c r="D16" s="11" t="str">
        <f>INDEX(TSimulacion[Categoria],1)</f>
        <v>Banco digital</v>
      </c>
      <c r="E16" s="12">
        <f>INDEX(TSimulacion[TasaEA],1)</f>
        <v>0.1346</v>
      </c>
      <c r="F16" s="12">
        <f>INDEX(TSimulacion[RentNetaEA],1)</f>
        <v>0.12921161414252236</v>
      </c>
      <c r="G16" s="13">
        <f>INDEX(TSimulacion[InteresNeto],1)</f>
        <v>1273334.3181629216</v>
      </c>
      <c r="H16" s="12">
        <f>INDEX(TSimulacion[RentRealEA],1)</f>
        <v>6.2832948630965557E-2</v>
      </c>
      <c r="I16" s="11" t="str">
        <f>INDEX(TSimulacion[AlertaFogafin],1)</f>
        <v/>
      </c>
    </row>
    <row r="17" spans="2:9">
      <c r="B17" s="11">
        <v>2</v>
      </c>
      <c r="C17" s="11" t="str">
        <f>INDEX(TSimulacion[Entidad],2)</f>
        <v>KOA CF</v>
      </c>
      <c r="D17" s="11" t="str">
        <f>INDEX(TSimulacion[Categoria],2)</f>
        <v>Fintech</v>
      </c>
      <c r="E17" s="12">
        <f>INDEX(TSimulacion[TasaEA],2)</f>
        <v>0.13250000000000001</v>
      </c>
      <c r="F17" s="12">
        <f>INDEX(TSimulacion[RentNetaEA],2)</f>
        <v>0.12719574469742079</v>
      </c>
      <c r="G17" s="13">
        <f>INDEX(TSimulacion[InteresNeto],2)</f>
        <v>1253484.5973766977</v>
      </c>
      <c r="H17" s="12">
        <f>INDEX(TSimulacion[RentRealEA],2)</f>
        <v>6.0935578430766801E-2</v>
      </c>
      <c r="I17" s="11" t="str">
        <f>INDEX(TSimulacion[AlertaFogafin],2)</f>
        <v/>
      </c>
    </row>
    <row r="18" spans="2:9">
      <c r="B18" s="11">
        <v>3</v>
      </c>
      <c r="C18" s="11" t="str">
        <f>INDEX(TSimulacion[Entidad],3)</f>
        <v>Iris CF</v>
      </c>
      <c r="D18" s="11" t="str">
        <f>INDEX(TSimulacion[Categoria],3)</f>
        <v>Fintech</v>
      </c>
      <c r="E18" s="12">
        <f>INDEX(TSimulacion[TasaEA],3)</f>
        <v>0.12939999999999999</v>
      </c>
      <c r="F18" s="12">
        <f>INDEX(TSimulacion[RentNetaEA],3)</f>
        <v>0.12421993409287757</v>
      </c>
      <c r="G18" s="13">
        <f>INDEX(TSimulacion[InteresNeto],3)</f>
        <v>1224181.7067803098</v>
      </c>
      <c r="H18" s="12">
        <f>INDEX(TSimulacion[RentRealEA],3)</f>
        <v>5.8134695478641252E-2</v>
      </c>
      <c r="I18" s="11" t="str">
        <f>INDEX(TSimulacion[AlertaFogafin],3)</f>
        <v/>
      </c>
    </row>
    <row r="19" spans="2:9">
      <c r="B19" s="11">
        <v>4</v>
      </c>
      <c r="C19" s="11" t="str">
        <f>INDEX(TSimulacion[Entidad],4)</f>
        <v>Banco Credifinanciera</v>
      </c>
      <c r="D19" s="11" t="str">
        <f>INDEX(TSimulacion[Categoria],4)</f>
        <v>Banco digital</v>
      </c>
      <c r="E19" s="12">
        <f>INDEX(TSimulacion[TasaEA],4)</f>
        <v>0.12870000000000001</v>
      </c>
      <c r="F19" s="12">
        <f>INDEX(TSimulacion[RentNetaEA],4)</f>
        <v>0.12354797630849323</v>
      </c>
      <c r="G19" s="13">
        <f>INDEX(TSimulacion[InteresNeto],4)</f>
        <v>1217564.7726532794</v>
      </c>
      <c r="H19" s="12">
        <f>INDEX(TSimulacion[RentRealEA],4)</f>
        <v>5.7502237519133637E-2</v>
      </c>
      <c r="I19" s="11" t="str">
        <f>INDEX(TSimulacion[AlertaFogafin],4)</f>
        <v/>
      </c>
    </row>
    <row r="20" spans="2:9">
      <c r="B20" s="11">
        <v>5</v>
      </c>
      <c r="C20" s="11" t="str">
        <f>INDEX(TSimulacion[Entidad],5)</f>
        <v>Tuya</v>
      </c>
      <c r="D20" s="11" t="str">
        <f>INDEX(TSimulacion[Categoria],5)</f>
        <v>Fintech</v>
      </c>
      <c r="E20" s="12">
        <f>INDEX(TSimulacion[TasaEA],5)</f>
        <v>0.1278</v>
      </c>
      <c r="F20" s="12">
        <f>INDEX(TSimulacion[RentNetaEA],5)</f>
        <v>0.12268403028656483</v>
      </c>
      <c r="G20" s="13">
        <f>INDEX(TSimulacion[InteresNeto],5)</f>
        <v>1209057.2033113488</v>
      </c>
      <c r="H20" s="12">
        <f>INDEX(TSimulacion[RentRealEA],5)</f>
        <v>5.6689077003917454E-2</v>
      </c>
      <c r="I20" s="11" t="str">
        <f>INDEX(TSimulacion[AlertaFogafin],5)</f>
        <v/>
      </c>
    </row>
    <row r="21" spans="2:9">
      <c r="B21" s="11">
        <v>6</v>
      </c>
      <c r="C21" s="11" t="str">
        <f>INDEX(TSimulacion[Entidad],6)</f>
        <v>Bold CF</v>
      </c>
      <c r="D21" s="11" t="str">
        <f>INDEX(TSimulacion[Categoria],6)</f>
        <v>Fintech</v>
      </c>
      <c r="E21" s="12">
        <f>INDEX(TSimulacion[TasaEA],6)</f>
        <v>0.125</v>
      </c>
      <c r="F21" s="12">
        <f>INDEX(TSimulacion[RentNetaEA],6)</f>
        <v>0.11999619606066614</v>
      </c>
      <c r="G21" s="13">
        <f>INDEX(TSimulacion[InteresNeto],6)</f>
        <v>1182588.6147062362</v>
      </c>
      <c r="H21" s="12">
        <f>INDEX(TSimulacion[RentRealEA],6)</f>
        <v>5.4159242259069984E-2</v>
      </c>
      <c r="I21" s="11" t="str">
        <f>INDEX(TSimulacion[AlertaFogafin],6)</f>
        <v/>
      </c>
    </row>
    <row r="22" spans="2:9">
      <c r="B22" s="11">
        <v>7</v>
      </c>
      <c r="C22" s="11" t="str">
        <f>INDEX(TSimulacion[Entidad],7)</f>
        <v>AV Villas</v>
      </c>
      <c r="D22" s="11" t="str">
        <f>INDEX(TSimulacion[Categoria],7)</f>
        <v>Banco tradicional</v>
      </c>
      <c r="E22" s="12">
        <f>INDEX(TSimulacion[TasaEA],7)</f>
        <v>0.125</v>
      </c>
      <c r="F22" s="12">
        <f>INDEX(TSimulacion[RentNetaEA],7)</f>
        <v>0.11999619606066614</v>
      </c>
      <c r="G22" s="13">
        <f>INDEX(TSimulacion[InteresNeto],7)</f>
        <v>1182588.6147062362</v>
      </c>
      <c r="H22" s="12">
        <f>INDEX(TSimulacion[RentRealEA],7)</f>
        <v>5.4159242259069984E-2</v>
      </c>
      <c r="I22" s="11" t="str">
        <f>INDEX(TSimulacion[AlertaFogafin],7)</f>
        <v/>
      </c>
    </row>
    <row r="23" spans="2:9">
      <c r="B23" s="11">
        <v>8</v>
      </c>
      <c r="C23" s="11" t="str">
        <f>INDEX(TSimulacion[Entidad],8)</f>
        <v>Banco Serfinanza</v>
      </c>
      <c r="D23" s="11" t="str">
        <f>INDEX(TSimulacion[Categoria],8)</f>
        <v>Banco tradicional</v>
      </c>
      <c r="E23" s="12">
        <f>INDEX(TSimulacion[TasaEA],8)</f>
        <v>0.124</v>
      </c>
      <c r="F23" s="12">
        <f>INDEX(TSimulacion[RentNetaEA],8)</f>
        <v>0.11903625447212485</v>
      </c>
      <c r="G23" s="13">
        <f>INDEX(TSimulacion[InteresNeto],8)</f>
        <v>1173135.3287605038</v>
      </c>
      <c r="H23" s="12">
        <f>INDEX(TSimulacion[RentRealEA],8)</f>
        <v>5.3255729103267369E-2</v>
      </c>
      <c r="I23" s="11" t="str">
        <f>INDEX(TSimulacion[AlertaFogafin],8)</f>
        <v/>
      </c>
    </row>
    <row r="24" spans="2:9">
      <c r="B24" s="11">
        <v>9</v>
      </c>
      <c r="C24" s="11" t="str">
        <f>INDEX(TSimulacion[Entidad],9)</f>
        <v>Banco de Bogotá</v>
      </c>
      <c r="D24" s="11" t="str">
        <f>INDEX(TSimulacion[Categoria],9)</f>
        <v>Banco tradicional</v>
      </c>
      <c r="E24" s="12">
        <f>INDEX(TSimulacion[TasaEA],9)</f>
        <v>0.1235</v>
      </c>
      <c r="F24" s="12">
        <f>INDEX(TSimulacion[RentNetaEA],9)</f>
        <v>0.11855628352083736</v>
      </c>
      <c r="G24" s="13">
        <f>INDEX(TSimulacion[InteresNeto],9)</f>
        <v>1168408.6425897712</v>
      </c>
      <c r="H24" s="12">
        <f>INDEX(TSimulacion[RentRealEA],9)</f>
        <v>5.2803972377579278E-2</v>
      </c>
      <c r="I24" s="11" t="str">
        <f>INDEX(TSimulacion[AlertaFogafin],9)</f>
        <v/>
      </c>
    </row>
    <row r="25" spans="2:9">
      <c r="B25" s="11">
        <v>10</v>
      </c>
      <c r="C25" s="11" t="str">
        <f>INDEX(TSimulacion[Entidad],10)</f>
        <v>Itaú</v>
      </c>
      <c r="D25" s="11" t="str">
        <f>INDEX(TSimulacion[Categoria],10)</f>
        <v>Banco tradicional</v>
      </c>
      <c r="E25" s="12">
        <f>INDEX(TSimulacion[TasaEA],10)</f>
        <v>0.1225</v>
      </c>
      <c r="F25" s="12">
        <f>INDEX(TSimulacion[RentNetaEA],10)</f>
        <v>0.1175963413037735</v>
      </c>
      <c r="G25" s="13">
        <f>INDEX(TSimulacion[InteresNeto],10)</f>
        <v>1158955.1837876022</v>
      </c>
      <c r="H25" s="12">
        <f>INDEX(TSimulacion[RentRealEA],10)</f>
        <v>5.1900458630200763E-2</v>
      </c>
      <c r="I25" s="11" t="str">
        <f>INDEX(TSimulacion[AlertaFogafin],10)</f>
        <v/>
      </c>
    </row>
    <row r="28" spans="2:9">
      <c r="B28" s="7" t="s">
        <v>17</v>
      </c>
    </row>
    <row r="29" spans="2:9" ht="22.8">
      <c r="C29" s="9" t="s">
        <v>13</v>
      </c>
      <c r="D29" s="9" t="s">
        <v>18</v>
      </c>
      <c r="E29" s="9" t="s">
        <v>19</v>
      </c>
      <c r="F29" s="9" t="s">
        <v>20</v>
      </c>
    </row>
    <row r="30" spans="2:9">
      <c r="C30" s="11" t="s">
        <v>21</v>
      </c>
      <c r="D30" s="11">
        <f>COUNTIF(TSimulacion[Categoria],C30)</f>
        <v>16</v>
      </c>
      <c r="E30" s="12">
        <f>IFERROR(AVERAGEIFS(TSimulacion[TasaEA],TSimulacion[Categoria],C30),"Sin dato")</f>
        <v>0.11439999999999999</v>
      </c>
      <c r="F30" s="12">
        <f>IFERROR(AVERAGEIFS(TSimulacion[RentNetaEA],TSimulacion[Categoria],C30),"Sin dato")</f>
        <v>0.10982077198672201</v>
      </c>
    </row>
    <row r="31" spans="2:9">
      <c r="C31" s="11" t="s">
        <v>22</v>
      </c>
      <c r="D31" s="11">
        <f>COUNTIF(TSimulacion[Categoria],C31)</f>
        <v>4</v>
      </c>
      <c r="E31" s="12">
        <f>IFERROR(AVERAGEIFS(TSimulacion[TasaEA],TSimulacion[Categoria],C31),"Sin dato")</f>
        <v>0.12394999999999999</v>
      </c>
      <c r="F31" s="12">
        <f>IFERROR(AVERAGEIFS(TSimulacion[RentNetaEA],TSimulacion[Categoria],C31),"Sin dato")</f>
        <v>0.11898824030744198</v>
      </c>
    </row>
    <row r="32" spans="2:9">
      <c r="C32" s="11" t="s">
        <v>23</v>
      </c>
      <c r="D32" s="11">
        <f>COUNTIF(TSimulacion[Categoria],C32)</f>
        <v>5</v>
      </c>
      <c r="E32" s="12">
        <f>IFERROR(AVERAGEIFS(TSimulacion[TasaEA],TSimulacion[Categoria],C32),"Sin dato")</f>
        <v>0.12494000000000001</v>
      </c>
      <c r="F32" s="12">
        <f>IFERROR(AVERAGEIFS(TSimulacion[RentNetaEA],TSimulacion[Categoria],C32),"Sin dato")</f>
        <v>0.11993858661173977</v>
      </c>
    </row>
    <row r="34" spans="2:2">
      <c r="B34" s="7" t="s">
        <v>24</v>
      </c>
    </row>
    <row r="57" spans="2:13" ht="40.049999999999997" customHeight="1">
      <c r="B57" s="39" t="s">
        <v>25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</sheetData>
  <mergeCells count="13">
    <mergeCell ref="B57:M57"/>
    <mergeCell ref="F7:G7"/>
    <mergeCell ref="J6:K6"/>
    <mergeCell ref="L6:M6"/>
    <mergeCell ref="H7:I7"/>
    <mergeCell ref="L7:M7"/>
    <mergeCell ref="J7:K7"/>
    <mergeCell ref="D6:E6"/>
    <mergeCell ref="B6:C6"/>
    <mergeCell ref="D7:E7"/>
    <mergeCell ref="B7:C7"/>
    <mergeCell ref="H6:I6"/>
    <mergeCell ref="F6:G6"/>
  </mergeCells>
  <conditionalFormatting sqref="F16:F25">
    <cfRule type="dataBar" priority="5">
      <dataBar>
        <cfvo type="num" val="0"/>
        <cfvo type="max"/>
        <color rgb="FF99E0D6"/>
      </dataBar>
    </cfRule>
  </conditionalFormatting>
  <conditionalFormatting sqref="K3">
    <cfRule type="cellIs" dxfId="15" priority="1" operator="equal">
      <formula>"OK"</formula>
    </cfRule>
    <cfRule type="expression" dxfId="14" priority="2">
      <formula>LEFT(K3,2)="OK"</formula>
    </cfRule>
    <cfRule type="expression" dxfId="13" priority="3">
      <formula>LEFT(K3,11)="ADVERTENCIA"</formula>
    </cfRule>
    <cfRule type="expression" dxfId="12" priority="4">
      <formula>OR(LEFT(K3,5)="ERROR",LEFT(K3,7)="REVISAR")</formula>
    </cfRule>
  </conditionalFormatting>
  <printOptions horizontalCentered="1"/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  <pageSetUpPr fitToPage="1"/>
  </sheetPr>
  <dimension ref="B2:D17"/>
  <sheetViews>
    <sheetView showGridLines="0" workbookViewId="0"/>
  </sheetViews>
  <sheetFormatPr baseColWidth="10" defaultColWidth="8.88671875" defaultRowHeight="14.4"/>
  <cols>
    <col min="2" max="2" width="8" customWidth="1"/>
    <col min="3" max="3" width="78" customWidth="1"/>
    <col min="4" max="4" width="30" customWidth="1"/>
  </cols>
  <sheetData>
    <row r="2" spans="2:4" ht="24.6">
      <c r="B2" s="14" t="s">
        <v>26</v>
      </c>
    </row>
    <row r="4" spans="2:4" ht="22.05" customHeight="1">
      <c r="B4" s="9" t="s">
        <v>27</v>
      </c>
      <c r="C4" s="9" t="s">
        <v>28</v>
      </c>
      <c r="D4" s="9" t="s">
        <v>29</v>
      </c>
    </row>
    <row r="5" spans="2:4" ht="16.95" customHeight="1">
      <c r="B5" s="11" t="s">
        <v>30</v>
      </c>
      <c r="C5" s="11" t="s">
        <v>31</v>
      </c>
      <c r="D5" s="11" t="str">
        <f>IF(ABS(SumXfd)&lt;1,"OK","ERROR")</f>
        <v>OK</v>
      </c>
    </row>
    <row r="6" spans="2:4" ht="16.95" customHeight="1">
      <c r="B6" s="11" t="s">
        <v>32</v>
      </c>
      <c r="C6" s="11" t="s">
        <v>33</v>
      </c>
      <c r="D6" s="11" t="str">
        <f>IF(ValidaTIR="OK","OK","ERROR")</f>
        <v>OK</v>
      </c>
    </row>
    <row r="7" spans="2:4" ht="16.95" customHeight="1">
      <c r="B7" s="11" t="s">
        <v>34</v>
      </c>
      <c r="C7" s="11" t="s">
        <v>35</v>
      </c>
      <c r="D7" s="11" t="str">
        <f>IF(ChequeoPlazo="OK","OK","ERROR")</f>
        <v>OK</v>
      </c>
    </row>
    <row r="8" spans="2:4" ht="16.95" customHeight="1">
      <c r="B8" s="11" t="s">
        <v>36</v>
      </c>
      <c r="C8" s="11" t="s">
        <v>37</v>
      </c>
      <c r="D8" s="11" t="str">
        <f>IF(SUMPRODUCT(--ISERROR(TSimulacion[[TasaEA]:[Ranking]]))+SUMPRODUCT(--ISERROR(TAhorro[[InteresBrutoAhorro]:[DifVsMejorCDT]]))=0,"OK","ERROR")</f>
        <v>OK</v>
      </c>
    </row>
    <row r="9" spans="2:4" ht="16.95" customHeight="1">
      <c r="B9" s="11" t="s">
        <v>38</v>
      </c>
      <c r="C9" s="11" t="s">
        <v>39</v>
      </c>
      <c r="D9" s="11" t="str">
        <f>IF(AND(MIN(TSimulacion[TasaEA])&gt;0,MAX(TSimulacion[TasaEA])&lt;=0.25),"OK","ERROR")</f>
        <v>OK</v>
      </c>
    </row>
    <row r="10" spans="2:4" ht="16.95" customHeight="1">
      <c r="B10" s="11" t="s">
        <v>40</v>
      </c>
      <c r="C10" s="11" t="s">
        <v>41</v>
      </c>
      <c r="D10" s="11" t="str">
        <f>IF(COUNTIF(TSimulacion[Ranking],1)=1,"OK","ADVERTENCIA: empate en el primer lugar")</f>
        <v>OK</v>
      </c>
    </row>
    <row r="11" spans="2:4" ht="16.95" customHeight="1">
      <c r="B11" s="11" t="s">
        <v>42</v>
      </c>
      <c r="C11" s="11" t="s">
        <v>43</v>
      </c>
      <c r="D11" s="11" t="str">
        <f>IF(COUNTA(TSimulacion[Entidad])&gt;=10,"OK","ADVERTENCIA: menos de 10 entidades")</f>
        <v>OK</v>
      </c>
    </row>
    <row r="12" spans="2:4" ht="16.95" customHeight="1">
      <c r="B12" s="11" t="s">
        <v>44</v>
      </c>
      <c r="C12" s="11" t="s">
        <v>45</v>
      </c>
      <c r="D12" s="11" t="str">
        <f ca="1">IF(TODAY()-FechaCorte&lt;7,"OK","ADVERTENCIA: dato con "&amp;(TODAY()-FechaCorte)&amp;" días")</f>
        <v>OK</v>
      </c>
    </row>
    <row r="13" spans="2:4" ht="16.95" customHeight="1">
      <c r="B13" s="11" t="s">
        <v>46</v>
      </c>
      <c r="C13" s="11" t="s">
        <v>47</v>
      </c>
      <c r="D13" s="11" t="str">
        <f>IF(INDEX(TSimulacion[ValorFinal],1)&lt;=CoberturaFogafin,"OK","ADVERTENCIA: excede la cobertura de Fogafín")</f>
        <v>OK</v>
      </c>
    </row>
    <row r="14" spans="2:4" ht="16.95" customHeight="1">
      <c r="B14" s="11" t="s">
        <v>48</v>
      </c>
      <c r="C14" s="11" t="s">
        <v>49</v>
      </c>
      <c r="D14" s="11" t="s">
        <v>50</v>
      </c>
    </row>
    <row r="16" spans="2:4" ht="15">
      <c r="C16" s="4" t="s">
        <v>51</v>
      </c>
    </row>
    <row r="17" spans="3:3" ht="19.2">
      <c r="C17" s="15" t="str">
        <f ca="1">IF(COUNTIF(TControles[Estado],"ERROR*")&gt;0,"REVISAR: hay controles en error",IF(COUNTIF(TControles[Estado],"ADVERTENCIA*")&gt;0,"OK CON ADVERTENCIAS","OK"))</f>
        <v>OK</v>
      </c>
    </row>
  </sheetData>
  <conditionalFormatting sqref="C17">
    <cfRule type="cellIs" dxfId="11" priority="5" operator="equal">
      <formula>"OK"</formula>
    </cfRule>
    <cfRule type="expression" dxfId="10" priority="6">
      <formula>LEFT(C17,2)="OK"</formula>
    </cfRule>
    <cfRule type="expression" dxfId="9" priority="7">
      <formula>LEFT(C17,11)="ADVERTENCIA"</formula>
    </cfRule>
    <cfRule type="expression" dxfId="8" priority="8">
      <formula>OR(LEFT(C17,5)="ERROR",LEFT(C17,7)="REVISAR")</formula>
    </cfRule>
  </conditionalFormatting>
  <conditionalFormatting sqref="D5:D14">
    <cfRule type="cellIs" dxfId="7" priority="1" operator="equal">
      <formula>"OK"</formula>
    </cfRule>
    <cfRule type="expression" dxfId="6" priority="2">
      <formula>LEFT(D5,2)="OK"</formula>
    </cfRule>
    <cfRule type="expression" dxfId="5" priority="3">
      <formula>LEFT(D5,11)="ADVERTENCIA"</formula>
    </cfRule>
    <cfRule type="expression" dxfId="4" priority="4">
      <formula>OR(LEFT(D5,5)="ERROR",LEFT(D5,7)="REVISAR")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82F6"/>
    <pageSetUpPr fitToPage="1"/>
  </sheetPr>
  <dimension ref="B2:E19"/>
  <sheetViews>
    <sheetView showGridLines="0" workbookViewId="0"/>
  </sheetViews>
  <sheetFormatPr baseColWidth="10" defaultColWidth="8.88671875" defaultRowHeight="14.4"/>
  <cols>
    <col min="2" max="2" width="60" customWidth="1"/>
    <col min="3" max="3" width="21" customWidth="1"/>
    <col min="4" max="4" width="27" customWidth="1"/>
    <col min="5" max="5" width="55" customWidth="1"/>
  </cols>
  <sheetData>
    <row r="2" spans="2:5" ht="20.399999999999999">
      <c r="B2" s="16" t="s">
        <v>52</v>
      </c>
    </row>
    <row r="4" spans="2:5">
      <c r="B4" s="9" t="s">
        <v>53</v>
      </c>
      <c r="C4" s="9" t="s">
        <v>54</v>
      </c>
      <c r="D4" s="9" t="s">
        <v>55</v>
      </c>
      <c r="E4" s="9" t="s">
        <v>56</v>
      </c>
    </row>
    <row r="5" spans="2:5" ht="15">
      <c r="B5" s="4" t="s">
        <v>57</v>
      </c>
      <c r="C5" s="17">
        <v>10000000</v>
      </c>
      <c r="D5" s="8" t="s">
        <v>58</v>
      </c>
      <c r="E5" s="8" t="s">
        <v>59</v>
      </c>
    </row>
    <row r="6" spans="2:5" ht="15">
      <c r="B6" s="4" t="s">
        <v>60</v>
      </c>
      <c r="C6" s="18">
        <v>360</v>
      </c>
      <c r="D6" s="8" t="s">
        <v>61</v>
      </c>
      <c r="E6" s="8" t="s">
        <v>62</v>
      </c>
    </row>
    <row r="7" spans="2:5" ht="15">
      <c r="B7" s="4" t="s">
        <v>63</v>
      </c>
      <c r="C7" s="19" t="s">
        <v>64</v>
      </c>
      <c r="D7" s="8"/>
      <c r="E7" s="8" t="s">
        <v>65</v>
      </c>
    </row>
    <row r="8" spans="2:5" ht="15">
      <c r="B8" s="4" t="s">
        <v>66</v>
      </c>
      <c r="C8" s="20">
        <f>IF(Periodicidad="Mensual",30,IF(Periodicidad="Trimestral",90,IF(Periodicidad="Semestral",180,IF(Periodicidad="Anual",360,PlazoDias))))</f>
        <v>360</v>
      </c>
      <c r="D8" s="8" t="s">
        <v>61</v>
      </c>
      <c r="E8" s="8" t="s">
        <v>67</v>
      </c>
    </row>
    <row r="9" spans="2:5" ht="15">
      <c r="B9" s="4" t="s">
        <v>68</v>
      </c>
      <c r="C9" s="21">
        <f>PlazoDias/DiasPeriodo</f>
        <v>1</v>
      </c>
      <c r="D9" s="8"/>
      <c r="E9" s="8" t="s">
        <v>67</v>
      </c>
    </row>
    <row r="10" spans="2:5" ht="15">
      <c r="B10" s="4" t="s">
        <v>69</v>
      </c>
      <c r="C10" s="11" t="str">
        <f>IF(AND(MOD(PlazoDias,DiasPeriodo)=0,NPer&lt;=60),"OK","ERROR: plazo no múltiplo del periodo")</f>
        <v>OK</v>
      </c>
      <c r="D10" s="8"/>
      <c r="E10" s="8" t="s">
        <v>70</v>
      </c>
    </row>
    <row r="11" spans="2:5" ht="15">
      <c r="B11" s="4" t="s">
        <v>71</v>
      </c>
      <c r="C11" s="18">
        <v>365</v>
      </c>
      <c r="D11" s="8" t="s">
        <v>61</v>
      </c>
      <c r="E11" s="8" t="s">
        <v>72</v>
      </c>
    </row>
    <row r="12" spans="2:5" ht="15">
      <c r="B12" s="4" t="s">
        <v>73</v>
      </c>
      <c r="C12" s="22">
        <v>0.04</v>
      </c>
      <c r="D12" s="8" t="s">
        <v>74</v>
      </c>
      <c r="E12" s="8" t="s">
        <v>75</v>
      </c>
    </row>
    <row r="13" spans="2:5" ht="15">
      <c r="B13" s="4" t="s">
        <v>76</v>
      </c>
      <c r="C13" s="22">
        <v>6.2454467183256979E-2</v>
      </c>
      <c r="D13" s="8" t="s">
        <v>77</v>
      </c>
      <c r="E13" s="8" t="s">
        <v>78</v>
      </c>
    </row>
    <row r="14" spans="2:5" ht="15">
      <c r="B14" s="4" t="s">
        <v>79</v>
      </c>
      <c r="C14" s="22">
        <v>0.1208</v>
      </c>
      <c r="D14" s="8" t="s">
        <v>80</v>
      </c>
      <c r="E14" s="8" t="s">
        <v>81</v>
      </c>
    </row>
    <row r="15" spans="2:5" ht="15">
      <c r="B15" s="4" t="s">
        <v>82</v>
      </c>
      <c r="C15" s="17">
        <v>50000000</v>
      </c>
      <c r="D15" s="8" t="s">
        <v>83</v>
      </c>
      <c r="E15" s="8" t="s">
        <v>84</v>
      </c>
    </row>
    <row r="16" spans="2:5" ht="15">
      <c r="B16" s="4" t="s">
        <v>85</v>
      </c>
      <c r="C16" s="23">
        <v>46290</v>
      </c>
      <c r="D16" s="8"/>
      <c r="E16" s="8" t="s">
        <v>86</v>
      </c>
    </row>
    <row r="17" spans="2:5" ht="15">
      <c r="B17" s="4" t="s">
        <v>87</v>
      </c>
      <c r="C17" s="11" t="s">
        <v>88</v>
      </c>
      <c r="D17" s="8"/>
      <c r="E17" s="8"/>
    </row>
    <row r="18" spans="2:5" ht="15">
      <c r="B18" s="4" t="s">
        <v>89</v>
      </c>
      <c r="C18" s="12">
        <v>0.12</v>
      </c>
      <c r="D18" s="8" t="s">
        <v>90</v>
      </c>
      <c r="E18" s="8" t="s">
        <v>91</v>
      </c>
    </row>
    <row r="19" spans="2:5" ht="15">
      <c r="B19" s="4" t="s">
        <v>92</v>
      </c>
      <c r="C19" s="12">
        <v>0.1154</v>
      </c>
      <c r="D19" s="8" t="s">
        <v>93</v>
      </c>
      <c r="E19" s="8" t="s">
        <v>91</v>
      </c>
    </row>
  </sheetData>
  <dataValidations count="1">
    <dataValidation type="list" sqref="C7" xr:uid="{00000000-0002-0000-0200-000000000000}">
      <formula1>"Al vencimiento,Mensual,Trimestral,Semestral,Anual"</formula1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1D5DB"/>
    <pageSetUpPr fitToPage="1"/>
  </sheetPr>
  <dimension ref="A2:P32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/>
  <cols>
    <col min="1" max="1" width="60" customWidth="1"/>
    <col min="2" max="2" width="23" customWidth="1"/>
    <col min="3" max="3" width="16" customWidth="1"/>
    <col min="4" max="4" width="13" customWidth="1"/>
    <col min="5" max="5" width="15" customWidth="1"/>
    <col min="6" max="6" width="11" customWidth="1"/>
    <col min="7" max="7" width="18" customWidth="1"/>
    <col min="8" max="8" width="21" customWidth="1"/>
    <col min="9" max="9" width="19" customWidth="1"/>
    <col min="10" max="10" width="12" customWidth="1"/>
    <col min="11" max="12" width="14" customWidth="1"/>
    <col min="13" max="13" width="24" customWidth="1"/>
    <col min="14" max="14" width="29" customWidth="1"/>
    <col min="15" max="15" width="32" customWidth="1"/>
    <col min="16" max="16" width="18" customWidth="1"/>
  </cols>
  <sheetData>
    <row r="2" spans="1:16" ht="20.399999999999999">
      <c r="A2" s="16" t="s">
        <v>94</v>
      </c>
    </row>
    <row r="4" spans="1:16" ht="22.05" customHeight="1">
      <c r="A4" s="9" t="s">
        <v>95</v>
      </c>
      <c r="B4" s="9" t="s">
        <v>96</v>
      </c>
      <c r="C4" s="9" t="s">
        <v>97</v>
      </c>
      <c r="D4" s="9" t="s">
        <v>98</v>
      </c>
      <c r="E4" s="9" t="s">
        <v>99</v>
      </c>
      <c r="F4" s="9" t="s">
        <v>100</v>
      </c>
      <c r="G4" s="9" t="s">
        <v>101</v>
      </c>
      <c r="H4" s="10" t="s">
        <v>102</v>
      </c>
      <c r="I4" s="10" t="s">
        <v>103</v>
      </c>
      <c r="J4" s="9" t="s">
        <v>104</v>
      </c>
      <c r="K4" s="9" t="s">
        <v>105</v>
      </c>
      <c r="L4" s="9" t="s">
        <v>29</v>
      </c>
      <c r="M4" s="9" t="s">
        <v>106</v>
      </c>
      <c r="N4" s="9" t="s">
        <v>107</v>
      </c>
      <c r="O4" s="9" t="s">
        <v>108</v>
      </c>
      <c r="P4" s="9" t="s">
        <v>109</v>
      </c>
    </row>
    <row r="5" spans="1:16" ht="16.95" customHeight="1">
      <c r="A5" s="11" t="s">
        <v>21</v>
      </c>
      <c r="B5" s="11" t="s">
        <v>110</v>
      </c>
      <c r="C5" s="11"/>
      <c r="D5" s="11">
        <v>1</v>
      </c>
      <c r="E5" s="11">
        <v>7</v>
      </c>
      <c r="F5" s="11">
        <v>130</v>
      </c>
      <c r="G5" s="11" t="s">
        <v>111</v>
      </c>
      <c r="H5" s="12">
        <v>0.115</v>
      </c>
      <c r="I5" s="13">
        <v>28325001.530000001</v>
      </c>
      <c r="J5" s="23">
        <v>46290</v>
      </c>
      <c r="K5" s="11">
        <v>0</v>
      </c>
      <c r="L5" s="11" t="s">
        <v>50</v>
      </c>
      <c r="M5" s="11"/>
      <c r="N5" s="11" t="s">
        <v>112</v>
      </c>
      <c r="O5" s="11" t="s">
        <v>113</v>
      </c>
      <c r="P5" s="11" t="s">
        <v>88</v>
      </c>
    </row>
    <row r="6" spans="1:16" ht="16.95" customHeight="1">
      <c r="A6" s="11" t="s">
        <v>21</v>
      </c>
      <c r="B6" s="11" t="s">
        <v>114</v>
      </c>
      <c r="C6" s="11"/>
      <c r="D6" s="11">
        <v>1</v>
      </c>
      <c r="E6" s="11">
        <v>1</v>
      </c>
      <c r="F6" s="11">
        <v>130</v>
      </c>
      <c r="G6" s="11" t="s">
        <v>111</v>
      </c>
      <c r="H6" s="12">
        <v>0.1235</v>
      </c>
      <c r="I6" s="13">
        <v>95355102</v>
      </c>
      <c r="J6" s="23">
        <v>46290</v>
      </c>
      <c r="K6" s="11">
        <v>0</v>
      </c>
      <c r="L6" s="11" t="s">
        <v>50</v>
      </c>
      <c r="M6" s="11"/>
      <c r="N6" s="11" t="s">
        <v>112</v>
      </c>
      <c r="O6" s="11" t="s">
        <v>113</v>
      </c>
      <c r="P6" s="11" t="s">
        <v>88</v>
      </c>
    </row>
    <row r="7" spans="1:16" ht="16.95" customHeight="1">
      <c r="A7" s="11" t="s">
        <v>21</v>
      </c>
      <c r="B7" s="11" t="s">
        <v>115</v>
      </c>
      <c r="C7" s="11"/>
      <c r="D7" s="11">
        <v>1</v>
      </c>
      <c r="E7" s="11">
        <v>39</v>
      </c>
      <c r="F7" s="11">
        <v>130</v>
      </c>
      <c r="G7" s="11" t="s">
        <v>111</v>
      </c>
      <c r="H7" s="12">
        <v>0.1079</v>
      </c>
      <c r="I7" s="13">
        <v>13772114</v>
      </c>
      <c r="J7" s="23">
        <v>46290</v>
      </c>
      <c r="K7" s="11">
        <v>0</v>
      </c>
      <c r="L7" s="11" t="s">
        <v>50</v>
      </c>
      <c r="M7" s="11"/>
      <c r="N7" s="11" t="s">
        <v>112</v>
      </c>
      <c r="O7" s="11" t="s">
        <v>113</v>
      </c>
      <c r="P7" s="11" t="s">
        <v>88</v>
      </c>
    </row>
    <row r="8" spans="1:16" ht="16.95" customHeight="1">
      <c r="A8" s="11" t="s">
        <v>21</v>
      </c>
      <c r="B8" s="11" t="s">
        <v>116</v>
      </c>
      <c r="C8" s="11"/>
      <c r="D8" s="11">
        <v>1</v>
      </c>
      <c r="E8" s="11">
        <v>13</v>
      </c>
      <c r="F8" s="11">
        <v>130</v>
      </c>
      <c r="G8" s="11" t="s">
        <v>111</v>
      </c>
      <c r="H8" s="12">
        <v>0.1134</v>
      </c>
      <c r="I8" s="13">
        <v>11006041</v>
      </c>
      <c r="J8" s="23">
        <v>46290</v>
      </c>
      <c r="K8" s="11">
        <v>0</v>
      </c>
      <c r="L8" s="11" t="s">
        <v>50</v>
      </c>
      <c r="M8" s="11"/>
      <c r="N8" s="11" t="s">
        <v>112</v>
      </c>
      <c r="O8" s="11" t="s">
        <v>113</v>
      </c>
      <c r="P8" s="11" t="s">
        <v>88</v>
      </c>
    </row>
    <row r="9" spans="1:16" ht="16.95" customHeight="1">
      <c r="A9" s="11" t="s">
        <v>21</v>
      </c>
      <c r="B9" s="11" t="s">
        <v>117</v>
      </c>
      <c r="C9" s="11"/>
      <c r="D9" s="11">
        <v>1</v>
      </c>
      <c r="E9" s="11">
        <v>23</v>
      </c>
      <c r="F9" s="11">
        <v>130</v>
      </c>
      <c r="G9" s="11" t="s">
        <v>111</v>
      </c>
      <c r="H9" s="12">
        <v>0.12130000000000001</v>
      </c>
      <c r="I9" s="13">
        <v>26641887.57</v>
      </c>
      <c r="J9" s="23">
        <v>46290</v>
      </c>
      <c r="K9" s="11">
        <v>0</v>
      </c>
      <c r="L9" s="11" t="s">
        <v>50</v>
      </c>
      <c r="M9" s="11"/>
      <c r="N9" s="11" t="s">
        <v>112</v>
      </c>
      <c r="O9" s="11" t="s">
        <v>113</v>
      </c>
      <c r="P9" s="11" t="s">
        <v>88</v>
      </c>
    </row>
    <row r="10" spans="1:16" ht="16.95" customHeight="1">
      <c r="A10" s="11" t="s">
        <v>21</v>
      </c>
      <c r="B10" s="11" t="s">
        <v>118</v>
      </c>
      <c r="C10" s="11"/>
      <c r="D10" s="11">
        <v>1</v>
      </c>
      <c r="E10" s="11">
        <v>2</v>
      </c>
      <c r="F10" s="11">
        <v>130</v>
      </c>
      <c r="G10" s="11" t="s">
        <v>111</v>
      </c>
      <c r="H10" s="12">
        <v>0.11509999999999999</v>
      </c>
      <c r="I10" s="13">
        <v>4938954.88</v>
      </c>
      <c r="J10" s="23">
        <v>46290</v>
      </c>
      <c r="K10" s="11">
        <v>0</v>
      </c>
      <c r="L10" s="11" t="s">
        <v>50</v>
      </c>
      <c r="M10" s="11"/>
      <c r="N10" s="11" t="s">
        <v>112</v>
      </c>
      <c r="O10" s="11" t="s">
        <v>113</v>
      </c>
      <c r="P10" s="11" t="s">
        <v>88</v>
      </c>
    </row>
    <row r="11" spans="1:16" ht="16.95" customHeight="1">
      <c r="A11" s="11" t="s">
        <v>21</v>
      </c>
      <c r="B11" s="11" t="s">
        <v>119</v>
      </c>
      <c r="C11" s="11"/>
      <c r="D11" s="11">
        <v>1</v>
      </c>
      <c r="E11" s="11">
        <v>49</v>
      </c>
      <c r="F11" s="11">
        <v>130</v>
      </c>
      <c r="G11" s="11" t="s">
        <v>111</v>
      </c>
      <c r="H11" s="12">
        <v>0.125</v>
      </c>
      <c r="I11" s="13">
        <v>23763841</v>
      </c>
      <c r="J11" s="23">
        <v>46290</v>
      </c>
      <c r="K11" s="11">
        <v>0</v>
      </c>
      <c r="L11" s="11" t="s">
        <v>50</v>
      </c>
      <c r="M11" s="11"/>
      <c r="N11" s="11" t="s">
        <v>112</v>
      </c>
      <c r="O11" s="11" t="s">
        <v>113</v>
      </c>
      <c r="P11" s="11" t="s">
        <v>88</v>
      </c>
    </row>
    <row r="12" spans="1:16" ht="16.95" customHeight="1">
      <c r="A12" s="11" t="s">
        <v>21</v>
      </c>
      <c r="B12" s="11" t="s">
        <v>120</v>
      </c>
      <c r="C12" s="11"/>
      <c r="D12" s="11">
        <v>1</v>
      </c>
      <c r="E12" s="11">
        <v>30</v>
      </c>
      <c r="F12" s="11">
        <v>130</v>
      </c>
      <c r="G12" s="11" t="s">
        <v>111</v>
      </c>
      <c r="H12" s="12">
        <v>0.09</v>
      </c>
      <c r="I12" s="13">
        <v>886122.26</v>
      </c>
      <c r="J12" s="23">
        <v>46290</v>
      </c>
      <c r="K12" s="11">
        <v>0</v>
      </c>
      <c r="L12" s="11" t="s">
        <v>50</v>
      </c>
      <c r="M12" s="11"/>
      <c r="N12" s="11" t="s">
        <v>112</v>
      </c>
      <c r="O12" s="11" t="s">
        <v>113</v>
      </c>
      <c r="P12" s="11" t="s">
        <v>88</v>
      </c>
    </row>
    <row r="13" spans="1:16" ht="16.95" customHeight="1">
      <c r="A13" s="11" t="s">
        <v>21</v>
      </c>
      <c r="B13" s="11" t="s">
        <v>121</v>
      </c>
      <c r="C13" s="11"/>
      <c r="D13" s="11">
        <v>1</v>
      </c>
      <c r="E13" s="11">
        <v>42</v>
      </c>
      <c r="F13" s="11">
        <v>130</v>
      </c>
      <c r="G13" s="11" t="s">
        <v>111</v>
      </c>
      <c r="H13" s="12">
        <v>9.9700000000000011E-2</v>
      </c>
      <c r="I13" s="13">
        <v>256460.37</v>
      </c>
      <c r="J13" s="23">
        <v>46290</v>
      </c>
      <c r="K13" s="11">
        <v>0</v>
      </c>
      <c r="L13" s="11" t="s">
        <v>50</v>
      </c>
      <c r="M13" s="11"/>
      <c r="N13" s="11" t="s">
        <v>112</v>
      </c>
      <c r="O13" s="11" t="s">
        <v>113</v>
      </c>
      <c r="P13" s="11" t="s">
        <v>88</v>
      </c>
    </row>
    <row r="14" spans="1:16" ht="16.95" customHeight="1">
      <c r="A14" s="11" t="s">
        <v>21</v>
      </c>
      <c r="B14" s="11" t="s">
        <v>122</v>
      </c>
      <c r="C14" s="11"/>
      <c r="D14" s="11">
        <v>1</v>
      </c>
      <c r="E14" s="11">
        <v>6</v>
      </c>
      <c r="F14" s="11">
        <v>130</v>
      </c>
      <c r="G14" s="11" t="s">
        <v>111</v>
      </c>
      <c r="H14" s="12">
        <v>0.1225</v>
      </c>
      <c r="I14" s="13">
        <v>1150000</v>
      </c>
      <c r="J14" s="23">
        <v>46289</v>
      </c>
      <c r="K14" s="11">
        <v>1</v>
      </c>
      <c r="L14" s="11" t="s">
        <v>50</v>
      </c>
      <c r="M14" s="11"/>
      <c r="N14" s="11" t="s">
        <v>112</v>
      </c>
      <c r="O14" s="11" t="s">
        <v>113</v>
      </c>
      <c r="P14" s="11" t="s">
        <v>88</v>
      </c>
    </row>
    <row r="15" spans="1:16" ht="16.95" customHeight="1">
      <c r="A15" s="11" t="s">
        <v>21</v>
      </c>
      <c r="B15" s="11" t="s">
        <v>123</v>
      </c>
      <c r="C15" s="11"/>
      <c r="D15" s="11">
        <v>1</v>
      </c>
      <c r="E15" s="11">
        <v>12</v>
      </c>
      <c r="F15" s="11">
        <v>130</v>
      </c>
      <c r="G15" s="11" t="s">
        <v>111</v>
      </c>
      <c r="H15" s="12">
        <v>0.12</v>
      </c>
      <c r="I15" s="13">
        <v>45000</v>
      </c>
      <c r="J15" s="23">
        <v>46290</v>
      </c>
      <c r="K15" s="11">
        <v>0</v>
      </c>
      <c r="L15" s="11" t="s">
        <v>50</v>
      </c>
      <c r="M15" s="11" t="s">
        <v>124</v>
      </c>
      <c r="N15" s="11" t="s">
        <v>112</v>
      </c>
      <c r="O15" s="11" t="s">
        <v>113</v>
      </c>
      <c r="P15" s="11" t="s">
        <v>88</v>
      </c>
    </row>
    <row r="16" spans="1:16" ht="16.95" customHeight="1">
      <c r="A16" s="11" t="s">
        <v>21</v>
      </c>
      <c r="B16" s="11" t="s">
        <v>125</v>
      </c>
      <c r="C16" s="11"/>
      <c r="D16" s="11">
        <v>1</v>
      </c>
      <c r="E16" s="11">
        <v>59</v>
      </c>
      <c r="F16" s="11">
        <v>130</v>
      </c>
      <c r="G16" s="11" t="s">
        <v>111</v>
      </c>
      <c r="H16" s="12">
        <v>0.11799999999999999</v>
      </c>
      <c r="I16" s="13">
        <v>375684.03</v>
      </c>
      <c r="J16" s="23">
        <v>46289</v>
      </c>
      <c r="K16" s="11">
        <v>1</v>
      </c>
      <c r="L16" s="11" t="s">
        <v>50</v>
      </c>
      <c r="M16" s="11"/>
      <c r="N16" s="11" t="s">
        <v>112</v>
      </c>
      <c r="O16" s="11" t="s">
        <v>113</v>
      </c>
      <c r="P16" s="11" t="s">
        <v>88</v>
      </c>
    </row>
    <row r="17" spans="1:16" ht="16.95" customHeight="1">
      <c r="A17" s="11" t="s">
        <v>21</v>
      </c>
      <c r="B17" s="11" t="s">
        <v>126</v>
      </c>
      <c r="C17" s="11"/>
      <c r="D17" s="11">
        <v>1</v>
      </c>
      <c r="E17" s="11">
        <v>43</v>
      </c>
      <c r="F17" s="11">
        <v>130</v>
      </c>
      <c r="G17" s="11" t="s">
        <v>111</v>
      </c>
      <c r="H17" s="12">
        <v>9.74E-2</v>
      </c>
      <c r="I17" s="13">
        <v>255372</v>
      </c>
      <c r="J17" s="23">
        <v>46289</v>
      </c>
      <c r="K17" s="11">
        <v>1</v>
      </c>
      <c r="L17" s="11" t="s">
        <v>50</v>
      </c>
      <c r="M17" s="11"/>
      <c r="N17" s="11" t="s">
        <v>112</v>
      </c>
      <c r="O17" s="11" t="s">
        <v>113</v>
      </c>
      <c r="P17" s="11" t="s">
        <v>88</v>
      </c>
    </row>
    <row r="18" spans="1:16" ht="16.95" customHeight="1">
      <c r="A18" s="11" t="s">
        <v>21</v>
      </c>
      <c r="B18" s="11" t="s">
        <v>127</v>
      </c>
      <c r="C18" s="11"/>
      <c r="D18" s="11">
        <v>1</v>
      </c>
      <c r="E18" s="11">
        <v>54</v>
      </c>
      <c r="F18" s="11">
        <v>130</v>
      </c>
      <c r="G18" s="11" t="s">
        <v>111</v>
      </c>
      <c r="H18" s="12">
        <v>0.1188</v>
      </c>
      <c r="I18" s="13">
        <v>1775901.01</v>
      </c>
      <c r="J18" s="23">
        <v>46289</v>
      </c>
      <c r="K18" s="11">
        <v>1</v>
      </c>
      <c r="L18" s="11" t="s">
        <v>50</v>
      </c>
      <c r="M18" s="11"/>
      <c r="N18" s="11" t="s">
        <v>112</v>
      </c>
      <c r="O18" s="11" t="s">
        <v>113</v>
      </c>
      <c r="P18" s="11" t="s">
        <v>88</v>
      </c>
    </row>
    <row r="19" spans="1:16" ht="16.95" customHeight="1">
      <c r="A19" s="11" t="s">
        <v>21</v>
      </c>
      <c r="B19" s="11" t="s">
        <v>128</v>
      </c>
      <c r="C19" s="11"/>
      <c r="D19" s="11">
        <v>1</v>
      </c>
      <c r="E19" s="11">
        <v>56</v>
      </c>
      <c r="F19" s="11">
        <v>130</v>
      </c>
      <c r="G19" s="11" t="s">
        <v>111</v>
      </c>
      <c r="H19" s="12">
        <v>0.1188</v>
      </c>
      <c r="I19" s="13">
        <v>1884228.38</v>
      </c>
      <c r="J19" s="23">
        <v>46289</v>
      </c>
      <c r="K19" s="11">
        <v>1</v>
      </c>
      <c r="L19" s="11" t="s">
        <v>50</v>
      </c>
      <c r="M19" s="11"/>
      <c r="N19" s="11" t="s">
        <v>112</v>
      </c>
      <c r="O19" s="11" t="s">
        <v>113</v>
      </c>
      <c r="P19" s="11" t="s">
        <v>88</v>
      </c>
    </row>
    <row r="20" spans="1:16" ht="16.95" customHeight="1">
      <c r="A20" s="11" t="s">
        <v>21</v>
      </c>
      <c r="B20" s="11" t="s">
        <v>129</v>
      </c>
      <c r="C20" s="11"/>
      <c r="D20" s="11">
        <v>1</v>
      </c>
      <c r="E20" s="11">
        <v>63</v>
      </c>
      <c r="F20" s="11">
        <v>130</v>
      </c>
      <c r="G20" s="11" t="s">
        <v>111</v>
      </c>
      <c r="H20" s="12">
        <v>0.124</v>
      </c>
      <c r="I20" s="13">
        <v>1055206.3899999999</v>
      </c>
      <c r="J20" s="23">
        <v>46290</v>
      </c>
      <c r="K20" s="11">
        <v>0</v>
      </c>
      <c r="L20" s="11" t="s">
        <v>50</v>
      </c>
      <c r="M20" s="11"/>
      <c r="N20" s="11" t="s">
        <v>112</v>
      </c>
      <c r="O20" s="11" t="s">
        <v>113</v>
      </c>
      <c r="P20" s="11" t="s">
        <v>88</v>
      </c>
    </row>
    <row r="21" spans="1:16" ht="16.95" customHeight="1">
      <c r="A21" s="11" t="s">
        <v>22</v>
      </c>
      <c r="B21" s="11" t="s">
        <v>130</v>
      </c>
      <c r="C21" s="11"/>
      <c r="D21" s="11">
        <v>1</v>
      </c>
      <c r="E21" s="11">
        <v>55</v>
      </c>
      <c r="F21" s="11">
        <v>130</v>
      </c>
      <c r="G21" s="11" t="s">
        <v>111</v>
      </c>
      <c r="H21" s="12">
        <v>0.1222</v>
      </c>
      <c r="I21" s="13">
        <v>263748.31</v>
      </c>
      <c r="J21" s="23">
        <v>46290</v>
      </c>
      <c r="K21" s="11">
        <v>0</v>
      </c>
      <c r="L21" s="11" t="s">
        <v>50</v>
      </c>
      <c r="M21" s="11"/>
      <c r="N21" s="11" t="s">
        <v>112</v>
      </c>
      <c r="O21" s="11" t="s">
        <v>113</v>
      </c>
      <c r="P21" s="11" t="s">
        <v>88</v>
      </c>
    </row>
    <row r="22" spans="1:16" ht="16.95" customHeight="1">
      <c r="A22" s="11" t="s">
        <v>22</v>
      </c>
      <c r="B22" s="11" t="s">
        <v>131</v>
      </c>
      <c r="C22" s="11"/>
      <c r="D22" s="11">
        <v>1</v>
      </c>
      <c r="E22" s="11">
        <v>65</v>
      </c>
      <c r="F22" s="11">
        <v>130</v>
      </c>
      <c r="G22" s="11" t="s">
        <v>111</v>
      </c>
      <c r="H22" s="12">
        <v>0.1103</v>
      </c>
      <c r="I22" s="13">
        <v>67518</v>
      </c>
      <c r="J22" s="23">
        <v>46290</v>
      </c>
      <c r="K22" s="11">
        <v>0</v>
      </c>
      <c r="L22" s="11" t="s">
        <v>50</v>
      </c>
      <c r="M22" s="11"/>
      <c r="N22" s="11" t="s">
        <v>112</v>
      </c>
      <c r="O22" s="11" t="s">
        <v>113</v>
      </c>
      <c r="P22" s="11" t="s">
        <v>88</v>
      </c>
    </row>
    <row r="23" spans="1:16" ht="16.95" customHeight="1">
      <c r="A23" s="11" t="s">
        <v>22</v>
      </c>
      <c r="B23" s="11" t="s">
        <v>132</v>
      </c>
      <c r="C23" s="11" t="s">
        <v>133</v>
      </c>
      <c r="D23" s="11">
        <v>1</v>
      </c>
      <c r="E23" s="11">
        <v>57</v>
      </c>
      <c r="F23" s="11">
        <v>130</v>
      </c>
      <c r="G23" s="11" t="s">
        <v>111</v>
      </c>
      <c r="H23" s="12">
        <v>0.1346</v>
      </c>
      <c r="I23" s="13">
        <v>2687335.32</v>
      </c>
      <c r="J23" s="23">
        <v>46290</v>
      </c>
      <c r="K23" s="11">
        <v>0</v>
      </c>
      <c r="L23" s="11" t="s">
        <v>50</v>
      </c>
      <c r="M23" s="11"/>
      <c r="N23" s="11" t="s">
        <v>112</v>
      </c>
      <c r="O23" s="11" t="s">
        <v>113</v>
      </c>
      <c r="P23" s="11" t="s">
        <v>88</v>
      </c>
    </row>
    <row r="24" spans="1:16" ht="16.95" customHeight="1">
      <c r="A24" s="11" t="s">
        <v>22</v>
      </c>
      <c r="B24" s="11" t="s">
        <v>134</v>
      </c>
      <c r="C24" s="11" t="s">
        <v>135</v>
      </c>
      <c r="D24" s="11">
        <v>1</v>
      </c>
      <c r="E24" s="11">
        <v>51</v>
      </c>
      <c r="F24" s="11">
        <v>130</v>
      </c>
      <c r="G24" s="11" t="s">
        <v>111</v>
      </c>
      <c r="H24" s="12">
        <v>0.12870000000000001</v>
      </c>
      <c r="I24" s="13">
        <v>5663774.1500000004</v>
      </c>
      <c r="J24" s="23">
        <v>46289</v>
      </c>
      <c r="K24" s="11">
        <v>1</v>
      </c>
      <c r="L24" s="11" t="s">
        <v>50</v>
      </c>
      <c r="M24" s="11"/>
      <c r="N24" s="11" t="s">
        <v>112</v>
      </c>
      <c r="O24" s="11" t="s">
        <v>113</v>
      </c>
      <c r="P24" s="11" t="s">
        <v>88</v>
      </c>
    </row>
    <row r="25" spans="1:16" ht="16.95" customHeight="1">
      <c r="A25" s="11" t="s">
        <v>23</v>
      </c>
      <c r="B25" s="11" t="s">
        <v>136</v>
      </c>
      <c r="C25" s="11" t="s">
        <v>137</v>
      </c>
      <c r="D25" s="11">
        <v>4</v>
      </c>
      <c r="E25" s="11">
        <v>128</v>
      </c>
      <c r="F25" s="11">
        <v>130</v>
      </c>
      <c r="G25" s="11" t="s">
        <v>111</v>
      </c>
      <c r="H25" s="12">
        <v>0.11</v>
      </c>
      <c r="I25" s="13">
        <v>970611.19</v>
      </c>
      <c r="J25" s="23">
        <v>46290</v>
      </c>
      <c r="K25" s="11">
        <v>0</v>
      </c>
      <c r="L25" s="11" t="s">
        <v>50</v>
      </c>
      <c r="M25" s="11"/>
      <c r="N25" s="11" t="s">
        <v>112</v>
      </c>
      <c r="O25" s="11" t="s">
        <v>113</v>
      </c>
      <c r="P25" s="11" t="s">
        <v>88</v>
      </c>
    </row>
    <row r="26" spans="1:16" ht="16.95" customHeight="1">
      <c r="A26" s="11" t="s">
        <v>23</v>
      </c>
      <c r="B26" s="11" t="s">
        <v>138</v>
      </c>
      <c r="C26" s="11" t="s">
        <v>139</v>
      </c>
      <c r="D26" s="11">
        <v>4</v>
      </c>
      <c r="E26" s="11">
        <v>108</v>
      </c>
      <c r="F26" s="11">
        <v>130</v>
      </c>
      <c r="G26" s="11" t="s">
        <v>111</v>
      </c>
      <c r="H26" s="12">
        <v>0.12939999999999999</v>
      </c>
      <c r="I26" s="13">
        <v>424826.73</v>
      </c>
      <c r="J26" s="23">
        <v>46290</v>
      </c>
      <c r="K26" s="11">
        <v>0</v>
      </c>
      <c r="L26" s="11" t="s">
        <v>50</v>
      </c>
      <c r="M26" s="11"/>
      <c r="N26" s="11" t="s">
        <v>112</v>
      </c>
      <c r="O26" s="11" t="s">
        <v>113</v>
      </c>
      <c r="P26" s="11" t="s">
        <v>88</v>
      </c>
    </row>
    <row r="27" spans="1:16" ht="16.95" customHeight="1">
      <c r="A27" s="11" t="s">
        <v>23</v>
      </c>
      <c r="B27" s="11" t="s">
        <v>140</v>
      </c>
      <c r="C27" s="11" t="s">
        <v>140</v>
      </c>
      <c r="D27" s="11">
        <v>4</v>
      </c>
      <c r="E27" s="11">
        <v>132</v>
      </c>
      <c r="F27" s="11">
        <v>130</v>
      </c>
      <c r="G27" s="11" t="s">
        <v>111</v>
      </c>
      <c r="H27" s="24"/>
      <c r="I27" s="25"/>
      <c r="J27" s="26"/>
      <c r="K27" s="27"/>
      <c r="L27" s="11" t="s">
        <v>141</v>
      </c>
      <c r="M27" s="11"/>
      <c r="N27" s="11" t="s">
        <v>112</v>
      </c>
      <c r="O27" s="11" t="s">
        <v>113</v>
      </c>
      <c r="P27" s="11" t="s">
        <v>88</v>
      </c>
    </row>
    <row r="28" spans="1:16" ht="16.95" customHeight="1">
      <c r="A28" s="11" t="s">
        <v>23</v>
      </c>
      <c r="B28" s="11" t="s">
        <v>142</v>
      </c>
      <c r="C28" s="11" t="s">
        <v>143</v>
      </c>
      <c r="D28" s="11">
        <v>4</v>
      </c>
      <c r="E28" s="11">
        <v>127</v>
      </c>
      <c r="F28" s="11">
        <v>130</v>
      </c>
      <c r="G28" s="11" t="s">
        <v>111</v>
      </c>
      <c r="H28" s="12">
        <v>0.125</v>
      </c>
      <c r="I28" s="13">
        <v>100217.89</v>
      </c>
      <c r="J28" s="23">
        <v>46290</v>
      </c>
      <c r="K28" s="11">
        <v>0</v>
      </c>
      <c r="L28" s="11" t="s">
        <v>50</v>
      </c>
      <c r="M28" s="11"/>
      <c r="N28" s="11" t="s">
        <v>112</v>
      </c>
      <c r="O28" s="11" t="s">
        <v>113</v>
      </c>
      <c r="P28" s="11" t="s">
        <v>88</v>
      </c>
    </row>
    <row r="29" spans="1:16" ht="16.95" customHeight="1">
      <c r="A29" s="11" t="s">
        <v>23</v>
      </c>
      <c r="B29" s="11" t="s">
        <v>144</v>
      </c>
      <c r="C29" s="11" t="s">
        <v>145</v>
      </c>
      <c r="D29" s="11">
        <v>4</v>
      </c>
      <c r="E29" s="11">
        <v>129</v>
      </c>
      <c r="F29" s="11">
        <v>130</v>
      </c>
      <c r="G29" s="11" t="s">
        <v>111</v>
      </c>
      <c r="H29" s="12">
        <v>0.13250000000000001</v>
      </c>
      <c r="I29" s="13">
        <v>782819.57</v>
      </c>
      <c r="J29" s="23">
        <v>46290</v>
      </c>
      <c r="K29" s="11">
        <v>0</v>
      </c>
      <c r="L29" s="11" t="s">
        <v>50</v>
      </c>
      <c r="M29" s="11"/>
      <c r="N29" s="11" t="s">
        <v>112</v>
      </c>
      <c r="O29" s="11" t="s">
        <v>113</v>
      </c>
      <c r="P29" s="11" t="s">
        <v>88</v>
      </c>
    </row>
    <row r="30" spans="1:16" ht="16.95" customHeight="1">
      <c r="A30" s="11" t="s">
        <v>23</v>
      </c>
      <c r="B30" s="11" t="s">
        <v>146</v>
      </c>
      <c r="C30" s="11" t="s">
        <v>146</v>
      </c>
      <c r="D30" s="11">
        <v>4</v>
      </c>
      <c r="E30" s="11">
        <v>26</v>
      </c>
      <c r="F30" s="11">
        <v>130</v>
      </c>
      <c r="G30" s="11" t="s">
        <v>111</v>
      </c>
      <c r="H30" s="12">
        <v>0.1278</v>
      </c>
      <c r="I30" s="13">
        <v>2015000</v>
      </c>
      <c r="J30" s="23">
        <v>46290</v>
      </c>
      <c r="K30" s="11">
        <v>0</v>
      </c>
      <c r="L30" s="11" t="s">
        <v>50</v>
      </c>
      <c r="M30" s="11"/>
      <c r="N30" s="11" t="s">
        <v>112</v>
      </c>
      <c r="O30" s="11" t="s">
        <v>113</v>
      </c>
      <c r="P30" s="11" t="s">
        <v>88</v>
      </c>
    </row>
    <row r="31" spans="1:16" ht="16.95" customHeight="1">
      <c r="A31" s="11" t="s">
        <v>23</v>
      </c>
      <c r="B31" s="11" t="s">
        <v>147</v>
      </c>
      <c r="C31" s="11" t="s">
        <v>147</v>
      </c>
      <c r="D31" s="11">
        <v>4</v>
      </c>
      <c r="E31" s="11">
        <v>130</v>
      </c>
      <c r="F31" s="11">
        <v>130</v>
      </c>
      <c r="G31" s="11" t="s">
        <v>111</v>
      </c>
      <c r="H31" s="24"/>
      <c r="I31" s="25"/>
      <c r="J31" s="26"/>
      <c r="K31" s="27"/>
      <c r="L31" s="11" t="s">
        <v>148</v>
      </c>
      <c r="M31" s="11"/>
      <c r="N31" s="11" t="s">
        <v>112</v>
      </c>
      <c r="O31" s="11" t="s">
        <v>113</v>
      </c>
      <c r="P31" s="11" t="s">
        <v>88</v>
      </c>
    </row>
    <row r="32" spans="1:16" ht="16.95" customHeight="1">
      <c r="A32" s="11" t="s">
        <v>23</v>
      </c>
      <c r="B32" s="11" t="s">
        <v>149</v>
      </c>
      <c r="C32" s="11" t="s">
        <v>149</v>
      </c>
      <c r="D32" s="11">
        <v>4</v>
      </c>
      <c r="E32" s="11">
        <v>124</v>
      </c>
      <c r="F32" s="11">
        <v>130</v>
      </c>
      <c r="G32" s="11" t="s">
        <v>111</v>
      </c>
      <c r="H32" s="24"/>
      <c r="I32" s="25"/>
      <c r="J32" s="26"/>
      <c r="K32" s="27"/>
      <c r="L32" s="11" t="s">
        <v>148</v>
      </c>
      <c r="M32" s="11"/>
      <c r="N32" s="11" t="s">
        <v>112</v>
      </c>
      <c r="O32" s="11" t="s">
        <v>113</v>
      </c>
      <c r="P32" s="11" t="s">
        <v>88</v>
      </c>
    </row>
  </sheetData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A3AF"/>
    <pageSetUpPr fitToPage="1"/>
  </sheetPr>
  <dimension ref="A2:Q3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/>
  <cols>
    <col min="1" max="1" width="26" customWidth="1"/>
    <col min="2" max="2" width="19" customWidth="1"/>
    <col min="3" max="3" width="16" customWidth="1"/>
    <col min="4" max="4" width="14" customWidth="1"/>
    <col min="5" max="5" width="15" customWidth="1"/>
    <col min="6" max="6" width="14" customWidth="1"/>
    <col min="7" max="7" width="21" customWidth="1"/>
    <col min="8" max="8" width="19" customWidth="1"/>
    <col min="9" max="14" width="14" customWidth="1"/>
    <col min="15" max="15" width="18" customWidth="1"/>
    <col min="16" max="16" width="15" customWidth="1"/>
    <col min="17" max="17" width="14" customWidth="1"/>
  </cols>
  <sheetData>
    <row r="2" spans="1:17" ht="20.399999999999999">
      <c r="A2" s="16" t="s">
        <v>150</v>
      </c>
    </row>
    <row r="4" spans="1:17" ht="22.05" customHeight="1">
      <c r="A4" s="9" t="s">
        <v>96</v>
      </c>
      <c r="B4" s="9" t="s">
        <v>95</v>
      </c>
      <c r="C4" s="9" t="s">
        <v>97</v>
      </c>
      <c r="D4" s="10" t="s">
        <v>102</v>
      </c>
      <c r="E4" s="10" t="s">
        <v>151</v>
      </c>
      <c r="F4" s="10" t="s">
        <v>152</v>
      </c>
      <c r="G4" s="10" t="s">
        <v>153</v>
      </c>
      <c r="H4" s="10" t="s">
        <v>154</v>
      </c>
      <c r="I4" s="10" t="s">
        <v>155</v>
      </c>
      <c r="J4" s="10" t="s">
        <v>156</v>
      </c>
      <c r="K4" s="10" t="s">
        <v>157</v>
      </c>
      <c r="L4" s="10" t="s">
        <v>158</v>
      </c>
      <c r="M4" s="10" t="s">
        <v>159</v>
      </c>
      <c r="N4" s="10" t="s">
        <v>160</v>
      </c>
      <c r="O4" s="10" t="s">
        <v>161</v>
      </c>
      <c r="P4" s="9" t="s">
        <v>162</v>
      </c>
      <c r="Q4" s="10" t="s">
        <v>163</v>
      </c>
    </row>
    <row r="5" spans="1:17" ht="16.95" customHeight="1">
      <c r="A5" s="11" t="s">
        <v>132</v>
      </c>
      <c r="B5" s="11" t="s">
        <v>22</v>
      </c>
      <c r="C5" s="11" t="s">
        <v>133</v>
      </c>
      <c r="D5" s="12">
        <f>INDEX(TTasas[TasaEA],MATCH(TSimulacion[[#This Row],[Entidad]],TTasas[Entidad],0))</f>
        <v>0.1346</v>
      </c>
      <c r="E5" s="28">
        <f>(1+TSimulacion[[#This Row],[TasaEA]])^(DiasPeriodo/BaseDias)-1</f>
        <v>0.13263899147530434</v>
      </c>
      <c r="F5" s="20">
        <f t="shared" ref="F5:F29" si="0">NPer</f>
        <v>1</v>
      </c>
      <c r="G5" s="13">
        <f>Monto*TSimulacion[[#This Row],[TasaPeriodica]]</f>
        <v>1326389.9147530433</v>
      </c>
      <c r="H5" s="13">
        <f>TSimulacion[[#This Row],[InteresBrutoPeriodo]]*TSimulacion[[#This Row],[NumPeriodos]]</f>
        <v>1326389.9147530433</v>
      </c>
      <c r="I5" s="13">
        <f>TSimulacion[[#This Row],[InteresBrutoTotal]]*Retencion</f>
        <v>53055.596590121735</v>
      </c>
      <c r="J5" s="13">
        <f>TSimulacion[[#This Row],[InteresBrutoTotal]]-TSimulacion[[#This Row],[RetencionCOP]]</f>
        <v>1273334.3181629216</v>
      </c>
      <c r="K5" s="13">
        <f>Monto+TSimulacion[[#This Row],[InteresNeto]]</f>
        <v>11273334.318162922</v>
      </c>
      <c r="L5" s="12">
        <f>(1+TSimulacion[[#This Row],[TasaPeriodica]]*(1-Retencion))^(BaseDias/DiasPeriodo)-1</f>
        <v>0.12921161414252236</v>
      </c>
      <c r="M5" s="12">
        <f>(1+TSimulacion[[#This Row],[RentNetaEA]])/(1+IPC12m)-1</f>
        <v>6.2832948630965557E-2</v>
      </c>
      <c r="N5" s="29">
        <f>TSimulacion[[#This Row],[TasaEA]]-PromedioSistema</f>
        <v>1.3799999999999993E-2</v>
      </c>
      <c r="O5" s="12">
        <f t="shared" ref="O5:O29" si="1">(1+((1+PromedioSistema)^(DiasPeriodo/BaseDias)-1)*(1-Retencion))^(BaseDias/DiasPeriodo)-1</f>
        <v>0.11596443857064398</v>
      </c>
      <c r="P5" s="11" t="str">
        <f>IF(TSimulacion[[#This Row],[ValorFinal]]&gt;CoberturaFogafin,"Excede cobertura Fogafín","")</f>
        <v/>
      </c>
      <c r="Q5" s="20">
        <f>RANK(TSimulacion[[#This Row],[RentNetaEA]],TSimulacion[RentNetaEA],0)</f>
        <v>1</v>
      </c>
    </row>
    <row r="6" spans="1:17" ht="16.95" customHeight="1">
      <c r="A6" s="11" t="s">
        <v>144</v>
      </c>
      <c r="B6" s="11" t="s">
        <v>23</v>
      </c>
      <c r="C6" s="11" t="s">
        <v>145</v>
      </c>
      <c r="D6" s="12">
        <f>INDEX(TTasas[TasaEA],MATCH(TSimulacion[[#This Row],[Entidad]],TTasas[Entidad],0))</f>
        <v>0.13250000000000001</v>
      </c>
      <c r="E6" s="28">
        <f>(1+TSimulacion[[#This Row],[TasaEA]])^(DiasPeriodo/BaseDias)-1</f>
        <v>0.13057131222673934</v>
      </c>
      <c r="F6" s="20">
        <f t="shared" si="0"/>
        <v>1</v>
      </c>
      <c r="G6" s="13">
        <f>Monto*TSimulacion[[#This Row],[TasaPeriodica]]</f>
        <v>1305713.1222673934</v>
      </c>
      <c r="H6" s="13">
        <f>TSimulacion[[#This Row],[InteresBrutoPeriodo]]*TSimulacion[[#This Row],[NumPeriodos]]</f>
        <v>1305713.1222673934</v>
      </c>
      <c r="I6" s="13">
        <f>TSimulacion[[#This Row],[InteresBrutoTotal]]*Retencion</f>
        <v>52228.524890695735</v>
      </c>
      <c r="J6" s="13">
        <f>TSimulacion[[#This Row],[InteresBrutoTotal]]-TSimulacion[[#This Row],[RetencionCOP]]</f>
        <v>1253484.5973766977</v>
      </c>
      <c r="K6" s="13">
        <f>Monto+TSimulacion[[#This Row],[InteresNeto]]</f>
        <v>11253484.597376697</v>
      </c>
      <c r="L6" s="12">
        <f>(1+TSimulacion[[#This Row],[TasaPeriodica]]*(1-Retencion))^(BaseDias/DiasPeriodo)-1</f>
        <v>0.12719574469742079</v>
      </c>
      <c r="M6" s="12">
        <f>(1+TSimulacion[[#This Row],[RentNetaEA]])/(1+IPC12m)-1</f>
        <v>6.0935578430766801E-2</v>
      </c>
      <c r="N6" s="29">
        <f>TSimulacion[[#This Row],[TasaEA]]-PromedioSistema</f>
        <v>1.1700000000000002E-2</v>
      </c>
      <c r="O6" s="12">
        <f t="shared" si="1"/>
        <v>0.11596443857064398</v>
      </c>
      <c r="P6" s="11" t="str">
        <f>IF(TSimulacion[[#This Row],[ValorFinal]]&gt;CoberturaFogafin,"Excede cobertura Fogafín","")</f>
        <v/>
      </c>
      <c r="Q6" s="20">
        <f>RANK(TSimulacion[[#This Row],[RentNetaEA]],TSimulacion[RentNetaEA],0)</f>
        <v>2</v>
      </c>
    </row>
    <row r="7" spans="1:17" ht="16.95" customHeight="1">
      <c r="A7" s="11" t="s">
        <v>138</v>
      </c>
      <c r="B7" s="11" t="s">
        <v>23</v>
      </c>
      <c r="C7" s="11" t="s">
        <v>139</v>
      </c>
      <c r="D7" s="12">
        <f>INDEX(TTasas[TasaEA],MATCH(TSimulacion[[#This Row],[Entidad]],TTasas[Entidad],0))</f>
        <v>0.12939999999999999</v>
      </c>
      <c r="E7" s="28">
        <f>(1+TSimulacion[[#This Row],[TasaEA]])^(DiasPeriodo/BaseDias)-1</f>
        <v>0.1275189277896156</v>
      </c>
      <c r="F7" s="20">
        <f t="shared" si="0"/>
        <v>1</v>
      </c>
      <c r="G7" s="13">
        <f>Monto*TSimulacion[[#This Row],[TasaPeriodica]]</f>
        <v>1275189.2778961561</v>
      </c>
      <c r="H7" s="13">
        <f>TSimulacion[[#This Row],[InteresBrutoPeriodo]]*TSimulacion[[#This Row],[NumPeriodos]]</f>
        <v>1275189.2778961561</v>
      </c>
      <c r="I7" s="13">
        <f>TSimulacion[[#This Row],[InteresBrutoTotal]]*Retencion</f>
        <v>51007.571115846244</v>
      </c>
      <c r="J7" s="13">
        <f>TSimulacion[[#This Row],[InteresBrutoTotal]]-TSimulacion[[#This Row],[RetencionCOP]]</f>
        <v>1224181.7067803098</v>
      </c>
      <c r="K7" s="13">
        <f>Monto+TSimulacion[[#This Row],[InteresNeto]]</f>
        <v>11224181.706780311</v>
      </c>
      <c r="L7" s="12">
        <f>(1+TSimulacion[[#This Row],[TasaPeriodica]]*(1-Retencion))^(BaseDias/DiasPeriodo)-1</f>
        <v>0.12421993409287757</v>
      </c>
      <c r="M7" s="12">
        <f>(1+TSimulacion[[#This Row],[RentNetaEA]])/(1+IPC12m)-1</f>
        <v>5.8134695478641252E-2</v>
      </c>
      <c r="N7" s="29">
        <f>TSimulacion[[#This Row],[TasaEA]]-PromedioSistema</f>
        <v>8.5999999999999827E-3</v>
      </c>
      <c r="O7" s="12">
        <f t="shared" si="1"/>
        <v>0.11596443857064398</v>
      </c>
      <c r="P7" s="11" t="str">
        <f>IF(TSimulacion[[#This Row],[ValorFinal]]&gt;CoberturaFogafin,"Excede cobertura Fogafín","")</f>
        <v/>
      </c>
      <c r="Q7" s="20">
        <f>RANK(TSimulacion[[#This Row],[RentNetaEA]],TSimulacion[RentNetaEA],0)</f>
        <v>3</v>
      </c>
    </row>
    <row r="8" spans="1:17" ht="16.95" customHeight="1">
      <c r="A8" s="11" t="s">
        <v>134</v>
      </c>
      <c r="B8" s="11" t="s">
        <v>22</v>
      </c>
      <c r="C8" s="11" t="s">
        <v>135</v>
      </c>
      <c r="D8" s="12">
        <f>INDEX(TTasas[TasaEA],MATCH(TSimulacion[[#This Row],[Entidad]],TTasas[Entidad],0))</f>
        <v>0.12870000000000001</v>
      </c>
      <c r="E8" s="28">
        <f>(1+TSimulacion[[#This Row],[TasaEA]])^(DiasPeriodo/BaseDias)-1</f>
        <v>0.12682966381804994</v>
      </c>
      <c r="F8" s="20">
        <f t="shared" si="0"/>
        <v>1</v>
      </c>
      <c r="G8" s="13">
        <f>Monto*TSimulacion[[#This Row],[TasaPeriodica]]</f>
        <v>1268296.6381804994</v>
      </c>
      <c r="H8" s="13">
        <f>TSimulacion[[#This Row],[InteresBrutoPeriodo]]*TSimulacion[[#This Row],[NumPeriodos]]</f>
        <v>1268296.6381804994</v>
      </c>
      <c r="I8" s="13">
        <f>TSimulacion[[#This Row],[InteresBrutoTotal]]*Retencion</f>
        <v>50731.865527219976</v>
      </c>
      <c r="J8" s="13">
        <f>TSimulacion[[#This Row],[InteresBrutoTotal]]-TSimulacion[[#This Row],[RetencionCOP]]</f>
        <v>1217564.7726532794</v>
      </c>
      <c r="K8" s="13">
        <f>Monto+TSimulacion[[#This Row],[InteresNeto]]</f>
        <v>11217564.77265328</v>
      </c>
      <c r="L8" s="12">
        <f>(1+TSimulacion[[#This Row],[TasaPeriodica]]*(1-Retencion))^(BaseDias/DiasPeriodo)-1</f>
        <v>0.12354797630849323</v>
      </c>
      <c r="M8" s="12">
        <f>(1+TSimulacion[[#This Row],[RentNetaEA]])/(1+IPC12m)-1</f>
        <v>5.7502237519133637E-2</v>
      </c>
      <c r="N8" s="29">
        <f>TSimulacion[[#This Row],[TasaEA]]-PromedioSistema</f>
        <v>7.9000000000000042E-3</v>
      </c>
      <c r="O8" s="12">
        <f t="shared" si="1"/>
        <v>0.11596443857064398</v>
      </c>
      <c r="P8" s="11" t="str">
        <f>IF(TSimulacion[[#This Row],[ValorFinal]]&gt;CoberturaFogafin,"Excede cobertura Fogafín","")</f>
        <v/>
      </c>
      <c r="Q8" s="20">
        <f>RANK(TSimulacion[[#This Row],[RentNetaEA]],TSimulacion[RentNetaEA],0)</f>
        <v>4</v>
      </c>
    </row>
    <row r="9" spans="1:17" ht="16.95" customHeight="1">
      <c r="A9" s="11" t="s">
        <v>146</v>
      </c>
      <c r="B9" s="11" t="s">
        <v>23</v>
      </c>
      <c r="C9" s="11" t="s">
        <v>146</v>
      </c>
      <c r="D9" s="12">
        <f>INDEX(TTasas[TasaEA],MATCH(TSimulacion[[#This Row],[Entidad]],TTasas[Entidad],0))</f>
        <v>0.1278</v>
      </c>
      <c r="E9" s="28">
        <f>(1+TSimulacion[[#This Row],[TasaEA]])^(DiasPeriodo/BaseDias)-1</f>
        <v>0.12594345867826551</v>
      </c>
      <c r="F9" s="20">
        <f t="shared" si="0"/>
        <v>1</v>
      </c>
      <c r="G9" s="13">
        <f>Monto*TSimulacion[[#This Row],[TasaPeriodica]]</f>
        <v>1259434.586782655</v>
      </c>
      <c r="H9" s="13">
        <f>TSimulacion[[#This Row],[InteresBrutoPeriodo]]*TSimulacion[[#This Row],[NumPeriodos]]</f>
        <v>1259434.586782655</v>
      </c>
      <c r="I9" s="13">
        <f>TSimulacion[[#This Row],[InteresBrutoTotal]]*Retencion</f>
        <v>50377.383471306202</v>
      </c>
      <c r="J9" s="13">
        <f>TSimulacion[[#This Row],[InteresBrutoTotal]]-TSimulacion[[#This Row],[RetencionCOP]]</f>
        <v>1209057.2033113488</v>
      </c>
      <c r="K9" s="13">
        <f>Monto+TSimulacion[[#This Row],[InteresNeto]]</f>
        <v>11209057.203311348</v>
      </c>
      <c r="L9" s="12">
        <f>(1+TSimulacion[[#This Row],[TasaPeriodica]]*(1-Retencion))^(BaseDias/DiasPeriodo)-1</f>
        <v>0.12268403028656483</v>
      </c>
      <c r="M9" s="12">
        <f>(1+TSimulacion[[#This Row],[RentNetaEA]])/(1+IPC12m)-1</f>
        <v>5.6689077003917454E-2</v>
      </c>
      <c r="N9" s="29">
        <f>TSimulacion[[#This Row],[TasaEA]]-PromedioSistema</f>
        <v>6.9999999999999923E-3</v>
      </c>
      <c r="O9" s="12">
        <f t="shared" si="1"/>
        <v>0.11596443857064398</v>
      </c>
      <c r="P9" s="11" t="str">
        <f>IF(TSimulacion[[#This Row],[ValorFinal]]&gt;CoberturaFogafin,"Excede cobertura Fogafín","")</f>
        <v/>
      </c>
      <c r="Q9" s="20">
        <f>RANK(TSimulacion[[#This Row],[RentNetaEA]],TSimulacion[RentNetaEA],0)</f>
        <v>5</v>
      </c>
    </row>
    <row r="10" spans="1:17" ht="16.95" customHeight="1">
      <c r="A10" s="11" t="s">
        <v>142</v>
      </c>
      <c r="B10" s="11" t="s">
        <v>23</v>
      </c>
      <c r="C10" s="11" t="s">
        <v>143</v>
      </c>
      <c r="D10" s="12">
        <f>INDEX(TTasas[TasaEA],MATCH(TSimulacion[[#This Row],[Entidad]],TTasas[Entidad],0))</f>
        <v>0.125</v>
      </c>
      <c r="E10" s="28">
        <f>(1+TSimulacion[[#This Row],[TasaEA]])^(DiasPeriodo/BaseDias)-1</f>
        <v>0.12318631403189961</v>
      </c>
      <c r="F10" s="20">
        <f t="shared" si="0"/>
        <v>1</v>
      </c>
      <c r="G10" s="13">
        <f>Monto*TSimulacion[[#This Row],[TasaPeriodica]]</f>
        <v>1231863.140318996</v>
      </c>
      <c r="H10" s="13">
        <f>TSimulacion[[#This Row],[InteresBrutoPeriodo]]*TSimulacion[[#This Row],[NumPeriodos]]</f>
        <v>1231863.140318996</v>
      </c>
      <c r="I10" s="13">
        <f>TSimulacion[[#This Row],[InteresBrutoTotal]]*Retencion</f>
        <v>49274.52561275984</v>
      </c>
      <c r="J10" s="13">
        <f>TSimulacion[[#This Row],[InteresBrutoTotal]]-TSimulacion[[#This Row],[RetencionCOP]]</f>
        <v>1182588.6147062362</v>
      </c>
      <c r="K10" s="13">
        <f>Monto+TSimulacion[[#This Row],[InteresNeto]]</f>
        <v>11182588.614706237</v>
      </c>
      <c r="L10" s="12">
        <f>(1+TSimulacion[[#This Row],[TasaPeriodica]]*(1-Retencion))^(BaseDias/DiasPeriodo)-1</f>
        <v>0.11999619606066614</v>
      </c>
      <c r="M10" s="12">
        <f>(1+TSimulacion[[#This Row],[RentNetaEA]])/(1+IPC12m)-1</f>
        <v>5.4159242259069984E-2</v>
      </c>
      <c r="N10" s="29">
        <f>TSimulacion[[#This Row],[TasaEA]]-PromedioSistema</f>
        <v>4.1999999999999954E-3</v>
      </c>
      <c r="O10" s="12">
        <f t="shared" si="1"/>
        <v>0.11596443857064398</v>
      </c>
      <c r="P10" s="11" t="str">
        <f>IF(TSimulacion[[#This Row],[ValorFinal]]&gt;CoberturaFogafin,"Excede cobertura Fogafín","")</f>
        <v/>
      </c>
      <c r="Q10" s="20">
        <f>RANK(TSimulacion[[#This Row],[RentNetaEA]],TSimulacion[RentNetaEA],0)</f>
        <v>6</v>
      </c>
    </row>
    <row r="11" spans="1:17" ht="16.95" customHeight="1">
      <c r="A11" s="11" t="s">
        <v>119</v>
      </c>
      <c r="B11" s="11" t="s">
        <v>21</v>
      </c>
      <c r="C11" s="11"/>
      <c r="D11" s="12">
        <f>INDEX(TTasas[TasaEA],MATCH(TSimulacion[[#This Row],[Entidad]],TTasas[Entidad],0))</f>
        <v>0.125</v>
      </c>
      <c r="E11" s="28">
        <f>(1+TSimulacion[[#This Row],[TasaEA]])^(DiasPeriodo/BaseDias)-1</f>
        <v>0.12318631403189961</v>
      </c>
      <c r="F11" s="20">
        <f t="shared" si="0"/>
        <v>1</v>
      </c>
      <c r="G11" s="13">
        <f>Monto*TSimulacion[[#This Row],[TasaPeriodica]]</f>
        <v>1231863.140318996</v>
      </c>
      <c r="H11" s="13">
        <f>TSimulacion[[#This Row],[InteresBrutoPeriodo]]*TSimulacion[[#This Row],[NumPeriodos]]</f>
        <v>1231863.140318996</v>
      </c>
      <c r="I11" s="13">
        <f>TSimulacion[[#This Row],[InteresBrutoTotal]]*Retencion</f>
        <v>49274.52561275984</v>
      </c>
      <c r="J11" s="13">
        <f>TSimulacion[[#This Row],[InteresBrutoTotal]]-TSimulacion[[#This Row],[RetencionCOP]]</f>
        <v>1182588.6147062362</v>
      </c>
      <c r="K11" s="13">
        <f>Monto+TSimulacion[[#This Row],[InteresNeto]]</f>
        <v>11182588.614706237</v>
      </c>
      <c r="L11" s="12">
        <f>(1+TSimulacion[[#This Row],[TasaPeriodica]]*(1-Retencion))^(BaseDias/DiasPeriodo)-1</f>
        <v>0.11999619606066614</v>
      </c>
      <c r="M11" s="12">
        <f>(1+TSimulacion[[#This Row],[RentNetaEA]])/(1+IPC12m)-1</f>
        <v>5.4159242259069984E-2</v>
      </c>
      <c r="N11" s="29">
        <f>TSimulacion[[#This Row],[TasaEA]]-PromedioSistema</f>
        <v>4.1999999999999954E-3</v>
      </c>
      <c r="O11" s="12">
        <f t="shared" si="1"/>
        <v>0.11596443857064398</v>
      </c>
      <c r="P11" s="11" t="str">
        <f>IF(TSimulacion[[#This Row],[ValorFinal]]&gt;CoberturaFogafin,"Excede cobertura Fogafín","")</f>
        <v/>
      </c>
      <c r="Q11" s="20">
        <f>RANK(TSimulacion[[#This Row],[RentNetaEA]],TSimulacion[RentNetaEA],0)</f>
        <v>6</v>
      </c>
    </row>
    <row r="12" spans="1:17" ht="16.95" customHeight="1">
      <c r="A12" s="11" t="s">
        <v>129</v>
      </c>
      <c r="B12" s="11" t="s">
        <v>21</v>
      </c>
      <c r="C12" s="11"/>
      <c r="D12" s="12">
        <f>INDEX(TTasas[TasaEA],MATCH(TSimulacion[[#This Row],[Entidad]],TTasas[Entidad],0))</f>
        <v>0.124</v>
      </c>
      <c r="E12" s="28">
        <f>(1+TSimulacion[[#This Row],[TasaEA]])^(DiasPeriodo/BaseDias)-1</f>
        <v>0.12220159674588582</v>
      </c>
      <c r="F12" s="20">
        <f t="shared" si="0"/>
        <v>1</v>
      </c>
      <c r="G12" s="13">
        <f>Monto*TSimulacion[[#This Row],[TasaPeriodica]]</f>
        <v>1222015.9674588582</v>
      </c>
      <c r="H12" s="13">
        <f>TSimulacion[[#This Row],[InteresBrutoPeriodo]]*TSimulacion[[#This Row],[NumPeriodos]]</f>
        <v>1222015.9674588582</v>
      </c>
      <c r="I12" s="13">
        <f>TSimulacion[[#This Row],[InteresBrutoTotal]]*Retencion</f>
        <v>48880.638698354327</v>
      </c>
      <c r="J12" s="13">
        <f>TSimulacion[[#This Row],[InteresBrutoTotal]]-TSimulacion[[#This Row],[RetencionCOP]]</f>
        <v>1173135.3287605038</v>
      </c>
      <c r="K12" s="13">
        <f>Monto+TSimulacion[[#This Row],[InteresNeto]]</f>
        <v>11173135.328760505</v>
      </c>
      <c r="L12" s="12">
        <f>(1+TSimulacion[[#This Row],[TasaPeriodica]]*(1-Retencion))^(BaseDias/DiasPeriodo)-1</f>
        <v>0.11903625447212485</v>
      </c>
      <c r="M12" s="12">
        <f>(1+TSimulacion[[#This Row],[RentNetaEA]])/(1+IPC12m)-1</f>
        <v>5.3255729103267369E-2</v>
      </c>
      <c r="N12" s="29">
        <f>TSimulacion[[#This Row],[TasaEA]]-PromedioSistema</f>
        <v>3.1999999999999945E-3</v>
      </c>
      <c r="O12" s="12">
        <f t="shared" si="1"/>
        <v>0.11596443857064398</v>
      </c>
      <c r="P12" s="11" t="str">
        <f>IF(TSimulacion[[#This Row],[ValorFinal]]&gt;CoberturaFogafin,"Excede cobertura Fogafín","")</f>
        <v/>
      </c>
      <c r="Q12" s="20">
        <f>RANK(TSimulacion[[#This Row],[RentNetaEA]],TSimulacion[RentNetaEA],0)</f>
        <v>8</v>
      </c>
    </row>
    <row r="13" spans="1:17" ht="16.95" customHeight="1">
      <c r="A13" s="11" t="s">
        <v>114</v>
      </c>
      <c r="B13" s="11" t="s">
        <v>21</v>
      </c>
      <c r="C13" s="11"/>
      <c r="D13" s="12">
        <f>INDEX(TTasas[TasaEA],MATCH(TSimulacion[[#This Row],[Entidad]],TTasas[Entidad],0))</f>
        <v>0.1235</v>
      </c>
      <c r="E13" s="28">
        <f>(1+TSimulacion[[#This Row],[TasaEA]])^(DiasPeriodo/BaseDias)-1</f>
        <v>0.12170923360310115</v>
      </c>
      <c r="F13" s="20">
        <f t="shared" si="0"/>
        <v>1</v>
      </c>
      <c r="G13" s="13">
        <f>Monto*TSimulacion[[#This Row],[TasaPeriodica]]</f>
        <v>1217092.3360310115</v>
      </c>
      <c r="H13" s="13">
        <f>TSimulacion[[#This Row],[InteresBrutoPeriodo]]*TSimulacion[[#This Row],[NumPeriodos]]</f>
        <v>1217092.3360310115</v>
      </c>
      <c r="I13" s="13">
        <f>TSimulacion[[#This Row],[InteresBrutoTotal]]*Retencion</f>
        <v>48683.693441240459</v>
      </c>
      <c r="J13" s="13">
        <f>TSimulacion[[#This Row],[InteresBrutoTotal]]-TSimulacion[[#This Row],[RetencionCOP]]</f>
        <v>1168408.6425897712</v>
      </c>
      <c r="K13" s="13">
        <f>Monto+TSimulacion[[#This Row],[InteresNeto]]</f>
        <v>11168408.64258977</v>
      </c>
      <c r="L13" s="12">
        <f>(1+TSimulacion[[#This Row],[TasaPeriodica]]*(1-Retencion))^(BaseDias/DiasPeriodo)-1</f>
        <v>0.11855628352083736</v>
      </c>
      <c r="M13" s="12">
        <f>(1+TSimulacion[[#This Row],[RentNetaEA]])/(1+IPC12m)-1</f>
        <v>5.2803972377579278E-2</v>
      </c>
      <c r="N13" s="29">
        <f>TSimulacion[[#This Row],[TasaEA]]-PromedioSistema</f>
        <v>2.6999999999999941E-3</v>
      </c>
      <c r="O13" s="12">
        <f t="shared" si="1"/>
        <v>0.11596443857064398</v>
      </c>
      <c r="P13" s="11" t="str">
        <f>IF(TSimulacion[[#This Row],[ValorFinal]]&gt;CoberturaFogafin,"Excede cobertura Fogafín","")</f>
        <v/>
      </c>
      <c r="Q13" s="20">
        <f>RANK(TSimulacion[[#This Row],[RentNetaEA]],TSimulacion[RentNetaEA],0)</f>
        <v>9</v>
      </c>
    </row>
    <row r="14" spans="1:17" ht="16.95" customHeight="1">
      <c r="A14" s="11" t="s">
        <v>122</v>
      </c>
      <c r="B14" s="11" t="s">
        <v>21</v>
      </c>
      <c r="C14" s="11"/>
      <c r="D14" s="12">
        <f>INDEX(TTasas[TasaEA],MATCH(TSimulacion[[#This Row],[Entidad]],TTasas[Entidad],0))</f>
        <v>0.1225</v>
      </c>
      <c r="E14" s="28">
        <f>(1+TSimulacion[[#This Row],[TasaEA]])^(DiasPeriodo/BaseDias)-1</f>
        <v>0.12072449831120857</v>
      </c>
      <c r="F14" s="20">
        <f t="shared" si="0"/>
        <v>1</v>
      </c>
      <c r="G14" s="13">
        <f>Monto*TSimulacion[[#This Row],[TasaPeriodica]]</f>
        <v>1207244.9831120856</v>
      </c>
      <c r="H14" s="13">
        <f>TSimulacion[[#This Row],[InteresBrutoPeriodo]]*TSimulacion[[#This Row],[NumPeriodos]]</f>
        <v>1207244.9831120856</v>
      </c>
      <c r="I14" s="13">
        <f>TSimulacion[[#This Row],[InteresBrutoTotal]]*Retencion</f>
        <v>48289.799324483429</v>
      </c>
      <c r="J14" s="13">
        <f>TSimulacion[[#This Row],[InteresBrutoTotal]]-TSimulacion[[#This Row],[RetencionCOP]]</f>
        <v>1158955.1837876022</v>
      </c>
      <c r="K14" s="13">
        <f>Monto+TSimulacion[[#This Row],[InteresNeto]]</f>
        <v>11158955.183787603</v>
      </c>
      <c r="L14" s="12">
        <f>(1+TSimulacion[[#This Row],[TasaPeriodica]]*(1-Retencion))^(BaseDias/DiasPeriodo)-1</f>
        <v>0.1175963413037735</v>
      </c>
      <c r="M14" s="12">
        <f>(1+TSimulacion[[#This Row],[RentNetaEA]])/(1+IPC12m)-1</f>
        <v>5.1900458630200763E-2</v>
      </c>
      <c r="N14" s="29">
        <f>TSimulacion[[#This Row],[TasaEA]]-PromedioSistema</f>
        <v>1.6999999999999932E-3</v>
      </c>
      <c r="O14" s="12">
        <f t="shared" si="1"/>
        <v>0.11596443857064398</v>
      </c>
      <c r="P14" s="11" t="str">
        <f>IF(TSimulacion[[#This Row],[ValorFinal]]&gt;CoberturaFogafin,"Excede cobertura Fogafín","")</f>
        <v/>
      </c>
      <c r="Q14" s="20">
        <f>RANK(TSimulacion[[#This Row],[RentNetaEA]],TSimulacion[RentNetaEA],0)</f>
        <v>10</v>
      </c>
    </row>
    <row r="15" spans="1:17" ht="16.95" customHeight="1">
      <c r="A15" s="11" t="s">
        <v>130</v>
      </c>
      <c r="B15" s="11" t="s">
        <v>22</v>
      </c>
      <c r="C15" s="11"/>
      <c r="D15" s="12">
        <f>INDEX(TTasas[TasaEA],MATCH(TSimulacion[[#This Row],[Entidad]],TTasas[Entidad],0))</f>
        <v>0.1222</v>
      </c>
      <c r="E15" s="28">
        <f>(1+TSimulacion[[#This Row],[TasaEA]])^(DiasPeriodo/BaseDias)-1</f>
        <v>0.12042907538072822</v>
      </c>
      <c r="F15" s="20">
        <f t="shared" si="0"/>
        <v>1</v>
      </c>
      <c r="G15" s="13">
        <f>Monto*TSimulacion[[#This Row],[TasaPeriodica]]</f>
        <v>1204290.7538072823</v>
      </c>
      <c r="H15" s="13">
        <f>TSimulacion[[#This Row],[InteresBrutoPeriodo]]*TSimulacion[[#This Row],[NumPeriodos]]</f>
        <v>1204290.7538072823</v>
      </c>
      <c r="I15" s="13">
        <f>TSimulacion[[#This Row],[InteresBrutoTotal]]*Retencion</f>
        <v>48171.630152291291</v>
      </c>
      <c r="J15" s="13">
        <f>TSimulacion[[#This Row],[InteresBrutoTotal]]-TSimulacion[[#This Row],[RetencionCOP]]</f>
        <v>1156119.1236549909</v>
      </c>
      <c r="K15" s="13">
        <f>Monto+TSimulacion[[#This Row],[InteresNeto]]</f>
        <v>11156119.123654991</v>
      </c>
      <c r="L15" s="12">
        <f>(1+TSimulacion[[#This Row],[TasaPeriodica]]*(1-Retencion))^(BaseDias/DiasPeriodo)-1</f>
        <v>0.11730835855680199</v>
      </c>
      <c r="M15" s="12">
        <f>(1+TSimulacion[[#This Row],[RentNetaEA]])/(1+IPC12m)-1</f>
        <v>5.1629404428946257E-2</v>
      </c>
      <c r="N15" s="29">
        <f>TSimulacion[[#This Row],[TasaEA]]-PromedioSistema</f>
        <v>1.3999999999999985E-3</v>
      </c>
      <c r="O15" s="12">
        <f t="shared" si="1"/>
        <v>0.11596443857064398</v>
      </c>
      <c r="P15" s="11" t="str">
        <f>IF(TSimulacion[[#This Row],[ValorFinal]]&gt;CoberturaFogafin,"Excede cobertura Fogafín","")</f>
        <v/>
      </c>
      <c r="Q15" s="20">
        <f>RANK(TSimulacion[[#This Row],[RentNetaEA]],TSimulacion[RentNetaEA],0)</f>
        <v>11</v>
      </c>
    </row>
    <row r="16" spans="1:17" ht="16.95" customHeight="1">
      <c r="A16" s="11" t="s">
        <v>117</v>
      </c>
      <c r="B16" s="11" t="s">
        <v>21</v>
      </c>
      <c r="C16" s="11"/>
      <c r="D16" s="12">
        <f>INDEX(TTasas[TasaEA],MATCH(TSimulacion[[#This Row],[Entidad]],TTasas[Entidad],0))</f>
        <v>0.12130000000000001</v>
      </c>
      <c r="E16" s="28">
        <f>(1+TSimulacion[[#This Row],[TasaEA]])^(DiasPeriodo/BaseDias)-1</f>
        <v>0.1195428000969232</v>
      </c>
      <c r="F16" s="20">
        <f t="shared" si="0"/>
        <v>1</v>
      </c>
      <c r="G16" s="13">
        <f>Monto*TSimulacion[[#This Row],[TasaPeriodica]]</f>
        <v>1195428.0009692321</v>
      </c>
      <c r="H16" s="13">
        <f>TSimulacion[[#This Row],[InteresBrutoPeriodo]]*TSimulacion[[#This Row],[NumPeriodos]]</f>
        <v>1195428.0009692321</v>
      </c>
      <c r="I16" s="13">
        <f>TSimulacion[[#This Row],[InteresBrutoTotal]]*Retencion</f>
        <v>47817.120038769281</v>
      </c>
      <c r="J16" s="13">
        <f>TSimulacion[[#This Row],[InteresBrutoTotal]]-TSimulacion[[#This Row],[RetencionCOP]]</f>
        <v>1147610.8809304629</v>
      </c>
      <c r="K16" s="13">
        <f>Monto+TSimulacion[[#This Row],[InteresNeto]]</f>
        <v>11147610.880930463</v>
      </c>
      <c r="L16" s="12">
        <f>(1+TSimulacion[[#This Row],[TasaPeriodica]]*(1-Retencion))^(BaseDias/DiasPeriodo)-1</f>
        <v>0.11644441008893081</v>
      </c>
      <c r="M16" s="12">
        <f>(1+TSimulacion[[#This Row],[RentNetaEA]])/(1+IPC12m)-1</f>
        <v>5.0816241611567614E-2</v>
      </c>
      <c r="N16" s="29">
        <f>TSimulacion[[#This Row],[TasaEA]]-PromedioSistema</f>
        <v>5.0000000000000044E-4</v>
      </c>
      <c r="O16" s="12">
        <f t="shared" si="1"/>
        <v>0.11596443857064398</v>
      </c>
      <c r="P16" s="11" t="str">
        <f>IF(TSimulacion[[#This Row],[ValorFinal]]&gt;CoberturaFogafin,"Excede cobertura Fogafín","")</f>
        <v/>
      </c>
      <c r="Q16" s="20">
        <f>RANK(TSimulacion[[#This Row],[RentNetaEA]],TSimulacion[RentNetaEA],0)</f>
        <v>12</v>
      </c>
    </row>
    <row r="17" spans="1:17" ht="16.95" customHeight="1">
      <c r="A17" s="11" t="s">
        <v>123</v>
      </c>
      <c r="B17" s="11" t="s">
        <v>21</v>
      </c>
      <c r="C17" s="11"/>
      <c r="D17" s="12">
        <f>INDEX(TTasas[TasaEA],MATCH(TSimulacion[[#This Row],[Entidad]],TTasas[Entidad],0))</f>
        <v>0.12</v>
      </c>
      <c r="E17" s="28">
        <f>(1+TSimulacion[[#This Row],[TasaEA]])^(DiasPeriodo/BaseDias)-1</f>
        <v>0.1182626074812847</v>
      </c>
      <c r="F17" s="20">
        <f t="shared" si="0"/>
        <v>1</v>
      </c>
      <c r="G17" s="13">
        <f>Monto*TSimulacion[[#This Row],[TasaPeriodica]]</f>
        <v>1182626.074812847</v>
      </c>
      <c r="H17" s="13">
        <f>TSimulacion[[#This Row],[InteresBrutoPeriodo]]*TSimulacion[[#This Row],[NumPeriodos]]</f>
        <v>1182626.074812847</v>
      </c>
      <c r="I17" s="13">
        <f>TSimulacion[[#This Row],[InteresBrutoTotal]]*Retencion</f>
        <v>47305.042992513881</v>
      </c>
      <c r="J17" s="13">
        <f>TSimulacion[[#This Row],[InteresBrutoTotal]]-TSimulacion[[#This Row],[RetencionCOP]]</f>
        <v>1135321.0318203331</v>
      </c>
      <c r="K17" s="13">
        <f>Monto+TSimulacion[[#This Row],[InteresNeto]]</f>
        <v>11135321.031820333</v>
      </c>
      <c r="L17" s="12">
        <f>(1+TSimulacion[[#This Row],[TasaPeriodica]]*(1-Retencion))^(BaseDias/DiasPeriodo)-1</f>
        <v>0.11519648392233939</v>
      </c>
      <c r="M17" s="12">
        <f>(1+TSimulacion[[#This Row],[RentNetaEA]])/(1+IPC12m)-1</f>
        <v>4.9641672531068881E-2</v>
      </c>
      <c r="N17" s="29">
        <f>TSimulacion[[#This Row],[TasaEA]]-PromedioSistema</f>
        <v>-8.0000000000000904E-4</v>
      </c>
      <c r="O17" s="12">
        <f t="shared" si="1"/>
        <v>0.11596443857064398</v>
      </c>
      <c r="P17" s="11" t="str">
        <f>IF(TSimulacion[[#This Row],[ValorFinal]]&gt;CoberturaFogafin,"Excede cobertura Fogafín","")</f>
        <v/>
      </c>
      <c r="Q17" s="20">
        <f>RANK(TSimulacion[[#This Row],[RentNetaEA]],TSimulacion[RentNetaEA],0)</f>
        <v>13</v>
      </c>
    </row>
    <row r="18" spans="1:17" ht="16.95" customHeight="1">
      <c r="A18" s="11" t="s">
        <v>127</v>
      </c>
      <c r="B18" s="11" t="s">
        <v>21</v>
      </c>
      <c r="C18" s="11"/>
      <c r="D18" s="12">
        <f>INDEX(TTasas[TasaEA],MATCH(TSimulacion[[#This Row],[Entidad]],TTasas[Entidad],0))</f>
        <v>0.1188</v>
      </c>
      <c r="E18" s="28">
        <f>(1+TSimulacion[[#This Row],[TasaEA]])^(DiasPeriodo/BaseDias)-1</f>
        <v>0.11708087315424676</v>
      </c>
      <c r="F18" s="20">
        <f t="shared" si="0"/>
        <v>1</v>
      </c>
      <c r="G18" s="13">
        <f>Monto*TSimulacion[[#This Row],[TasaPeriodica]]</f>
        <v>1170808.7315424676</v>
      </c>
      <c r="H18" s="13">
        <f>TSimulacion[[#This Row],[InteresBrutoPeriodo]]*TSimulacion[[#This Row],[NumPeriodos]]</f>
        <v>1170808.7315424676</v>
      </c>
      <c r="I18" s="13">
        <f>TSimulacion[[#This Row],[InteresBrutoTotal]]*Retencion</f>
        <v>46832.349261698706</v>
      </c>
      <c r="J18" s="13">
        <f>TSimulacion[[#This Row],[InteresBrutoTotal]]-TSimulacion[[#This Row],[RetencionCOP]]</f>
        <v>1123976.3822807688</v>
      </c>
      <c r="K18" s="13">
        <f>Monto+TSimulacion[[#This Row],[InteresNeto]]</f>
        <v>11123976.382280769</v>
      </c>
      <c r="L18" s="12">
        <f>(1+TSimulacion[[#This Row],[TasaPeriodica]]*(1-Retencion))^(BaseDias/DiasPeriodo)-1</f>
        <v>0.11404455144365588</v>
      </c>
      <c r="M18" s="12">
        <f>(1+TSimulacion[[#This Row],[RentNetaEA]])/(1+IPC12m)-1</f>
        <v>4.8557454322887716E-2</v>
      </c>
      <c r="N18" s="29">
        <f>TSimulacion[[#This Row],[TasaEA]]-PromedioSistema</f>
        <v>-2.0000000000000018E-3</v>
      </c>
      <c r="O18" s="12">
        <f t="shared" si="1"/>
        <v>0.11596443857064398</v>
      </c>
      <c r="P18" s="11" t="str">
        <f>IF(TSimulacion[[#This Row],[ValorFinal]]&gt;CoberturaFogafin,"Excede cobertura Fogafín","")</f>
        <v/>
      </c>
      <c r="Q18" s="20">
        <f>RANK(TSimulacion[[#This Row],[RentNetaEA]],TSimulacion[RentNetaEA],0)</f>
        <v>14</v>
      </c>
    </row>
    <row r="19" spans="1:17" ht="16.95" customHeight="1">
      <c r="A19" s="11" t="s">
        <v>128</v>
      </c>
      <c r="B19" s="11" t="s">
        <v>21</v>
      </c>
      <c r="C19" s="11"/>
      <c r="D19" s="12">
        <f>INDEX(TTasas[TasaEA],MATCH(TSimulacion[[#This Row],[Entidad]],TTasas[Entidad],0))</f>
        <v>0.1188</v>
      </c>
      <c r="E19" s="28">
        <f>(1+TSimulacion[[#This Row],[TasaEA]])^(DiasPeriodo/BaseDias)-1</f>
        <v>0.11708087315424676</v>
      </c>
      <c r="F19" s="20">
        <f t="shared" si="0"/>
        <v>1</v>
      </c>
      <c r="G19" s="13">
        <f>Monto*TSimulacion[[#This Row],[TasaPeriodica]]</f>
        <v>1170808.7315424676</v>
      </c>
      <c r="H19" s="13">
        <f>TSimulacion[[#This Row],[InteresBrutoPeriodo]]*TSimulacion[[#This Row],[NumPeriodos]]</f>
        <v>1170808.7315424676</v>
      </c>
      <c r="I19" s="13">
        <f>TSimulacion[[#This Row],[InteresBrutoTotal]]*Retencion</f>
        <v>46832.349261698706</v>
      </c>
      <c r="J19" s="13">
        <f>TSimulacion[[#This Row],[InteresBrutoTotal]]-TSimulacion[[#This Row],[RetencionCOP]]</f>
        <v>1123976.3822807688</v>
      </c>
      <c r="K19" s="13">
        <f>Monto+TSimulacion[[#This Row],[InteresNeto]]</f>
        <v>11123976.382280769</v>
      </c>
      <c r="L19" s="12">
        <f>(1+TSimulacion[[#This Row],[TasaPeriodica]]*(1-Retencion))^(BaseDias/DiasPeriodo)-1</f>
        <v>0.11404455144365588</v>
      </c>
      <c r="M19" s="12">
        <f>(1+TSimulacion[[#This Row],[RentNetaEA]])/(1+IPC12m)-1</f>
        <v>4.8557454322887716E-2</v>
      </c>
      <c r="N19" s="29">
        <f>TSimulacion[[#This Row],[TasaEA]]-PromedioSistema</f>
        <v>-2.0000000000000018E-3</v>
      </c>
      <c r="O19" s="12">
        <f t="shared" si="1"/>
        <v>0.11596443857064398</v>
      </c>
      <c r="P19" s="11" t="str">
        <f>IF(TSimulacion[[#This Row],[ValorFinal]]&gt;CoberturaFogafin,"Excede cobertura Fogafín","")</f>
        <v/>
      </c>
      <c r="Q19" s="20">
        <f>RANK(TSimulacion[[#This Row],[RentNetaEA]],TSimulacion[RentNetaEA],0)</f>
        <v>14</v>
      </c>
    </row>
    <row r="20" spans="1:17" ht="16.95" customHeight="1">
      <c r="A20" s="11" t="s">
        <v>125</v>
      </c>
      <c r="B20" s="11" t="s">
        <v>21</v>
      </c>
      <c r="C20" s="11"/>
      <c r="D20" s="12">
        <f>INDEX(TTasas[TasaEA],MATCH(TSimulacion[[#This Row],[Entidad]],TTasas[Entidad],0))</f>
        <v>0.11799999999999999</v>
      </c>
      <c r="E20" s="28">
        <f>(1+TSimulacion[[#This Row],[TasaEA]])^(DiasPeriodo/BaseDias)-1</f>
        <v>0.11629304062451418</v>
      </c>
      <c r="F20" s="20">
        <f t="shared" si="0"/>
        <v>1</v>
      </c>
      <c r="G20" s="13">
        <f>Monto*TSimulacion[[#This Row],[TasaPeriodica]]</f>
        <v>1162930.4062451418</v>
      </c>
      <c r="H20" s="13">
        <f>TSimulacion[[#This Row],[InteresBrutoPeriodo]]*TSimulacion[[#This Row],[NumPeriodos]]</f>
        <v>1162930.4062451418</v>
      </c>
      <c r="I20" s="13">
        <f>TSimulacion[[#This Row],[InteresBrutoTotal]]*Retencion</f>
        <v>46517.216249805671</v>
      </c>
      <c r="J20" s="13">
        <f>TSimulacion[[#This Row],[InteresBrutoTotal]]-TSimulacion[[#This Row],[RetencionCOP]]</f>
        <v>1116413.1899953361</v>
      </c>
      <c r="K20" s="13">
        <f>Monto+TSimulacion[[#This Row],[InteresNeto]]</f>
        <v>11116413.189995335</v>
      </c>
      <c r="L20" s="12">
        <f>(1+TSimulacion[[#This Row],[TasaPeriodica]]*(1-Retencion))^(BaseDias/DiasPeriodo)-1</f>
        <v>0.11327659611983343</v>
      </c>
      <c r="M20" s="12">
        <f>(1+TSimulacion[[#This Row],[RentNetaEA]])/(1+IPC12m)-1</f>
        <v>4.7834641865937444E-2</v>
      </c>
      <c r="N20" s="29">
        <f>TSimulacion[[#This Row],[TasaEA]]-PromedioSistema</f>
        <v>-2.8000000000000108E-3</v>
      </c>
      <c r="O20" s="12">
        <f t="shared" si="1"/>
        <v>0.11596443857064398</v>
      </c>
      <c r="P20" s="11" t="str">
        <f>IF(TSimulacion[[#This Row],[ValorFinal]]&gt;CoberturaFogafin,"Excede cobertura Fogafín","")</f>
        <v/>
      </c>
      <c r="Q20" s="20">
        <f>RANK(TSimulacion[[#This Row],[RentNetaEA]],TSimulacion[RentNetaEA],0)</f>
        <v>16</v>
      </c>
    </row>
    <row r="21" spans="1:17" ht="16.95" customHeight="1">
      <c r="A21" s="11" t="s">
        <v>118</v>
      </c>
      <c r="B21" s="11" t="s">
        <v>21</v>
      </c>
      <c r="C21" s="11"/>
      <c r="D21" s="12">
        <f>INDEX(TTasas[TasaEA],MATCH(TSimulacion[[#This Row],[Entidad]],TTasas[Entidad],0))</f>
        <v>0.11509999999999999</v>
      </c>
      <c r="E21" s="28">
        <f>(1+TSimulacion[[#This Row],[TasaEA]])^(DiasPeriodo/BaseDias)-1</f>
        <v>0.11343708292630383</v>
      </c>
      <c r="F21" s="20">
        <f t="shared" si="0"/>
        <v>1</v>
      </c>
      <c r="G21" s="13">
        <f>Monto*TSimulacion[[#This Row],[TasaPeriodica]]</f>
        <v>1134370.8292630382</v>
      </c>
      <c r="H21" s="13">
        <f>TSimulacion[[#This Row],[InteresBrutoPeriodo]]*TSimulacion[[#This Row],[NumPeriodos]]</f>
        <v>1134370.8292630382</v>
      </c>
      <c r="I21" s="13">
        <f>TSimulacion[[#This Row],[InteresBrutoTotal]]*Retencion</f>
        <v>45374.833170521531</v>
      </c>
      <c r="J21" s="13">
        <f>TSimulacion[[#This Row],[InteresBrutoTotal]]-TSimulacion[[#This Row],[RetencionCOP]]</f>
        <v>1088995.9960925167</v>
      </c>
      <c r="K21" s="13">
        <f>Monto+TSimulacion[[#This Row],[InteresNeto]]</f>
        <v>11088995.996092517</v>
      </c>
      <c r="L21" s="12">
        <f>(1+TSimulacion[[#This Row],[TasaPeriodica]]*(1-Retencion))^(BaseDias/DiasPeriodo)-1</f>
        <v>0.1104927557975679</v>
      </c>
      <c r="M21" s="12">
        <f>(1+TSimulacion[[#This Row],[RentNetaEA]])/(1+IPC12m)-1</f>
        <v>4.5214444569722012E-2</v>
      </c>
      <c r="N21" s="29">
        <f>TSimulacion[[#This Row],[TasaEA]]-PromedioSistema</f>
        <v>-5.7000000000000106E-3</v>
      </c>
      <c r="O21" s="12">
        <f t="shared" si="1"/>
        <v>0.11596443857064398</v>
      </c>
      <c r="P21" s="11" t="str">
        <f>IF(TSimulacion[[#This Row],[ValorFinal]]&gt;CoberturaFogafin,"Excede cobertura Fogafín","")</f>
        <v/>
      </c>
      <c r="Q21" s="20">
        <f>RANK(TSimulacion[[#This Row],[RentNetaEA]],TSimulacion[RentNetaEA],0)</f>
        <v>17</v>
      </c>
    </row>
    <row r="22" spans="1:17" ht="16.95" customHeight="1">
      <c r="A22" s="11" t="s">
        <v>110</v>
      </c>
      <c r="B22" s="11" t="s">
        <v>21</v>
      </c>
      <c r="C22" s="11"/>
      <c r="D22" s="12">
        <f>INDEX(TTasas[TasaEA],MATCH(TSimulacion[[#This Row],[Entidad]],TTasas[Entidad],0))</f>
        <v>0.115</v>
      </c>
      <c r="E22" s="28">
        <f>(1+TSimulacion[[#This Row],[TasaEA]])^(DiasPeriodo/BaseDias)-1</f>
        <v>0.11333859981315642</v>
      </c>
      <c r="F22" s="20">
        <f t="shared" si="0"/>
        <v>1</v>
      </c>
      <c r="G22" s="13">
        <f>Monto*TSimulacion[[#This Row],[TasaPeriodica]]</f>
        <v>1133385.9981315641</v>
      </c>
      <c r="H22" s="13">
        <f>TSimulacion[[#This Row],[InteresBrutoPeriodo]]*TSimulacion[[#This Row],[NumPeriodos]]</f>
        <v>1133385.9981315641</v>
      </c>
      <c r="I22" s="13">
        <f>TSimulacion[[#This Row],[InteresBrutoTotal]]*Retencion</f>
        <v>45335.439925262566</v>
      </c>
      <c r="J22" s="13">
        <f>TSimulacion[[#This Row],[InteresBrutoTotal]]-TSimulacion[[#This Row],[RetencionCOP]]</f>
        <v>1088050.5582063016</v>
      </c>
      <c r="K22" s="13">
        <f>Monto+TSimulacion[[#This Row],[InteresNeto]]</f>
        <v>11088050.558206301</v>
      </c>
      <c r="L22" s="12">
        <f>(1+TSimulacion[[#This Row],[TasaPeriodica]]*(1-Retencion))^(BaseDias/DiasPeriodo)-1</f>
        <v>0.11039676123999365</v>
      </c>
      <c r="M22" s="12">
        <f>(1+TSimulacion[[#This Row],[RentNetaEA]])/(1+IPC12m)-1</f>
        <v>4.5124092878859656E-2</v>
      </c>
      <c r="N22" s="29">
        <f>TSimulacion[[#This Row],[TasaEA]]-PromedioSistema</f>
        <v>-5.7999999999999996E-3</v>
      </c>
      <c r="O22" s="12">
        <f t="shared" si="1"/>
        <v>0.11596443857064398</v>
      </c>
      <c r="P22" s="11" t="str">
        <f>IF(TSimulacion[[#This Row],[ValorFinal]]&gt;CoberturaFogafin,"Excede cobertura Fogafín","")</f>
        <v/>
      </c>
      <c r="Q22" s="20">
        <f>RANK(TSimulacion[[#This Row],[RentNetaEA]],TSimulacion[RentNetaEA],0)</f>
        <v>18</v>
      </c>
    </row>
    <row r="23" spans="1:17" ht="16.95" customHeight="1">
      <c r="A23" s="11" t="s">
        <v>116</v>
      </c>
      <c r="B23" s="11" t="s">
        <v>21</v>
      </c>
      <c r="C23" s="11"/>
      <c r="D23" s="12">
        <f>INDEX(TTasas[TasaEA],MATCH(TSimulacion[[#This Row],[Entidad]],TTasas[Entidad],0))</f>
        <v>0.1134</v>
      </c>
      <c r="E23" s="28">
        <f>(1+TSimulacion[[#This Row],[TasaEA]])^(DiasPeriodo/BaseDias)-1</f>
        <v>0.11176285354010806</v>
      </c>
      <c r="F23" s="20">
        <f t="shared" si="0"/>
        <v>1</v>
      </c>
      <c r="G23" s="13">
        <f>Monto*TSimulacion[[#This Row],[TasaPeriodica]]</f>
        <v>1117628.5354010807</v>
      </c>
      <c r="H23" s="13">
        <f>TSimulacion[[#This Row],[InteresBrutoPeriodo]]*TSimulacion[[#This Row],[NumPeriodos]]</f>
        <v>1117628.5354010807</v>
      </c>
      <c r="I23" s="13">
        <f>TSimulacion[[#This Row],[InteresBrutoTotal]]*Retencion</f>
        <v>44705.141416043232</v>
      </c>
      <c r="J23" s="13">
        <f>TSimulacion[[#This Row],[InteresBrutoTotal]]-TSimulacion[[#This Row],[RetencionCOP]]</f>
        <v>1072923.3939850375</v>
      </c>
      <c r="K23" s="13">
        <f>Monto+TSimulacion[[#This Row],[InteresNeto]]</f>
        <v>11072923.393985037</v>
      </c>
      <c r="L23" s="12">
        <f>(1+TSimulacion[[#This Row],[TasaPeriodica]]*(1-Retencion))^(BaseDias/DiasPeriodo)-1</f>
        <v>0.10886084773967886</v>
      </c>
      <c r="M23" s="12">
        <f>(1+TSimulacion[[#This Row],[RentNetaEA]])/(1+IPC12m)-1</f>
        <v>4.3678465279978429E-2</v>
      </c>
      <c r="N23" s="29">
        <f>TSimulacion[[#This Row],[TasaEA]]-PromedioSistema</f>
        <v>-7.4000000000000038E-3</v>
      </c>
      <c r="O23" s="12">
        <f t="shared" si="1"/>
        <v>0.11596443857064398</v>
      </c>
      <c r="P23" s="11" t="str">
        <f>IF(TSimulacion[[#This Row],[ValorFinal]]&gt;CoberturaFogafin,"Excede cobertura Fogafín","")</f>
        <v/>
      </c>
      <c r="Q23" s="20">
        <f>RANK(TSimulacion[[#This Row],[RentNetaEA]],TSimulacion[RentNetaEA],0)</f>
        <v>19</v>
      </c>
    </row>
    <row r="24" spans="1:17" ht="16.95" customHeight="1">
      <c r="A24" s="11" t="s">
        <v>131</v>
      </c>
      <c r="B24" s="11" t="s">
        <v>22</v>
      </c>
      <c r="C24" s="11"/>
      <c r="D24" s="12">
        <f>INDEX(TTasas[TasaEA],MATCH(TSimulacion[[#This Row],[Entidad]],TTasas[Entidad],0))</f>
        <v>0.1103</v>
      </c>
      <c r="E24" s="28">
        <f>(1+TSimulacion[[#This Row],[TasaEA]])^(DiasPeriodo/BaseDias)-1</f>
        <v>0.10870975682317718</v>
      </c>
      <c r="F24" s="20">
        <f t="shared" si="0"/>
        <v>1</v>
      </c>
      <c r="G24" s="13">
        <f>Monto*TSimulacion[[#This Row],[TasaPeriodica]]</f>
        <v>1087097.5682317719</v>
      </c>
      <c r="H24" s="13">
        <f>TSimulacion[[#This Row],[InteresBrutoPeriodo]]*TSimulacion[[#This Row],[NumPeriodos]]</f>
        <v>1087097.5682317719</v>
      </c>
      <c r="I24" s="13">
        <f>TSimulacion[[#This Row],[InteresBrutoTotal]]*Retencion</f>
        <v>43483.902729270878</v>
      </c>
      <c r="J24" s="13">
        <f>TSimulacion[[#This Row],[InteresBrutoTotal]]-TSimulacion[[#This Row],[RetencionCOP]]</f>
        <v>1043613.6655025011</v>
      </c>
      <c r="K24" s="13">
        <f>Monto+TSimulacion[[#This Row],[InteresNeto]]</f>
        <v>11043613.665502502</v>
      </c>
      <c r="L24" s="12">
        <f>(1+TSimulacion[[#This Row],[TasaPeriodica]]*(1-Retencion))^(BaseDias/DiasPeriodo)-1</f>
        <v>0.10588501222195035</v>
      </c>
      <c r="M24" s="12">
        <f>(1+TSimulacion[[#This Row],[RentNetaEA]])/(1+IPC12m)-1</f>
        <v>4.0877558879144127E-2</v>
      </c>
      <c r="N24" s="29">
        <f>TSimulacion[[#This Row],[TasaEA]]-PromedioSistema</f>
        <v>-1.0500000000000009E-2</v>
      </c>
      <c r="O24" s="12">
        <f t="shared" si="1"/>
        <v>0.11596443857064398</v>
      </c>
      <c r="P24" s="11" t="str">
        <f>IF(TSimulacion[[#This Row],[ValorFinal]]&gt;CoberturaFogafin,"Excede cobertura Fogafín","")</f>
        <v/>
      </c>
      <c r="Q24" s="20">
        <f>RANK(TSimulacion[[#This Row],[RentNetaEA]],TSimulacion[RentNetaEA],0)</f>
        <v>20</v>
      </c>
    </row>
    <row r="25" spans="1:17" ht="16.95" customHeight="1">
      <c r="A25" s="11" t="s">
        <v>136</v>
      </c>
      <c r="B25" s="11" t="s">
        <v>23</v>
      </c>
      <c r="C25" s="11" t="s">
        <v>137</v>
      </c>
      <c r="D25" s="12">
        <f>INDEX(TTasas[TasaEA],MATCH(TSimulacion[[#This Row],[Entidad]],TTasas[Entidad],0))</f>
        <v>0.11</v>
      </c>
      <c r="E25" s="28">
        <f>(1+TSimulacion[[#This Row],[TasaEA]])^(DiasPeriodo/BaseDias)-1</f>
        <v>0.10841428965866373</v>
      </c>
      <c r="F25" s="20">
        <f t="shared" si="0"/>
        <v>1</v>
      </c>
      <c r="G25" s="13">
        <f>Monto*TSimulacion[[#This Row],[TasaPeriodica]]</f>
        <v>1084142.8965866372</v>
      </c>
      <c r="H25" s="13">
        <f>TSimulacion[[#This Row],[InteresBrutoPeriodo]]*TSimulacion[[#This Row],[NumPeriodos]]</f>
        <v>1084142.8965866372</v>
      </c>
      <c r="I25" s="13">
        <f>TSimulacion[[#This Row],[InteresBrutoTotal]]*Retencion</f>
        <v>43365.715863465492</v>
      </c>
      <c r="J25" s="13">
        <f>TSimulacion[[#This Row],[InteresBrutoTotal]]-TSimulacion[[#This Row],[RetencionCOP]]</f>
        <v>1040777.1807231718</v>
      </c>
      <c r="K25" s="13">
        <f>Monto+TSimulacion[[#This Row],[InteresNeto]]</f>
        <v>11040777.180723172</v>
      </c>
      <c r="L25" s="12">
        <f>(1+TSimulacion[[#This Row],[TasaPeriodica]]*(1-Retencion))^(BaseDias/DiasPeriodo)-1</f>
        <v>0.10559702792116954</v>
      </c>
      <c r="M25" s="12">
        <f>(1+TSimulacion[[#This Row],[RentNetaEA]])/(1+IPC12m)-1</f>
        <v>4.0606503215418366E-2</v>
      </c>
      <c r="N25" s="29">
        <f>TSimulacion[[#This Row],[TasaEA]]-PromedioSistema</f>
        <v>-1.0800000000000004E-2</v>
      </c>
      <c r="O25" s="12">
        <f t="shared" si="1"/>
        <v>0.11596443857064398</v>
      </c>
      <c r="P25" s="11" t="str">
        <f>IF(TSimulacion[[#This Row],[ValorFinal]]&gt;CoberturaFogafin,"Excede cobertura Fogafín","")</f>
        <v/>
      </c>
      <c r="Q25" s="20">
        <f>RANK(TSimulacion[[#This Row],[RentNetaEA]],TSimulacion[RentNetaEA],0)</f>
        <v>21</v>
      </c>
    </row>
    <row r="26" spans="1:17" ht="16.95" customHeight="1">
      <c r="A26" s="11" t="s">
        <v>115</v>
      </c>
      <c r="B26" s="11" t="s">
        <v>21</v>
      </c>
      <c r="C26" s="11"/>
      <c r="D26" s="12">
        <f>INDEX(TTasas[TasaEA],MATCH(TSimulacion[[#This Row],[Entidad]],TTasas[Entidad],0))</f>
        <v>0.1079</v>
      </c>
      <c r="E26" s="28">
        <f>(1+TSimulacion[[#This Row],[TasaEA]])^(DiasPeriodo/BaseDias)-1</f>
        <v>0.10634598886051871</v>
      </c>
      <c r="F26" s="20">
        <f t="shared" si="0"/>
        <v>1</v>
      </c>
      <c r="G26" s="13">
        <f>Monto*TSimulacion[[#This Row],[TasaPeriodica]]</f>
        <v>1063459.8886051872</v>
      </c>
      <c r="H26" s="13">
        <f>TSimulacion[[#This Row],[InteresBrutoPeriodo]]*TSimulacion[[#This Row],[NumPeriodos]]</f>
        <v>1063459.8886051872</v>
      </c>
      <c r="I26" s="13">
        <f>TSimulacion[[#This Row],[InteresBrutoTotal]]*Retencion</f>
        <v>42538.395544207488</v>
      </c>
      <c r="J26" s="13">
        <f>TSimulacion[[#This Row],[InteresBrutoTotal]]-TSimulacion[[#This Row],[RetencionCOP]]</f>
        <v>1020921.4930609796</v>
      </c>
      <c r="K26" s="13">
        <f>Monto+TSimulacion[[#This Row],[InteresNeto]]</f>
        <v>11020921.49306098</v>
      </c>
      <c r="L26" s="12">
        <f>(1+TSimulacion[[#This Row],[TasaPeriodica]]*(1-Retencion))^(BaseDias/DiasPeriodo)-1</f>
        <v>0.10358113673297331</v>
      </c>
      <c r="M26" s="12">
        <f>(1+TSimulacion[[#This Row],[RentNetaEA]])/(1+IPC12m)-1</f>
        <v>3.8709112550253444E-2</v>
      </c>
      <c r="N26" s="29">
        <f>TSimulacion[[#This Row],[TasaEA]]-PromedioSistema</f>
        <v>-1.2900000000000009E-2</v>
      </c>
      <c r="O26" s="12">
        <f t="shared" si="1"/>
        <v>0.11596443857064398</v>
      </c>
      <c r="P26" s="11" t="str">
        <f>IF(TSimulacion[[#This Row],[ValorFinal]]&gt;CoberturaFogafin,"Excede cobertura Fogafín","")</f>
        <v/>
      </c>
      <c r="Q26" s="20">
        <f>RANK(TSimulacion[[#This Row],[RentNetaEA]],TSimulacion[RentNetaEA],0)</f>
        <v>22</v>
      </c>
    </row>
    <row r="27" spans="1:17" ht="16.95" customHeight="1">
      <c r="A27" s="11" t="s">
        <v>121</v>
      </c>
      <c r="B27" s="11" t="s">
        <v>21</v>
      </c>
      <c r="C27" s="11"/>
      <c r="D27" s="12">
        <f>INDEX(TTasas[TasaEA],MATCH(TSimulacion[[#This Row],[Entidad]],TTasas[Entidad],0))</f>
        <v>9.9700000000000011E-2</v>
      </c>
      <c r="E27" s="28">
        <f>(1+TSimulacion[[#This Row],[TasaEA]])^(DiasPeriodo/BaseDias)-1</f>
        <v>9.8269251457945073E-2</v>
      </c>
      <c r="F27" s="20">
        <f t="shared" si="0"/>
        <v>1</v>
      </c>
      <c r="G27" s="13">
        <f>Monto*TSimulacion[[#This Row],[TasaPeriodica]]</f>
        <v>982692.51457945071</v>
      </c>
      <c r="H27" s="13">
        <f>TSimulacion[[#This Row],[InteresBrutoPeriodo]]*TSimulacion[[#This Row],[NumPeriodos]]</f>
        <v>982692.51457945071</v>
      </c>
      <c r="I27" s="13">
        <f>TSimulacion[[#This Row],[InteresBrutoTotal]]*Retencion</f>
        <v>39307.700583178026</v>
      </c>
      <c r="J27" s="13">
        <f>TSimulacion[[#This Row],[InteresBrutoTotal]]-TSimulacion[[#This Row],[RetencionCOP]]</f>
        <v>943384.81399627263</v>
      </c>
      <c r="K27" s="13">
        <f>Monto+TSimulacion[[#This Row],[InteresNeto]]</f>
        <v>10943384.813996272</v>
      </c>
      <c r="L27" s="12">
        <f>(1+TSimulacion[[#This Row],[TasaPeriodica]]*(1-Retencion))^(BaseDias/DiasPeriodo)-1</f>
        <v>9.5709543359326021E-2</v>
      </c>
      <c r="M27" s="12">
        <f>(1+TSimulacion[[#This Row],[RentNetaEA]])/(1+IPC12m)-1</f>
        <v>3.1300236577887164E-2</v>
      </c>
      <c r="N27" s="29">
        <f>TSimulacion[[#This Row],[TasaEA]]-PromedioSistema</f>
        <v>-2.1099999999999994E-2</v>
      </c>
      <c r="O27" s="12">
        <f t="shared" si="1"/>
        <v>0.11596443857064398</v>
      </c>
      <c r="P27" s="11" t="str">
        <f>IF(TSimulacion[[#This Row],[ValorFinal]]&gt;CoberturaFogafin,"Excede cobertura Fogafín","")</f>
        <v/>
      </c>
      <c r="Q27" s="20">
        <f>RANK(TSimulacion[[#This Row],[RentNetaEA]],TSimulacion[RentNetaEA],0)</f>
        <v>23</v>
      </c>
    </row>
    <row r="28" spans="1:17" ht="16.95" customHeight="1">
      <c r="A28" s="11" t="s">
        <v>126</v>
      </c>
      <c r="B28" s="11" t="s">
        <v>21</v>
      </c>
      <c r="C28" s="11"/>
      <c r="D28" s="12">
        <f>INDEX(TTasas[TasaEA],MATCH(TSimulacion[[#This Row],[Entidad]],TTasas[Entidad],0))</f>
        <v>9.74E-2</v>
      </c>
      <c r="E28" s="28">
        <f>(1+TSimulacion[[#This Row],[TasaEA]])^(DiasPeriodo/BaseDias)-1</f>
        <v>9.6003677219670402E-2</v>
      </c>
      <c r="F28" s="20">
        <f t="shared" si="0"/>
        <v>1</v>
      </c>
      <c r="G28" s="13">
        <f>Monto*TSimulacion[[#This Row],[TasaPeriodica]]</f>
        <v>960036.77219670406</v>
      </c>
      <c r="H28" s="13">
        <f>TSimulacion[[#This Row],[InteresBrutoPeriodo]]*TSimulacion[[#This Row],[NumPeriodos]]</f>
        <v>960036.77219670406</v>
      </c>
      <c r="I28" s="13">
        <f>TSimulacion[[#This Row],[InteresBrutoTotal]]*Retencion</f>
        <v>38401.470887868163</v>
      </c>
      <c r="J28" s="13">
        <f>TSimulacion[[#This Row],[InteresBrutoTotal]]-TSimulacion[[#This Row],[RetencionCOP]]</f>
        <v>921635.30130883586</v>
      </c>
      <c r="K28" s="13">
        <f>Monto+TSimulacion[[#This Row],[InteresNeto]]</f>
        <v>10921635.301308837</v>
      </c>
      <c r="L28" s="12">
        <f>(1+TSimulacion[[#This Row],[TasaPeriodica]]*(1-Retencion))^(BaseDias/DiasPeriodo)-1</f>
        <v>9.3501652153620496E-2</v>
      </c>
      <c r="M28" s="12">
        <f>(1+TSimulacion[[#This Row],[RentNetaEA]])/(1+IPC12m)-1</f>
        <v>2.9222132269512535E-2</v>
      </c>
      <c r="N28" s="29">
        <f>TSimulacion[[#This Row],[TasaEA]]-PromedioSistema</f>
        <v>-2.3400000000000004E-2</v>
      </c>
      <c r="O28" s="12">
        <f t="shared" si="1"/>
        <v>0.11596443857064398</v>
      </c>
      <c r="P28" s="11" t="str">
        <f>IF(TSimulacion[[#This Row],[ValorFinal]]&gt;CoberturaFogafin,"Excede cobertura Fogafín","")</f>
        <v/>
      </c>
      <c r="Q28" s="20">
        <f>RANK(TSimulacion[[#This Row],[RentNetaEA]],TSimulacion[RentNetaEA],0)</f>
        <v>24</v>
      </c>
    </row>
    <row r="29" spans="1:17" ht="16.95" customHeight="1">
      <c r="A29" s="11" t="s">
        <v>120</v>
      </c>
      <c r="B29" s="11" t="s">
        <v>21</v>
      </c>
      <c r="C29" s="11"/>
      <c r="D29" s="12">
        <f>INDEX(TTasas[TasaEA],MATCH(TSimulacion[[#This Row],[Entidad]],TTasas[Entidad],0))</f>
        <v>0.09</v>
      </c>
      <c r="E29" s="28">
        <f>(1+TSimulacion[[#This Row],[TasaEA]])^(DiasPeriodo/BaseDias)-1</f>
        <v>8.8713996361852621E-2</v>
      </c>
      <c r="F29" s="20">
        <f t="shared" si="0"/>
        <v>1</v>
      </c>
      <c r="G29" s="13">
        <f>Monto*TSimulacion[[#This Row],[TasaPeriodica]]</f>
        <v>887139.96361852624</v>
      </c>
      <c r="H29" s="13">
        <f>TSimulacion[[#This Row],[InteresBrutoPeriodo]]*TSimulacion[[#This Row],[NumPeriodos]]</f>
        <v>887139.96361852624</v>
      </c>
      <c r="I29" s="13">
        <f>TSimulacion[[#This Row],[InteresBrutoTotal]]*Retencion</f>
        <v>35485.598544741049</v>
      </c>
      <c r="J29" s="13">
        <f>TSimulacion[[#This Row],[InteresBrutoTotal]]-TSimulacion[[#This Row],[RetencionCOP]]</f>
        <v>851654.36507378519</v>
      </c>
      <c r="K29" s="13">
        <f>Monto+TSimulacion[[#This Row],[InteresNeto]]</f>
        <v>10851654.365073785</v>
      </c>
      <c r="L29" s="12">
        <f>(1+TSimulacion[[#This Row],[TasaPeriodica]]*(1-Retencion))^(BaseDias/DiasPeriodo)-1</f>
        <v>8.6397986388574655E-2</v>
      </c>
      <c r="M29" s="12">
        <f>(1+TSimulacion[[#This Row],[RentNetaEA]])/(1+IPC12m)-1</f>
        <v>2.2536042668064526E-2</v>
      </c>
      <c r="N29" s="29">
        <f>TSimulacion[[#This Row],[TasaEA]]-PromedioSistema</f>
        <v>-3.0800000000000008E-2</v>
      </c>
      <c r="O29" s="12">
        <f t="shared" si="1"/>
        <v>0.11596443857064398</v>
      </c>
      <c r="P29" s="11" t="str">
        <f>IF(TSimulacion[[#This Row],[ValorFinal]]&gt;CoberturaFogafin,"Excede cobertura Fogafín","")</f>
        <v/>
      </c>
      <c r="Q29" s="20">
        <f>RANK(TSimulacion[[#This Row],[RentNetaEA]],TSimulacion[RentNetaEA],0)</f>
        <v>25</v>
      </c>
    </row>
    <row r="32" spans="1:17" ht="48" customHeight="1">
      <c r="A32" s="39" t="s">
        <v>164</v>
      </c>
      <c r="B32" s="36"/>
      <c r="C32" s="36"/>
      <c r="D32" s="36"/>
      <c r="E32" s="36"/>
      <c r="F32" s="36"/>
      <c r="G32" s="36"/>
      <c r="H32" s="36"/>
      <c r="I32" s="36"/>
      <c r="J32" s="36"/>
    </row>
  </sheetData>
  <mergeCells count="1">
    <mergeCell ref="A32:J32"/>
  </mergeCells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  <pageSetUpPr fitToPage="1"/>
  </sheetPr>
  <dimension ref="B2:G79"/>
  <sheetViews>
    <sheetView showGridLines="0" workbookViewId="0"/>
  </sheetViews>
  <sheetFormatPr baseColWidth="10" defaultColWidth="8.88671875" defaultRowHeight="14.4"/>
  <cols>
    <col min="2" max="2" width="42" customWidth="1"/>
    <col min="3" max="3" width="22" customWidth="1"/>
    <col min="4" max="7" width="14" customWidth="1"/>
  </cols>
  <sheetData>
    <row r="2" spans="2:5" ht="20.399999999999999">
      <c r="B2" s="16" t="s">
        <v>165</v>
      </c>
    </row>
    <row r="4" spans="2:5" ht="15">
      <c r="B4" s="4" t="s">
        <v>166</v>
      </c>
      <c r="C4" s="11" t="str">
        <f>INDEX(TSimulacion[Entidad],MATCH(1,TSimulacion[Ranking],0))</f>
        <v>Banco Pichincha</v>
      </c>
      <c r="D4" s="8"/>
      <c r="E4" s="8"/>
    </row>
    <row r="5" spans="2:5" ht="15">
      <c r="B5" s="4" t="s">
        <v>167</v>
      </c>
      <c r="C5" s="12">
        <f>INDEX(TSimulacion[TasaEA],MATCH(1,TSimulacion[Ranking],0))</f>
        <v>0.1346</v>
      </c>
      <c r="D5" s="8"/>
      <c r="E5" s="8"/>
    </row>
    <row r="6" spans="2:5" ht="15">
      <c r="B6" s="4" t="s">
        <v>168</v>
      </c>
      <c r="C6" s="28">
        <f>(1+TasaMejor)^(DiasPeriodo/BaseDias)-1</f>
        <v>0.13263899147530434</v>
      </c>
      <c r="D6" s="8"/>
      <c r="E6" s="8"/>
    </row>
    <row r="7" spans="2:5" ht="15">
      <c r="B7" s="4" t="s">
        <v>169</v>
      </c>
      <c r="C7" s="28">
        <f>IRR(TFlujo[FCN],TasaPerMejor*(1-Retencion))</f>
        <v>0.1273334318162922</v>
      </c>
      <c r="D7" s="8"/>
      <c r="E7" s="8"/>
    </row>
    <row r="8" spans="2:5" ht="15">
      <c r="B8" s="4" t="s">
        <v>170</v>
      </c>
      <c r="C8" s="12">
        <f>(1+TIRPer)^(BaseDias/DiasPeriodo)-1</f>
        <v>0.12921161414252236</v>
      </c>
      <c r="D8" s="8"/>
      <c r="E8" s="8"/>
    </row>
    <row r="9" spans="2:5" ht="15">
      <c r="B9" s="4" t="s">
        <v>171</v>
      </c>
      <c r="C9" s="12">
        <f>INDEX(TSimulacion[RentNetaEA],MATCH(1,TSimulacion[Ranking],0))</f>
        <v>0.12921161414252236</v>
      </c>
      <c r="D9" s="8"/>
      <c r="E9" s="8"/>
    </row>
    <row r="10" spans="2:5" ht="15">
      <c r="B10" s="4" t="s">
        <v>172</v>
      </c>
      <c r="C10" s="30">
        <f>SUM(TFlujo[Xfd])</f>
        <v>0</v>
      </c>
      <c r="D10" s="8"/>
      <c r="E10" s="8"/>
    </row>
    <row r="11" spans="2:5" ht="15">
      <c r="B11" s="4" t="s">
        <v>173</v>
      </c>
      <c r="C11" s="11" t="str">
        <f>IF(ABS(SumXfd)&lt;1,"OK","ERROR")</f>
        <v>OK</v>
      </c>
      <c r="D11" s="8"/>
      <c r="E11" s="8"/>
    </row>
    <row r="12" spans="2:5" ht="15">
      <c r="B12" s="4" t="s">
        <v>174</v>
      </c>
      <c r="C12" s="11" t="str">
        <f>IF(ABS(TIREA-RentNetaMejor)&lt;0.000001,"OK","ERROR")</f>
        <v>OK</v>
      </c>
      <c r="D12" s="8"/>
      <c r="E12" s="8"/>
    </row>
    <row r="13" spans="2:5" ht="15">
      <c r="B13" s="4" t="s">
        <v>175</v>
      </c>
      <c r="C13" s="13">
        <f>INDEX(TSimulacion[InteresNeto],MATCH(1,TSimulacion[Ranking],0))</f>
        <v>1273334.3181629216</v>
      </c>
      <c r="D13" s="8"/>
      <c r="E13" s="8"/>
    </row>
    <row r="14" spans="2:5" ht="15">
      <c r="B14" s="4" t="s">
        <v>176</v>
      </c>
      <c r="C14" s="12">
        <f>INDEX(TSimulacion[RentRealEA],MATCH(1,TSimulacion[Ranking],0))</f>
        <v>6.2832948630965557E-2</v>
      </c>
      <c r="D14" s="8"/>
      <c r="E14" s="8"/>
    </row>
    <row r="15" spans="2:5" ht="15">
      <c r="B15" s="4" t="s">
        <v>177</v>
      </c>
      <c r="C15" s="29">
        <f>INDEX(TSimulacion[DifVsSistema],MATCH(1,TSimulacion[Ranking],0))</f>
        <v>1.3799999999999993E-2</v>
      </c>
      <c r="D15" s="8"/>
      <c r="E15" s="8"/>
    </row>
    <row r="18" spans="2:7" ht="22.05" customHeight="1">
      <c r="B18" s="9" t="s">
        <v>178</v>
      </c>
      <c r="C18" s="10" t="s">
        <v>179</v>
      </c>
      <c r="D18" s="10" t="s">
        <v>180</v>
      </c>
      <c r="E18" s="10" t="s">
        <v>181</v>
      </c>
      <c r="F18" s="10" t="s">
        <v>182</v>
      </c>
      <c r="G18" s="10" t="s">
        <v>183</v>
      </c>
    </row>
    <row r="19" spans="2:7" ht="16.95" customHeight="1">
      <c r="B19" s="11">
        <v>0</v>
      </c>
      <c r="C19" s="31">
        <f>IF(TFlujo[[#This Row],[Period]]=0,0,IF(TFlujo[[#This Row],[Period]]&lt;=NPer,Monto*TasaPerMejor*(1-Retencion),0)+IF(TFlujo[[#This Row],[Period]]=NPer,Monto,0))</f>
        <v>0</v>
      </c>
      <c r="D19" s="31">
        <f>IF(TFlujo[[#This Row],[Period]]=0,Monto,0)</f>
        <v>10000000</v>
      </c>
      <c r="E19" s="31">
        <f>TFlujo[[#This Row],[Inflow]]-TFlujo[[#This Row],[Outflow]]</f>
        <v>-10000000</v>
      </c>
      <c r="F19" s="30">
        <f>(1+TIRPer)^(-TFlujo[[#This Row],[Period]])</f>
        <v>1</v>
      </c>
      <c r="G19" s="30">
        <f>TFlujo[[#This Row],[FCN]]*TFlujo[[#This Row],[fd]]</f>
        <v>-10000000</v>
      </c>
    </row>
    <row r="20" spans="2:7" ht="16.95" customHeight="1">
      <c r="B20" s="11">
        <v>1</v>
      </c>
      <c r="C20" s="31">
        <f>IF(TFlujo[[#This Row],[Period]]=0,0,IF(TFlujo[[#This Row],[Period]]&lt;=NPer,Monto*TasaPerMejor*(1-Retencion),0)+IF(TFlujo[[#This Row],[Period]]=NPer,Monto,0))</f>
        <v>11273334.318162922</v>
      </c>
      <c r="D20" s="31">
        <f>IF(TFlujo[[#This Row],[Period]]=0,Monto,0)</f>
        <v>0</v>
      </c>
      <c r="E20" s="31">
        <f>TFlujo[[#This Row],[Inflow]]-TFlujo[[#This Row],[Outflow]]</f>
        <v>11273334.318162922</v>
      </c>
      <c r="F20" s="30">
        <f>(1+TIRPer)^(-TFlujo[[#This Row],[Period]])</f>
        <v>0.88704900589070601</v>
      </c>
      <c r="G20" s="30">
        <f>TFlujo[[#This Row],[FCN]]*TFlujo[[#This Row],[fd]]</f>
        <v>10000000</v>
      </c>
    </row>
    <row r="21" spans="2:7" ht="16.95" customHeight="1">
      <c r="B21" s="11">
        <v>2</v>
      </c>
      <c r="C21" s="31">
        <f>IF(TFlujo[[#This Row],[Period]]=0,0,IF(TFlujo[[#This Row],[Period]]&lt;=NPer,Monto*TasaPerMejor*(1-Retencion),0)+IF(TFlujo[[#This Row],[Period]]=NPer,Monto,0))</f>
        <v>0</v>
      </c>
      <c r="D21" s="31">
        <f>IF(TFlujo[[#This Row],[Period]]=0,Monto,0)</f>
        <v>0</v>
      </c>
      <c r="E21" s="31">
        <f>TFlujo[[#This Row],[Inflow]]-TFlujo[[#This Row],[Outflow]]</f>
        <v>0</v>
      </c>
      <c r="F21" s="30">
        <f>(1+TIRPer)^(-TFlujo[[#This Row],[Period]])</f>
        <v>0.78685593885168981</v>
      </c>
      <c r="G21" s="30">
        <f>TFlujo[[#This Row],[FCN]]*TFlujo[[#This Row],[fd]]</f>
        <v>0</v>
      </c>
    </row>
    <row r="22" spans="2:7" ht="16.95" customHeight="1">
      <c r="B22" s="11">
        <v>3</v>
      </c>
      <c r="C22" s="31">
        <f>IF(TFlujo[[#This Row],[Period]]=0,0,IF(TFlujo[[#This Row],[Period]]&lt;=NPer,Monto*TasaPerMejor*(1-Retencion),0)+IF(TFlujo[[#This Row],[Period]]=NPer,Monto,0))</f>
        <v>0</v>
      </c>
      <c r="D22" s="31">
        <f>IF(TFlujo[[#This Row],[Period]]=0,Monto,0)</f>
        <v>0</v>
      </c>
      <c r="E22" s="31">
        <f>TFlujo[[#This Row],[Inflow]]-TFlujo[[#This Row],[Outflow]]</f>
        <v>0</v>
      </c>
      <c r="F22" s="30">
        <f>(1+TIRPer)^(-TFlujo[[#This Row],[Period]])</f>
        <v>0.69797977833758962</v>
      </c>
      <c r="G22" s="30">
        <f>TFlujo[[#This Row],[FCN]]*TFlujo[[#This Row],[fd]]</f>
        <v>0</v>
      </c>
    </row>
    <row r="23" spans="2:7" ht="16.95" customHeight="1">
      <c r="B23" s="11">
        <v>4</v>
      </c>
      <c r="C23" s="31">
        <f>IF(TFlujo[[#This Row],[Period]]=0,0,IF(TFlujo[[#This Row],[Period]]&lt;=NPer,Monto*TasaPerMejor*(1-Retencion),0)+IF(TFlujo[[#This Row],[Period]]=NPer,Monto,0))</f>
        <v>0</v>
      </c>
      <c r="D23" s="31">
        <f>IF(TFlujo[[#This Row],[Period]]=0,Monto,0)</f>
        <v>0</v>
      </c>
      <c r="E23" s="31">
        <f>TFlujo[[#This Row],[Inflow]]-TFlujo[[#This Row],[Outflow]]</f>
        <v>0</v>
      </c>
      <c r="F23" s="30">
        <f>(1+TIRPer)^(-TFlujo[[#This Row],[Period]])</f>
        <v>0.61914226850617426</v>
      </c>
      <c r="G23" s="30">
        <f>TFlujo[[#This Row],[FCN]]*TFlujo[[#This Row],[fd]]</f>
        <v>0</v>
      </c>
    </row>
    <row r="24" spans="2:7" ht="16.95" customHeight="1">
      <c r="B24" s="11">
        <v>5</v>
      </c>
      <c r="C24" s="31">
        <f>IF(TFlujo[[#This Row],[Period]]=0,0,IF(TFlujo[[#This Row],[Period]]&lt;=NPer,Monto*TasaPerMejor*(1-Retencion),0)+IF(TFlujo[[#This Row],[Period]]=NPer,Monto,0))</f>
        <v>0</v>
      </c>
      <c r="D24" s="31">
        <f>IF(TFlujo[[#This Row],[Period]]=0,Monto,0)</f>
        <v>0</v>
      </c>
      <c r="E24" s="31">
        <f>TFlujo[[#This Row],[Inflow]]-TFlujo[[#This Row],[Outflow]]</f>
        <v>0</v>
      </c>
      <c r="F24" s="30">
        <f>(1+TIRPer)^(-TFlujo[[#This Row],[Period]])</f>
        <v>0.54920953378331849</v>
      </c>
      <c r="G24" s="30">
        <f>TFlujo[[#This Row],[FCN]]*TFlujo[[#This Row],[fd]]</f>
        <v>0</v>
      </c>
    </row>
    <row r="25" spans="2:7" ht="16.95" customHeight="1">
      <c r="B25" s="11">
        <v>6</v>
      </c>
      <c r="C25" s="31">
        <f>IF(TFlujo[[#This Row],[Period]]=0,0,IF(TFlujo[[#This Row],[Period]]&lt;=NPer,Monto*TasaPerMejor*(1-Retencion),0)+IF(TFlujo[[#This Row],[Period]]=NPer,Monto,0))</f>
        <v>0</v>
      </c>
      <c r="D25" s="31">
        <f>IF(TFlujo[[#This Row],[Period]]=0,Monto,0)</f>
        <v>0</v>
      </c>
      <c r="E25" s="31">
        <f>TFlujo[[#This Row],[Inflow]]-TFlujo[[#This Row],[Outflow]]</f>
        <v>0</v>
      </c>
      <c r="F25" s="30">
        <f>(1+TIRPer)^(-TFlujo[[#This Row],[Period]])</f>
        <v>0.48717577096819081</v>
      </c>
      <c r="G25" s="30">
        <f>TFlujo[[#This Row],[FCN]]*TFlujo[[#This Row],[fd]]</f>
        <v>0</v>
      </c>
    </row>
    <row r="26" spans="2:7" ht="16.95" customHeight="1">
      <c r="B26" s="11">
        <v>7</v>
      </c>
      <c r="C26" s="31">
        <f>IF(TFlujo[[#This Row],[Period]]=0,0,IF(TFlujo[[#This Row],[Period]]&lt;=NPer,Monto*TasaPerMejor*(1-Retencion),0)+IF(TFlujo[[#This Row],[Period]]=NPer,Monto,0))</f>
        <v>0</v>
      </c>
      <c r="D26" s="31">
        <f>IF(TFlujo[[#This Row],[Period]]=0,Monto,0)</f>
        <v>0</v>
      </c>
      <c r="E26" s="31">
        <f>TFlujo[[#This Row],[Inflow]]-TFlujo[[#This Row],[Outflow]]</f>
        <v>0</v>
      </c>
      <c r="F26" s="30">
        <f>(1+TIRPer)^(-TFlujo[[#This Row],[Period]])</f>
        <v>0.43214878333137191</v>
      </c>
      <c r="G26" s="30">
        <f>TFlujo[[#This Row],[FCN]]*TFlujo[[#This Row],[fd]]</f>
        <v>0</v>
      </c>
    </row>
    <row r="27" spans="2:7" ht="16.95" customHeight="1">
      <c r="B27" s="11">
        <v>8</v>
      </c>
      <c r="C27" s="31">
        <f>IF(TFlujo[[#This Row],[Period]]=0,0,IF(TFlujo[[#This Row],[Period]]&lt;=NPer,Monto*TasaPerMejor*(1-Retencion),0)+IF(TFlujo[[#This Row],[Period]]=NPer,Monto,0))</f>
        <v>0</v>
      </c>
      <c r="D27" s="31">
        <f>IF(TFlujo[[#This Row],[Period]]=0,Monto,0)</f>
        <v>0</v>
      </c>
      <c r="E27" s="31">
        <f>TFlujo[[#This Row],[Inflow]]-TFlujo[[#This Row],[Outflow]]</f>
        <v>0</v>
      </c>
      <c r="F27" s="30">
        <f>(1+TIRPer)^(-TFlujo[[#This Row],[Period]])</f>
        <v>0.38333714865097157</v>
      </c>
      <c r="G27" s="30">
        <f>TFlujo[[#This Row],[FCN]]*TFlujo[[#This Row],[fd]]</f>
        <v>0</v>
      </c>
    </row>
    <row r="28" spans="2:7" ht="16.95" customHeight="1">
      <c r="B28" s="11">
        <v>9</v>
      </c>
      <c r="C28" s="31">
        <f>IF(TFlujo[[#This Row],[Period]]=0,0,IF(TFlujo[[#This Row],[Period]]&lt;=NPer,Monto*TasaPerMejor*(1-Retencion),0)+IF(TFlujo[[#This Row],[Period]]=NPer,Monto,0))</f>
        <v>0</v>
      </c>
      <c r="D28" s="31">
        <f>IF(TFlujo[[#This Row],[Period]]=0,Monto,0)</f>
        <v>0</v>
      </c>
      <c r="E28" s="31">
        <f>TFlujo[[#This Row],[Inflow]]-TFlujo[[#This Row],[Outflow]]</f>
        <v>0</v>
      </c>
      <c r="F28" s="30">
        <f>(1+TIRPer)^(-TFlujo[[#This Row],[Period]])</f>
        <v>0.34003883663182211</v>
      </c>
      <c r="G28" s="30">
        <f>TFlujo[[#This Row],[FCN]]*TFlujo[[#This Row],[fd]]</f>
        <v>0</v>
      </c>
    </row>
    <row r="29" spans="2:7" ht="16.95" customHeight="1">
      <c r="B29" s="11">
        <v>10</v>
      </c>
      <c r="C29" s="31">
        <f>IF(TFlujo[[#This Row],[Period]]=0,0,IF(TFlujo[[#This Row],[Period]]&lt;=NPer,Monto*TasaPerMejor*(1-Retencion),0)+IF(TFlujo[[#This Row],[Period]]=NPer,Monto,0))</f>
        <v>0</v>
      </c>
      <c r="D29" s="31">
        <f>IF(TFlujo[[#This Row],[Period]]=0,Monto,0)</f>
        <v>0</v>
      </c>
      <c r="E29" s="31">
        <f>TFlujo[[#This Row],[Inflow]]-TFlujo[[#This Row],[Outflow]]</f>
        <v>0</v>
      </c>
      <c r="F29" s="30">
        <f>(1+TIRPer)^(-TFlujo[[#This Row],[Period]])</f>
        <v>0.30163111199849002</v>
      </c>
      <c r="G29" s="30">
        <f>TFlujo[[#This Row],[FCN]]*TFlujo[[#This Row],[fd]]</f>
        <v>0</v>
      </c>
    </row>
    <row r="30" spans="2:7" ht="16.95" customHeight="1">
      <c r="B30" s="11">
        <v>11</v>
      </c>
      <c r="C30" s="31">
        <f>IF(TFlujo[[#This Row],[Period]]=0,0,IF(TFlujo[[#This Row],[Period]]&lt;=NPer,Monto*TasaPerMejor*(1-Retencion),0)+IF(TFlujo[[#This Row],[Period]]=NPer,Monto,0))</f>
        <v>0</v>
      </c>
      <c r="D30" s="31">
        <f>IF(TFlujo[[#This Row],[Period]]=0,Monto,0)</f>
        <v>0</v>
      </c>
      <c r="E30" s="31">
        <f>TFlujo[[#This Row],[Inflow]]-TFlujo[[#This Row],[Outflow]]</f>
        <v>0</v>
      </c>
      <c r="F30" s="30">
        <f>(1+TIRPer)^(-TFlujo[[#This Row],[Period]])</f>
        <v>0.2675615780439688</v>
      </c>
      <c r="G30" s="30">
        <f>TFlujo[[#This Row],[FCN]]*TFlujo[[#This Row],[fd]]</f>
        <v>0</v>
      </c>
    </row>
    <row r="31" spans="2:7" ht="16.95" customHeight="1">
      <c r="B31" s="11">
        <v>12</v>
      </c>
      <c r="C31" s="31">
        <f>IF(TFlujo[[#This Row],[Period]]=0,0,IF(TFlujo[[#This Row],[Period]]&lt;=NPer,Monto*TasaPerMejor*(1-Retencion),0)+IF(TFlujo[[#This Row],[Period]]=NPer,Monto,0))</f>
        <v>0</v>
      </c>
      <c r="D31" s="31">
        <f>IF(TFlujo[[#This Row],[Period]]=0,Monto,0)</f>
        <v>0</v>
      </c>
      <c r="E31" s="31">
        <f>TFlujo[[#This Row],[Inflow]]-TFlujo[[#This Row],[Outflow]]</f>
        <v>0</v>
      </c>
      <c r="F31" s="30">
        <f>(1+TIRPer)^(-TFlujo[[#This Row],[Period]])</f>
        <v>0.23734023181845104</v>
      </c>
      <c r="G31" s="30">
        <f>TFlujo[[#This Row],[FCN]]*TFlujo[[#This Row],[fd]]</f>
        <v>0</v>
      </c>
    </row>
    <row r="32" spans="2:7" ht="16.95" customHeight="1">
      <c r="B32" s="11">
        <v>13</v>
      </c>
      <c r="C32" s="31">
        <f>IF(TFlujo[[#This Row],[Period]]=0,0,IF(TFlujo[[#This Row],[Period]]&lt;=NPer,Monto*TasaPerMejor*(1-Retencion),0)+IF(TFlujo[[#This Row],[Period]]=NPer,Monto,0))</f>
        <v>0</v>
      </c>
      <c r="D32" s="31">
        <f>IF(TFlujo[[#This Row],[Period]]=0,Monto,0)</f>
        <v>0</v>
      </c>
      <c r="E32" s="31">
        <f>TFlujo[[#This Row],[Inflow]]-TFlujo[[#This Row],[Outflow]]</f>
        <v>0</v>
      </c>
      <c r="F32" s="30">
        <f>(1+TIRPer)^(-TFlujo[[#This Row],[Period]])</f>
        <v>0.21053241669242675</v>
      </c>
      <c r="G32" s="30">
        <f>TFlujo[[#This Row],[FCN]]*TFlujo[[#This Row],[fd]]</f>
        <v>0</v>
      </c>
    </row>
    <row r="33" spans="2:7" ht="16.95" customHeight="1">
      <c r="B33" s="11">
        <v>14</v>
      </c>
      <c r="C33" s="31">
        <f>IF(TFlujo[[#This Row],[Period]]=0,0,IF(TFlujo[[#This Row],[Period]]&lt;=NPer,Monto*TasaPerMejor*(1-Retencion),0)+IF(TFlujo[[#This Row],[Period]]=NPer,Monto,0))</f>
        <v>0</v>
      </c>
      <c r="D33" s="31">
        <f>IF(TFlujo[[#This Row],[Period]]=0,Monto,0)</f>
        <v>0</v>
      </c>
      <c r="E33" s="31">
        <f>TFlujo[[#This Row],[Inflow]]-TFlujo[[#This Row],[Outflow]]</f>
        <v>0</v>
      </c>
      <c r="F33" s="30">
        <f>(1+TIRPer)^(-TFlujo[[#This Row],[Period]])</f>
        <v>0.18675257093478503</v>
      </c>
      <c r="G33" s="30">
        <f>TFlujo[[#This Row],[FCN]]*TFlujo[[#This Row],[fd]]</f>
        <v>0</v>
      </c>
    </row>
    <row r="34" spans="2:7" ht="16.95" customHeight="1">
      <c r="B34" s="11">
        <v>15</v>
      </c>
      <c r="C34" s="31">
        <f>IF(TFlujo[[#This Row],[Period]]=0,0,IF(TFlujo[[#This Row],[Period]]&lt;=NPer,Monto*TasaPerMejor*(1-Retencion),0)+IF(TFlujo[[#This Row],[Period]]=NPer,Monto,0))</f>
        <v>0</v>
      </c>
      <c r="D34" s="31">
        <f>IF(TFlujo[[#This Row],[Period]]=0,Monto,0)</f>
        <v>0</v>
      </c>
      <c r="E34" s="31">
        <f>TFlujo[[#This Row],[Inflow]]-TFlujo[[#This Row],[Outflow]]</f>
        <v>0</v>
      </c>
      <c r="F34" s="30">
        <f>(1+TIRPer)^(-TFlujo[[#This Row],[Period]])</f>
        <v>0.1656586823952346</v>
      </c>
      <c r="G34" s="30">
        <f>TFlujo[[#This Row],[FCN]]*TFlujo[[#This Row],[fd]]</f>
        <v>0</v>
      </c>
    </row>
    <row r="35" spans="2:7" ht="16.95" customHeight="1">
      <c r="B35" s="11">
        <v>16</v>
      </c>
      <c r="C35" s="31">
        <f>IF(TFlujo[[#This Row],[Period]]=0,0,IF(TFlujo[[#This Row],[Period]]&lt;=NPer,Monto*TasaPerMejor*(1-Retencion),0)+IF(TFlujo[[#This Row],[Period]]=NPer,Monto,0))</f>
        <v>0</v>
      </c>
      <c r="D35" s="31">
        <f>IF(TFlujo[[#This Row],[Period]]=0,Monto,0)</f>
        <v>0</v>
      </c>
      <c r="E35" s="31">
        <f>TFlujo[[#This Row],[Inflow]]-TFlujo[[#This Row],[Outflow]]</f>
        <v>0</v>
      </c>
      <c r="F35" s="30">
        <f>(1+TIRPer)^(-TFlujo[[#This Row],[Period]])</f>
        <v>0.14694736953585708</v>
      </c>
      <c r="G35" s="30">
        <f>TFlujo[[#This Row],[FCN]]*TFlujo[[#This Row],[fd]]</f>
        <v>0</v>
      </c>
    </row>
    <row r="36" spans="2:7" ht="16.95" customHeight="1">
      <c r="B36" s="11">
        <v>17</v>
      </c>
      <c r="C36" s="31">
        <f>IF(TFlujo[[#This Row],[Period]]=0,0,IF(TFlujo[[#This Row],[Period]]&lt;=NPer,Monto*TasaPerMejor*(1-Retencion),0)+IF(TFlujo[[#This Row],[Period]]=NPer,Monto,0))</f>
        <v>0</v>
      </c>
      <c r="D36" s="31">
        <f>IF(TFlujo[[#This Row],[Period]]=0,Monto,0)</f>
        <v>0</v>
      </c>
      <c r="E36" s="31">
        <f>TFlujo[[#This Row],[Inflow]]-TFlujo[[#This Row],[Outflow]]</f>
        <v>0</v>
      </c>
      <c r="F36" s="30">
        <f>(1+TIRPer)^(-TFlujo[[#This Row],[Period]])</f>
        <v>0.13034951806503622</v>
      </c>
      <c r="G36" s="30">
        <f>TFlujo[[#This Row],[FCN]]*TFlujo[[#This Row],[fd]]</f>
        <v>0</v>
      </c>
    </row>
    <row r="37" spans="2:7" ht="16.95" customHeight="1">
      <c r="B37" s="11">
        <v>18</v>
      </c>
      <c r="C37" s="31">
        <f>IF(TFlujo[[#This Row],[Period]]=0,0,IF(TFlujo[[#This Row],[Period]]&lt;=NPer,Monto*TasaPerMejor*(1-Retencion),0)+IF(TFlujo[[#This Row],[Period]]=NPer,Monto,0))</f>
        <v>0</v>
      </c>
      <c r="D37" s="31">
        <f>IF(TFlujo[[#This Row],[Period]]=0,Monto,0)</f>
        <v>0</v>
      </c>
      <c r="E37" s="31">
        <f>TFlujo[[#This Row],[Inflow]]-TFlujo[[#This Row],[Outflow]]</f>
        <v>0</v>
      </c>
      <c r="F37" s="30">
        <f>(1+TIRPer)^(-TFlujo[[#This Row],[Period]])</f>
        <v>0.11562641041792303</v>
      </c>
      <c r="G37" s="30">
        <f>TFlujo[[#This Row],[FCN]]*TFlujo[[#This Row],[fd]]</f>
        <v>0</v>
      </c>
    </row>
    <row r="38" spans="2:7" ht="16.95" customHeight="1">
      <c r="B38" s="11">
        <v>19</v>
      </c>
      <c r="C38" s="31">
        <f>IF(TFlujo[[#This Row],[Period]]=0,0,IF(TFlujo[[#This Row],[Period]]&lt;=NPer,Monto*TasaPerMejor*(1-Retencion),0)+IF(TFlujo[[#This Row],[Period]]=NPer,Monto,0))</f>
        <v>0</v>
      </c>
      <c r="D38" s="31">
        <f>IF(TFlujo[[#This Row],[Period]]=0,Monto,0)</f>
        <v>0</v>
      </c>
      <c r="E38" s="31">
        <f>TFlujo[[#This Row],[Inflow]]-TFlujo[[#This Row],[Outflow]]</f>
        <v>0</v>
      </c>
      <c r="F38" s="30">
        <f>(1+TIRPer)^(-TFlujo[[#This Row],[Period]])</f>
        <v>0.10256629241592939</v>
      </c>
      <c r="G38" s="30">
        <f>TFlujo[[#This Row],[FCN]]*TFlujo[[#This Row],[fd]]</f>
        <v>0</v>
      </c>
    </row>
    <row r="39" spans="2:7" ht="16.95" customHeight="1">
      <c r="B39" s="11">
        <v>20</v>
      </c>
      <c r="C39" s="31">
        <f>IF(TFlujo[[#This Row],[Period]]=0,0,IF(TFlujo[[#This Row],[Period]]&lt;=NPer,Monto*TasaPerMejor*(1-Retencion),0)+IF(TFlujo[[#This Row],[Period]]=NPer,Monto,0))</f>
        <v>0</v>
      </c>
      <c r="D39" s="31">
        <f>IF(TFlujo[[#This Row],[Period]]=0,Monto,0)</f>
        <v>0</v>
      </c>
      <c r="E39" s="31">
        <f>TFlujo[[#This Row],[Inflow]]-TFlujo[[#This Row],[Outflow]]</f>
        <v>0</v>
      </c>
      <c r="F39" s="30">
        <f>(1+TIRPer)^(-TFlujo[[#This Row],[Period]])</f>
        <v>9.0981327725445621E-2</v>
      </c>
      <c r="G39" s="30">
        <f>TFlujo[[#This Row],[FCN]]*TFlujo[[#This Row],[fd]]</f>
        <v>0</v>
      </c>
    </row>
    <row r="40" spans="2:7" ht="16.95" customHeight="1">
      <c r="B40" s="11">
        <v>21</v>
      </c>
      <c r="C40" s="31">
        <f>IF(TFlujo[[#This Row],[Period]]=0,0,IF(TFlujo[[#This Row],[Period]]&lt;=NPer,Monto*TasaPerMejor*(1-Retencion),0)+IF(TFlujo[[#This Row],[Period]]=NPer,Monto,0))</f>
        <v>0</v>
      </c>
      <c r="D40" s="31">
        <f>IF(TFlujo[[#This Row],[Period]]=0,Monto,0)</f>
        <v>0</v>
      </c>
      <c r="E40" s="31">
        <f>TFlujo[[#This Row],[Inflow]]-TFlujo[[#This Row],[Outflow]]</f>
        <v>0</v>
      </c>
      <c r="F40" s="30">
        <f>(1+TIRPer)^(-TFlujo[[#This Row],[Period]])</f>
        <v>8.0704896313473079E-2</v>
      </c>
      <c r="G40" s="30">
        <f>TFlujo[[#This Row],[FCN]]*TFlujo[[#This Row],[fd]]</f>
        <v>0</v>
      </c>
    </row>
    <row r="41" spans="2:7" ht="16.95" customHeight="1">
      <c r="B41" s="11">
        <v>22</v>
      </c>
      <c r="C41" s="31">
        <f>IF(TFlujo[[#This Row],[Period]]=0,0,IF(TFlujo[[#This Row],[Period]]&lt;=NPer,Monto*TasaPerMejor*(1-Retencion),0)+IF(TFlujo[[#This Row],[Period]]=NPer,Monto,0))</f>
        <v>0</v>
      </c>
      <c r="D41" s="31">
        <f>IF(TFlujo[[#This Row],[Period]]=0,Monto,0)</f>
        <v>0</v>
      </c>
      <c r="E41" s="31">
        <f>TFlujo[[#This Row],[Inflow]]-TFlujo[[#This Row],[Outflow]]</f>
        <v>0</v>
      </c>
      <c r="F41" s="30">
        <f>(1+TIRPer)^(-TFlujo[[#This Row],[Period]])</f>
        <v>7.1589198045378805E-2</v>
      </c>
      <c r="G41" s="30">
        <f>TFlujo[[#This Row],[FCN]]*TFlujo[[#This Row],[fd]]</f>
        <v>0</v>
      </c>
    </row>
    <row r="42" spans="2:7" ht="16.95" customHeight="1">
      <c r="B42" s="11">
        <v>23</v>
      </c>
      <c r="C42" s="31">
        <f>IF(TFlujo[[#This Row],[Period]]=0,0,IF(TFlujo[[#This Row],[Period]]&lt;=NPer,Monto*TasaPerMejor*(1-Retencion),0)+IF(TFlujo[[#This Row],[Period]]=NPer,Monto,0))</f>
        <v>0</v>
      </c>
      <c r="D42" s="31">
        <f>IF(TFlujo[[#This Row],[Period]]=0,Monto,0)</f>
        <v>0</v>
      </c>
      <c r="E42" s="31">
        <f>TFlujo[[#This Row],[Inflow]]-TFlujo[[#This Row],[Outflow]]</f>
        <v>0</v>
      </c>
      <c r="F42" s="30">
        <f>(1+TIRPer)^(-TFlujo[[#This Row],[Period]])</f>
        <v>6.350312695866614E-2</v>
      </c>
      <c r="G42" s="30">
        <f>TFlujo[[#This Row],[FCN]]*TFlujo[[#This Row],[fd]]</f>
        <v>0</v>
      </c>
    </row>
    <row r="43" spans="2:7" ht="16.95" customHeight="1">
      <c r="B43" s="11">
        <v>24</v>
      </c>
      <c r="C43" s="31">
        <f>IF(TFlujo[[#This Row],[Period]]=0,0,IF(TFlujo[[#This Row],[Period]]&lt;=NPer,Monto*TasaPerMejor*(1-Retencion),0)+IF(TFlujo[[#This Row],[Period]]=NPer,Monto,0))</f>
        <v>0</v>
      </c>
      <c r="D43" s="31">
        <f>IF(TFlujo[[#This Row],[Period]]=0,Monto,0)</f>
        <v>0</v>
      </c>
      <c r="E43" s="31">
        <f>TFlujo[[#This Row],[Inflow]]-TFlujo[[#This Row],[Outflow]]</f>
        <v>0</v>
      </c>
      <c r="F43" s="30">
        <f>(1+TIRPer)^(-TFlujo[[#This Row],[Period]])</f>
        <v>5.6330385639636084E-2</v>
      </c>
      <c r="G43" s="30">
        <f>TFlujo[[#This Row],[FCN]]*TFlujo[[#This Row],[fd]]</f>
        <v>0</v>
      </c>
    </row>
    <row r="44" spans="2:7" ht="16.95" customHeight="1">
      <c r="B44" s="11">
        <v>25</v>
      </c>
      <c r="C44" s="31">
        <f>IF(TFlujo[[#This Row],[Period]]=0,0,IF(TFlujo[[#This Row],[Period]]&lt;=NPer,Monto*TasaPerMejor*(1-Retencion),0)+IF(TFlujo[[#This Row],[Period]]=NPer,Monto,0))</f>
        <v>0</v>
      </c>
      <c r="D44" s="31">
        <f>IF(TFlujo[[#This Row],[Period]]=0,Monto,0)</f>
        <v>0</v>
      </c>
      <c r="E44" s="31">
        <f>TFlujo[[#This Row],[Inflow]]-TFlujo[[#This Row],[Outflow]]</f>
        <v>0</v>
      </c>
      <c r="F44" s="30">
        <f>(1+TIRPer)^(-TFlujo[[#This Row],[Period]])</f>
        <v>4.99678125830793E-2</v>
      </c>
      <c r="G44" s="30">
        <f>TFlujo[[#This Row],[FCN]]*TFlujo[[#This Row],[fd]]</f>
        <v>0</v>
      </c>
    </row>
    <row r="45" spans="2:7" ht="16.95" customHeight="1">
      <c r="B45" s="11">
        <v>26</v>
      </c>
      <c r="C45" s="31">
        <f>IF(TFlujo[[#This Row],[Period]]=0,0,IF(TFlujo[[#This Row],[Period]]&lt;=NPer,Monto*TasaPerMejor*(1-Retencion),0)+IF(TFlujo[[#This Row],[Period]]=NPer,Monto,0))</f>
        <v>0</v>
      </c>
      <c r="D45" s="31">
        <f>IF(TFlujo[[#This Row],[Period]]=0,Monto,0)</f>
        <v>0</v>
      </c>
      <c r="E45" s="31">
        <f>TFlujo[[#This Row],[Inflow]]-TFlujo[[#This Row],[Outflow]]</f>
        <v>0</v>
      </c>
      <c r="F45" s="30">
        <f>(1+TIRPer)^(-TFlujo[[#This Row],[Period]])</f>
        <v>4.4323898478353607E-2</v>
      </c>
      <c r="G45" s="30">
        <f>TFlujo[[#This Row],[FCN]]*TFlujo[[#This Row],[fd]]</f>
        <v>0</v>
      </c>
    </row>
    <row r="46" spans="2:7" ht="16.95" customHeight="1">
      <c r="B46" s="11">
        <v>27</v>
      </c>
      <c r="C46" s="31">
        <f>IF(TFlujo[[#This Row],[Period]]=0,0,IF(TFlujo[[#This Row],[Period]]&lt;=NPer,Monto*TasaPerMejor*(1-Retencion),0)+IF(TFlujo[[#This Row],[Period]]=NPer,Monto,0))</f>
        <v>0</v>
      </c>
      <c r="D46" s="31">
        <f>IF(TFlujo[[#This Row],[Period]]=0,Monto,0)</f>
        <v>0</v>
      </c>
      <c r="E46" s="31">
        <f>TFlujo[[#This Row],[Inflow]]-TFlujo[[#This Row],[Outflow]]</f>
        <v>0</v>
      </c>
      <c r="F46" s="30">
        <f>(1+TIRPer)^(-TFlujo[[#This Row],[Period]])</f>
        <v>3.9317470082424144E-2</v>
      </c>
      <c r="G46" s="30">
        <f>TFlujo[[#This Row],[FCN]]*TFlujo[[#This Row],[fd]]</f>
        <v>0</v>
      </c>
    </row>
    <row r="47" spans="2:7" ht="16.95" customHeight="1">
      <c r="B47" s="11">
        <v>28</v>
      </c>
      <c r="C47" s="31">
        <f>IF(TFlujo[[#This Row],[Period]]=0,0,IF(TFlujo[[#This Row],[Period]]&lt;=NPer,Monto*TasaPerMejor*(1-Retencion),0)+IF(TFlujo[[#This Row],[Period]]=NPer,Monto,0))</f>
        <v>0</v>
      </c>
      <c r="D47" s="31">
        <f>IF(TFlujo[[#This Row],[Period]]=0,Monto,0)</f>
        <v>0</v>
      </c>
      <c r="E47" s="31">
        <f>TFlujo[[#This Row],[Inflow]]-TFlujo[[#This Row],[Outflow]]</f>
        <v>0</v>
      </c>
      <c r="F47" s="30">
        <f>(1+TIRPer)^(-TFlujo[[#This Row],[Period]])</f>
        <v>3.4876522750751905E-2</v>
      </c>
      <c r="G47" s="30">
        <f>TFlujo[[#This Row],[FCN]]*TFlujo[[#This Row],[fd]]</f>
        <v>0</v>
      </c>
    </row>
    <row r="48" spans="2:7" ht="16.95" customHeight="1">
      <c r="B48" s="11">
        <v>29</v>
      </c>
      <c r="C48" s="31">
        <f>IF(TFlujo[[#This Row],[Period]]=0,0,IF(TFlujo[[#This Row],[Period]]&lt;=NPer,Monto*TasaPerMejor*(1-Retencion),0)+IF(TFlujo[[#This Row],[Period]]=NPer,Monto,0))</f>
        <v>0</v>
      </c>
      <c r="D48" s="31">
        <f>IF(TFlujo[[#This Row],[Period]]=0,Monto,0)</f>
        <v>0</v>
      </c>
      <c r="E48" s="31">
        <f>TFlujo[[#This Row],[Inflow]]-TFlujo[[#This Row],[Outflow]]</f>
        <v>0</v>
      </c>
      <c r="F48" s="30">
        <f>(1+TIRPer)^(-TFlujo[[#This Row],[Period]])</f>
        <v>3.0937184834979075E-2</v>
      </c>
      <c r="G48" s="30">
        <f>TFlujo[[#This Row],[FCN]]*TFlujo[[#This Row],[fd]]</f>
        <v>0</v>
      </c>
    </row>
    <row r="49" spans="2:7" ht="16.95" customHeight="1">
      <c r="B49" s="11">
        <v>30</v>
      </c>
      <c r="C49" s="31">
        <f>IF(TFlujo[[#This Row],[Period]]=0,0,IF(TFlujo[[#This Row],[Period]]&lt;=NPer,Monto*TasaPerMejor*(1-Retencion),0)+IF(TFlujo[[#This Row],[Period]]=NPer,Monto,0))</f>
        <v>0</v>
      </c>
      <c r="D49" s="31">
        <f>IF(TFlujo[[#This Row],[Period]]=0,Monto,0)</f>
        <v>0</v>
      </c>
      <c r="E49" s="31">
        <f>TFlujo[[#This Row],[Inflow]]-TFlujo[[#This Row],[Outflow]]</f>
        <v>0</v>
      </c>
      <c r="F49" s="30">
        <f>(1+TIRPer)^(-TFlujo[[#This Row],[Period]])</f>
        <v>2.7442799052925217E-2</v>
      </c>
      <c r="G49" s="30">
        <f>TFlujo[[#This Row],[FCN]]*TFlujo[[#This Row],[fd]]</f>
        <v>0</v>
      </c>
    </row>
    <row r="50" spans="2:7" ht="16.95" customHeight="1">
      <c r="B50" s="11">
        <v>31</v>
      </c>
      <c r="C50" s="31">
        <f>IF(TFlujo[[#This Row],[Period]]=0,0,IF(TFlujo[[#This Row],[Period]]&lt;=NPer,Monto*TasaPerMejor*(1-Retencion),0)+IF(TFlujo[[#This Row],[Period]]=NPer,Monto,0))</f>
        <v>0</v>
      </c>
      <c r="D50" s="31">
        <f>IF(TFlujo[[#This Row],[Period]]=0,Monto,0)</f>
        <v>0</v>
      </c>
      <c r="E50" s="31">
        <f>TFlujo[[#This Row],[Inflow]]-TFlujo[[#This Row],[Outflow]]</f>
        <v>0</v>
      </c>
      <c r="F50" s="30">
        <f>(1+TIRPer)^(-TFlujo[[#This Row],[Period]])</f>
        <v>2.434310761875572E-2</v>
      </c>
      <c r="G50" s="30">
        <f>TFlujo[[#This Row],[FCN]]*TFlujo[[#This Row],[fd]]</f>
        <v>0</v>
      </c>
    </row>
    <row r="51" spans="2:7" ht="16.95" customHeight="1">
      <c r="B51" s="11">
        <v>32</v>
      </c>
      <c r="C51" s="31">
        <f>IF(TFlujo[[#This Row],[Period]]=0,0,IF(TFlujo[[#This Row],[Period]]&lt;=NPer,Monto*TasaPerMejor*(1-Retencion),0)+IF(TFlujo[[#This Row],[Period]]=NPer,Monto,0))</f>
        <v>0</v>
      </c>
      <c r="D51" s="31">
        <f>IF(TFlujo[[#This Row],[Period]]=0,Monto,0)</f>
        <v>0</v>
      </c>
      <c r="E51" s="31">
        <f>TFlujo[[#This Row],[Inflow]]-TFlujo[[#This Row],[Outflow]]</f>
        <v>0</v>
      </c>
      <c r="F51" s="30">
        <f>(1+TIRPer)^(-TFlujo[[#This Row],[Period]])</f>
        <v>2.1593529413507735E-2</v>
      </c>
      <c r="G51" s="30">
        <f>TFlujo[[#This Row],[FCN]]*TFlujo[[#This Row],[fd]]</f>
        <v>0</v>
      </c>
    </row>
    <row r="52" spans="2:7" ht="16.95" customHeight="1">
      <c r="B52" s="11">
        <v>33</v>
      </c>
      <c r="C52" s="31">
        <f>IF(TFlujo[[#This Row],[Period]]=0,0,IF(TFlujo[[#This Row],[Period]]&lt;=NPer,Monto*TasaPerMejor*(1-Retencion),0)+IF(TFlujo[[#This Row],[Period]]=NPer,Monto,0))</f>
        <v>0</v>
      </c>
      <c r="D52" s="31">
        <f>IF(TFlujo[[#This Row],[Period]]=0,Monto,0)</f>
        <v>0</v>
      </c>
      <c r="E52" s="31">
        <f>TFlujo[[#This Row],[Inflow]]-TFlujo[[#This Row],[Outflow]]</f>
        <v>0</v>
      </c>
      <c r="F52" s="30">
        <f>(1+TIRPer)^(-TFlujo[[#This Row],[Period]])</f>
        <v>1.9154518799923758E-2</v>
      </c>
      <c r="G52" s="30">
        <f>TFlujo[[#This Row],[FCN]]*TFlujo[[#This Row],[fd]]</f>
        <v>0</v>
      </c>
    </row>
    <row r="53" spans="2:7" ht="16.95" customHeight="1">
      <c r="B53" s="11">
        <v>34</v>
      </c>
      <c r="C53" s="31">
        <f>IF(TFlujo[[#This Row],[Period]]=0,0,IF(TFlujo[[#This Row],[Period]]&lt;=NPer,Monto*TasaPerMejor*(1-Retencion),0)+IF(TFlujo[[#This Row],[Period]]=NPer,Monto,0))</f>
        <v>0</v>
      </c>
      <c r="D53" s="31">
        <f>IF(TFlujo[[#This Row],[Period]]=0,Monto,0)</f>
        <v>0</v>
      </c>
      <c r="E53" s="31">
        <f>TFlujo[[#This Row],[Inflow]]-TFlujo[[#This Row],[Outflow]]</f>
        <v>0</v>
      </c>
      <c r="F53" s="30">
        <f>(1+TIRPer)^(-TFlujo[[#This Row],[Period]])</f>
        <v>1.6990996859787208E-2</v>
      </c>
      <c r="G53" s="30">
        <f>TFlujo[[#This Row],[FCN]]*TFlujo[[#This Row],[fd]]</f>
        <v>0</v>
      </c>
    </row>
    <row r="54" spans="2:7" ht="16.95" customHeight="1">
      <c r="B54" s="11">
        <v>35</v>
      </c>
      <c r="C54" s="31">
        <f>IF(TFlujo[[#This Row],[Period]]=0,0,IF(TFlujo[[#This Row],[Period]]&lt;=NPer,Monto*TasaPerMejor*(1-Retencion),0)+IF(TFlujo[[#This Row],[Period]]=NPer,Monto,0))</f>
        <v>0</v>
      </c>
      <c r="D54" s="31">
        <f>IF(TFlujo[[#This Row],[Period]]=0,Monto,0)</f>
        <v>0</v>
      </c>
      <c r="E54" s="31">
        <f>TFlujo[[#This Row],[Inflow]]-TFlujo[[#This Row],[Outflow]]</f>
        <v>0</v>
      </c>
      <c r="F54" s="30">
        <f>(1+TIRPer)^(-TFlujo[[#This Row],[Period]])</f>
        <v>1.5071846873566349E-2</v>
      </c>
      <c r="G54" s="30">
        <f>TFlujo[[#This Row],[FCN]]*TFlujo[[#This Row],[fd]]</f>
        <v>0</v>
      </c>
    </row>
    <row r="55" spans="2:7" ht="16.95" customHeight="1">
      <c r="B55" s="11">
        <v>36</v>
      </c>
      <c r="C55" s="31">
        <f>IF(TFlujo[[#This Row],[Period]]=0,0,IF(TFlujo[[#This Row],[Period]]&lt;=NPer,Monto*TasaPerMejor*(1-Retencion),0)+IF(TFlujo[[#This Row],[Period]]=NPer,Monto,0))</f>
        <v>0</v>
      </c>
      <c r="D55" s="31">
        <f>IF(TFlujo[[#This Row],[Period]]=0,Monto,0)</f>
        <v>0</v>
      </c>
      <c r="E55" s="31">
        <f>TFlujo[[#This Row],[Inflow]]-TFlujo[[#This Row],[Outflow]]</f>
        <v>0</v>
      </c>
      <c r="F55" s="30">
        <f>(1+TIRPer)^(-TFlujo[[#This Row],[Period]])</f>
        <v>1.3369466786133979E-2</v>
      </c>
      <c r="G55" s="30">
        <f>TFlujo[[#This Row],[FCN]]*TFlujo[[#This Row],[fd]]</f>
        <v>0</v>
      </c>
    </row>
    <row r="56" spans="2:7" ht="16.95" customHeight="1">
      <c r="B56" s="11">
        <v>37</v>
      </c>
      <c r="C56" s="31">
        <f>IF(TFlujo[[#This Row],[Period]]=0,0,IF(TFlujo[[#This Row],[Period]]&lt;=NPer,Monto*TasaPerMejor*(1-Retencion),0)+IF(TFlujo[[#This Row],[Period]]=NPer,Monto,0))</f>
        <v>0</v>
      </c>
      <c r="D56" s="31">
        <f>IF(TFlujo[[#This Row],[Period]]=0,Monto,0)</f>
        <v>0</v>
      </c>
      <c r="E56" s="31">
        <f>TFlujo[[#This Row],[Inflow]]-TFlujo[[#This Row],[Outflow]]</f>
        <v>0</v>
      </c>
      <c r="F56" s="30">
        <f>(1+TIRPer)^(-TFlujo[[#This Row],[Period]])</f>
        <v>1.1859372221928958E-2</v>
      </c>
      <c r="G56" s="30">
        <f>TFlujo[[#This Row],[FCN]]*TFlujo[[#This Row],[fd]]</f>
        <v>0</v>
      </c>
    </row>
    <row r="57" spans="2:7" ht="16.95" customHeight="1">
      <c r="B57" s="11">
        <v>38</v>
      </c>
      <c r="C57" s="31">
        <f>IF(TFlujo[[#This Row],[Period]]=0,0,IF(TFlujo[[#This Row],[Period]]&lt;=NPer,Monto*TasaPerMejor*(1-Retencion),0)+IF(TFlujo[[#This Row],[Period]]=NPer,Monto,0))</f>
        <v>0</v>
      </c>
      <c r="D57" s="31">
        <f>IF(TFlujo[[#This Row],[Period]]=0,Monto,0)</f>
        <v>0</v>
      </c>
      <c r="E57" s="31">
        <f>TFlujo[[#This Row],[Inflow]]-TFlujo[[#This Row],[Outflow]]</f>
        <v>0</v>
      </c>
      <c r="F57" s="30">
        <f>(1+TIRPer)^(-TFlujo[[#This Row],[Period]])</f>
        <v>1.0519844339949937E-2</v>
      </c>
      <c r="G57" s="30">
        <f>TFlujo[[#This Row],[FCN]]*TFlujo[[#This Row],[fd]]</f>
        <v>0</v>
      </c>
    </row>
    <row r="58" spans="2:7" ht="16.95" customHeight="1">
      <c r="B58" s="11">
        <v>39</v>
      </c>
      <c r="C58" s="31">
        <f>IF(TFlujo[[#This Row],[Period]]=0,0,IF(TFlujo[[#This Row],[Period]]&lt;=NPer,Monto*TasaPerMejor*(1-Retencion),0)+IF(TFlujo[[#This Row],[Period]]=NPer,Monto,0))</f>
        <v>0</v>
      </c>
      <c r="D58" s="31">
        <f>IF(TFlujo[[#This Row],[Period]]=0,Monto,0)</f>
        <v>0</v>
      </c>
      <c r="E58" s="31">
        <f>TFlujo[[#This Row],[Inflow]]-TFlujo[[#This Row],[Outflow]]</f>
        <v>0</v>
      </c>
      <c r="F58" s="30">
        <f>(1+TIRPer)^(-TFlujo[[#This Row],[Period]])</f>
        <v>9.33161746387756E-3</v>
      </c>
      <c r="G58" s="30">
        <f>TFlujo[[#This Row],[FCN]]*TFlujo[[#This Row],[fd]]</f>
        <v>0</v>
      </c>
    </row>
    <row r="59" spans="2:7" ht="16.95" customHeight="1">
      <c r="B59" s="11">
        <v>40</v>
      </c>
      <c r="C59" s="31">
        <f>IF(TFlujo[[#This Row],[Period]]=0,0,IF(TFlujo[[#This Row],[Period]]&lt;=NPer,Monto*TasaPerMejor*(1-Retencion),0)+IF(TFlujo[[#This Row],[Period]]=NPer,Monto,0))</f>
        <v>0</v>
      </c>
      <c r="D59" s="31">
        <f>IF(TFlujo[[#This Row],[Period]]=0,Monto,0)</f>
        <v>0</v>
      </c>
      <c r="E59" s="31">
        <f>TFlujo[[#This Row],[Inflow]]-TFlujo[[#This Row],[Outflow]]</f>
        <v>0</v>
      </c>
      <c r="F59" s="30">
        <f>(1+TIRPer)^(-TFlujo[[#This Row],[Period]])</f>
        <v>8.2776019946849411E-3</v>
      </c>
      <c r="G59" s="30">
        <f>TFlujo[[#This Row],[FCN]]*TFlujo[[#This Row],[fd]]</f>
        <v>0</v>
      </c>
    </row>
    <row r="60" spans="2:7" ht="16.95" customHeight="1">
      <c r="B60" s="11">
        <v>41</v>
      </c>
      <c r="C60" s="31">
        <f>IF(TFlujo[[#This Row],[Period]]=0,0,IF(TFlujo[[#This Row],[Period]]&lt;=NPer,Monto*TasaPerMejor*(1-Retencion),0)+IF(TFlujo[[#This Row],[Period]]=NPer,Monto,0))</f>
        <v>0</v>
      </c>
      <c r="D60" s="31">
        <f>IF(TFlujo[[#This Row],[Period]]=0,Monto,0)</f>
        <v>0</v>
      </c>
      <c r="E60" s="31">
        <f>TFlujo[[#This Row],[Inflow]]-TFlujo[[#This Row],[Outflow]]</f>
        <v>0</v>
      </c>
      <c r="F60" s="30">
        <f>(1+TIRPer)^(-TFlujo[[#This Row],[Period]])</f>
        <v>7.3426386205442031E-3</v>
      </c>
      <c r="G60" s="30">
        <f>TFlujo[[#This Row],[FCN]]*TFlujo[[#This Row],[fd]]</f>
        <v>0</v>
      </c>
    </row>
    <row r="61" spans="2:7" ht="16.95" customHeight="1">
      <c r="B61" s="11">
        <v>42</v>
      </c>
      <c r="C61" s="31">
        <f>IF(TFlujo[[#This Row],[Period]]=0,0,IF(TFlujo[[#This Row],[Period]]&lt;=NPer,Monto*TasaPerMejor*(1-Retencion),0)+IF(TFlujo[[#This Row],[Period]]=NPer,Monto,0))</f>
        <v>0</v>
      </c>
      <c r="D61" s="31">
        <f>IF(TFlujo[[#This Row],[Period]]=0,Monto,0)</f>
        <v>0</v>
      </c>
      <c r="E61" s="31">
        <f>TFlujo[[#This Row],[Inflow]]-TFlujo[[#This Row],[Outflow]]</f>
        <v>0</v>
      </c>
      <c r="F61" s="30">
        <f>(1+TIRPer)^(-TFlujo[[#This Row],[Period]])</f>
        <v>6.5132802889684401E-3</v>
      </c>
      <c r="G61" s="30">
        <f>TFlujo[[#This Row],[FCN]]*TFlujo[[#This Row],[fd]]</f>
        <v>0</v>
      </c>
    </row>
    <row r="62" spans="2:7" ht="16.95" customHeight="1">
      <c r="B62" s="11">
        <v>43</v>
      </c>
      <c r="C62" s="31">
        <f>IF(TFlujo[[#This Row],[Period]]=0,0,IF(TFlujo[[#This Row],[Period]]&lt;=NPer,Monto*TasaPerMejor*(1-Retencion),0)+IF(TFlujo[[#This Row],[Period]]=NPer,Monto,0))</f>
        <v>0</v>
      </c>
      <c r="D62" s="31">
        <f>IF(TFlujo[[#This Row],[Period]]=0,Monto,0)</f>
        <v>0</v>
      </c>
      <c r="E62" s="31">
        <f>TFlujo[[#This Row],[Inflow]]-TFlujo[[#This Row],[Outflow]]</f>
        <v>0</v>
      </c>
      <c r="F62" s="30">
        <f>(1+TIRPer)^(-TFlujo[[#This Row],[Period]])</f>
        <v>5.7775988054169858E-3</v>
      </c>
      <c r="G62" s="30">
        <f>TFlujo[[#This Row],[FCN]]*TFlujo[[#This Row],[fd]]</f>
        <v>0</v>
      </c>
    </row>
    <row r="63" spans="2:7" ht="16.95" customHeight="1">
      <c r="B63" s="11">
        <v>44</v>
      </c>
      <c r="C63" s="31">
        <f>IF(TFlujo[[#This Row],[Period]]=0,0,IF(TFlujo[[#This Row],[Period]]&lt;=NPer,Monto*TasaPerMejor*(1-Retencion),0)+IF(TFlujo[[#This Row],[Period]]=NPer,Monto,0))</f>
        <v>0</v>
      </c>
      <c r="D63" s="31">
        <f>IF(TFlujo[[#This Row],[Period]]=0,Monto,0)</f>
        <v>0</v>
      </c>
      <c r="E63" s="31">
        <f>TFlujo[[#This Row],[Inflow]]-TFlujo[[#This Row],[Outflow]]</f>
        <v>0</v>
      </c>
      <c r="F63" s="30">
        <f>(1+TIRPer)^(-TFlujo[[#This Row],[Period]])</f>
        <v>5.1250132767804669E-3</v>
      </c>
      <c r="G63" s="30">
        <f>TFlujo[[#This Row],[FCN]]*TFlujo[[#This Row],[fd]]</f>
        <v>0</v>
      </c>
    </row>
    <row r="64" spans="2:7" ht="16.95" customHeight="1">
      <c r="B64" s="11">
        <v>45</v>
      </c>
      <c r="C64" s="31">
        <f>IF(TFlujo[[#This Row],[Period]]=0,0,IF(TFlujo[[#This Row],[Period]]&lt;=NPer,Monto*TasaPerMejor*(1-Retencion),0)+IF(TFlujo[[#This Row],[Period]]=NPer,Monto,0))</f>
        <v>0</v>
      </c>
      <c r="D64" s="31">
        <f>IF(TFlujo[[#This Row],[Period]]=0,Monto,0)</f>
        <v>0</v>
      </c>
      <c r="E64" s="31">
        <f>TFlujo[[#This Row],[Inflow]]-TFlujo[[#This Row],[Outflow]]</f>
        <v>0</v>
      </c>
      <c r="F64" s="30">
        <f>(1+TIRPer)^(-TFlujo[[#This Row],[Period]])</f>
        <v>4.5461379323447834E-3</v>
      </c>
      <c r="G64" s="30">
        <f>TFlujo[[#This Row],[FCN]]*TFlujo[[#This Row],[fd]]</f>
        <v>0</v>
      </c>
    </row>
    <row r="65" spans="2:7" ht="16.95" customHeight="1">
      <c r="B65" s="11">
        <v>46</v>
      </c>
      <c r="C65" s="31">
        <f>IF(TFlujo[[#This Row],[Period]]=0,0,IF(TFlujo[[#This Row],[Period]]&lt;=NPer,Monto*TasaPerMejor*(1-Retencion),0)+IF(TFlujo[[#This Row],[Period]]=NPer,Monto,0))</f>
        <v>0</v>
      </c>
      <c r="D65" s="31">
        <f>IF(TFlujo[[#This Row],[Period]]=0,Monto,0)</f>
        <v>0</v>
      </c>
      <c r="E65" s="31">
        <f>TFlujo[[#This Row],[Inflow]]-TFlujo[[#This Row],[Outflow]]</f>
        <v>0</v>
      </c>
      <c r="F65" s="30">
        <f>(1+TIRPer)^(-TFlujo[[#This Row],[Period]])</f>
        <v>4.0326471335284707E-3</v>
      </c>
      <c r="G65" s="30">
        <f>TFlujo[[#This Row],[FCN]]*TFlujo[[#This Row],[fd]]</f>
        <v>0</v>
      </c>
    </row>
    <row r="66" spans="2:7" ht="16.95" customHeight="1">
      <c r="B66" s="11">
        <v>47</v>
      </c>
      <c r="C66" s="31">
        <f>IF(TFlujo[[#This Row],[Period]]=0,0,IF(TFlujo[[#This Row],[Period]]&lt;=NPer,Monto*TasaPerMejor*(1-Retencion),0)+IF(TFlujo[[#This Row],[Period]]=NPer,Monto,0))</f>
        <v>0</v>
      </c>
      <c r="D66" s="31">
        <f>IF(TFlujo[[#This Row],[Period]]=0,Monto,0)</f>
        <v>0</v>
      </c>
      <c r="E66" s="31">
        <f>TFlujo[[#This Row],[Inflow]]-TFlujo[[#This Row],[Outflow]]</f>
        <v>0</v>
      </c>
      <c r="F66" s="30">
        <f>(1+TIRPer)^(-TFlujo[[#This Row],[Period]])</f>
        <v>3.5771556309044349E-3</v>
      </c>
      <c r="G66" s="30">
        <f>TFlujo[[#This Row],[FCN]]*TFlujo[[#This Row],[fd]]</f>
        <v>0</v>
      </c>
    </row>
    <row r="67" spans="2:7" ht="16.95" customHeight="1">
      <c r="B67" s="11">
        <v>48</v>
      </c>
      <c r="C67" s="31">
        <f>IF(TFlujo[[#This Row],[Period]]=0,0,IF(TFlujo[[#This Row],[Period]]&lt;=NPer,Monto*TasaPerMejor*(1-Retencion),0)+IF(TFlujo[[#This Row],[Period]]=NPer,Monto,0))</f>
        <v>0</v>
      </c>
      <c r="D67" s="31">
        <f>IF(TFlujo[[#This Row],[Period]]=0,Monto,0)</f>
        <v>0</v>
      </c>
      <c r="E67" s="31">
        <f>TFlujo[[#This Row],[Inflow]]-TFlujo[[#This Row],[Outflow]]</f>
        <v>0</v>
      </c>
      <c r="F67" s="30">
        <f>(1+TIRPer)^(-TFlujo[[#This Row],[Period]])</f>
        <v>3.1731123463101204E-3</v>
      </c>
      <c r="G67" s="30">
        <f>TFlujo[[#This Row],[FCN]]*TFlujo[[#This Row],[fd]]</f>
        <v>0</v>
      </c>
    </row>
    <row r="68" spans="2:7" ht="16.95" customHeight="1">
      <c r="B68" s="11">
        <v>49</v>
      </c>
      <c r="C68" s="31">
        <f>IF(TFlujo[[#This Row],[Period]]=0,0,IF(TFlujo[[#This Row],[Period]]&lt;=NPer,Monto*TasaPerMejor*(1-Retencion),0)+IF(TFlujo[[#This Row],[Period]]=NPer,Monto,0))</f>
        <v>0</v>
      </c>
      <c r="D68" s="31">
        <f>IF(TFlujo[[#This Row],[Period]]=0,Monto,0)</f>
        <v>0</v>
      </c>
      <c r="E68" s="31">
        <f>TFlujo[[#This Row],[Inflow]]-TFlujo[[#This Row],[Outflow]]</f>
        <v>0</v>
      </c>
      <c r="F68" s="30">
        <f>(1+TIRPer)^(-TFlujo[[#This Row],[Period]])</f>
        <v>2.8147061523739179E-3</v>
      </c>
      <c r="G68" s="30">
        <f>TFlujo[[#This Row],[FCN]]*TFlujo[[#This Row],[fd]]</f>
        <v>0</v>
      </c>
    </row>
    <row r="69" spans="2:7" ht="16.95" customHeight="1">
      <c r="B69" s="11">
        <v>50</v>
      </c>
      <c r="C69" s="31">
        <f>IF(TFlujo[[#This Row],[Period]]=0,0,IF(TFlujo[[#This Row],[Period]]&lt;=NPer,Monto*TasaPerMejor*(1-Retencion),0)+IF(TFlujo[[#This Row],[Period]]=NPer,Monto,0))</f>
        <v>0</v>
      </c>
      <c r="D69" s="31">
        <f>IF(TFlujo[[#This Row],[Period]]=0,Monto,0)</f>
        <v>0</v>
      </c>
      <c r="E69" s="31">
        <f>TFlujo[[#This Row],[Inflow]]-TFlujo[[#This Row],[Outflow]]</f>
        <v>0</v>
      </c>
      <c r="F69" s="30">
        <f>(1+TIRPer)^(-TFlujo[[#This Row],[Period]])</f>
        <v>2.4967822943377381E-3</v>
      </c>
      <c r="G69" s="30">
        <f>TFlujo[[#This Row],[FCN]]*TFlujo[[#This Row],[fd]]</f>
        <v>0</v>
      </c>
    </row>
    <row r="70" spans="2:7" ht="16.95" customHeight="1">
      <c r="B70" s="11">
        <v>51</v>
      </c>
      <c r="C70" s="31">
        <f>IF(TFlujo[[#This Row],[Period]]=0,0,IF(TFlujo[[#This Row],[Period]]&lt;=NPer,Monto*TasaPerMejor*(1-Retencion),0)+IF(TFlujo[[#This Row],[Period]]=NPer,Monto,0))</f>
        <v>0</v>
      </c>
      <c r="D70" s="31">
        <f>IF(TFlujo[[#This Row],[Period]]=0,Monto,0)</f>
        <v>0</v>
      </c>
      <c r="E70" s="31">
        <f>TFlujo[[#This Row],[Inflow]]-TFlujo[[#This Row],[Outflow]]</f>
        <v>0</v>
      </c>
      <c r="F70" s="30">
        <f>(1+TIRPer)^(-TFlujo[[#This Row],[Period]])</f>
        <v>2.2147682521178069E-3</v>
      </c>
      <c r="G70" s="30">
        <f>TFlujo[[#This Row],[FCN]]*TFlujo[[#This Row],[fd]]</f>
        <v>0</v>
      </c>
    </row>
    <row r="71" spans="2:7" ht="16.95" customHeight="1">
      <c r="B71" s="11">
        <v>52</v>
      </c>
      <c r="C71" s="31">
        <f>IF(TFlujo[[#This Row],[Period]]=0,0,IF(TFlujo[[#This Row],[Period]]&lt;=NPer,Monto*TasaPerMejor*(1-Retencion),0)+IF(TFlujo[[#This Row],[Period]]=NPer,Monto,0))</f>
        <v>0</v>
      </c>
      <c r="D71" s="31">
        <f>IF(TFlujo[[#This Row],[Period]]=0,Monto,0)</f>
        <v>0</v>
      </c>
      <c r="E71" s="31">
        <f>TFlujo[[#This Row],[Inflow]]-TFlujo[[#This Row],[Outflow]]</f>
        <v>0</v>
      </c>
      <c r="F71" s="30">
        <f>(1+TIRPer)^(-TFlujo[[#This Row],[Period]])</f>
        <v>1.964607976319397E-3</v>
      </c>
      <c r="G71" s="30">
        <f>TFlujo[[#This Row],[FCN]]*TFlujo[[#This Row],[fd]]</f>
        <v>0</v>
      </c>
    </row>
    <row r="72" spans="2:7" ht="16.95" customHeight="1">
      <c r="B72" s="11">
        <v>53</v>
      </c>
      <c r="C72" s="31">
        <f>IF(TFlujo[[#This Row],[Period]]=0,0,IF(TFlujo[[#This Row],[Period]]&lt;=NPer,Monto*TasaPerMejor*(1-Retencion),0)+IF(TFlujo[[#This Row],[Period]]=NPer,Monto,0))</f>
        <v>0</v>
      </c>
      <c r="D72" s="31">
        <f>IF(TFlujo[[#This Row],[Period]]=0,Monto,0)</f>
        <v>0</v>
      </c>
      <c r="E72" s="31">
        <f>TFlujo[[#This Row],[Inflow]]-TFlujo[[#This Row],[Outflow]]</f>
        <v>0</v>
      </c>
      <c r="F72" s="30">
        <f>(1+TIRPer)^(-TFlujo[[#This Row],[Period]])</f>
        <v>1.7427035523590729E-3</v>
      </c>
      <c r="G72" s="30">
        <f>TFlujo[[#This Row],[FCN]]*TFlujo[[#This Row],[fd]]</f>
        <v>0</v>
      </c>
    </row>
    <row r="73" spans="2:7" ht="16.95" customHeight="1">
      <c r="B73" s="11">
        <v>54</v>
      </c>
      <c r="C73" s="31">
        <f>IF(TFlujo[[#This Row],[Period]]=0,0,IF(TFlujo[[#This Row],[Period]]&lt;=NPer,Monto*TasaPerMejor*(1-Retencion),0)+IF(TFlujo[[#This Row],[Period]]=NPer,Monto,0))</f>
        <v>0</v>
      </c>
      <c r="D73" s="31">
        <f>IF(TFlujo[[#This Row],[Period]]=0,Monto,0)</f>
        <v>0</v>
      </c>
      <c r="E73" s="31">
        <f>TFlujo[[#This Row],[Inflow]]-TFlujo[[#This Row],[Outflow]]</f>
        <v>0</v>
      </c>
      <c r="F73" s="30">
        <f>(1+TIRPer)^(-TFlujo[[#This Row],[Period]])</f>
        <v>1.5458634536823176E-3</v>
      </c>
      <c r="G73" s="30">
        <f>TFlujo[[#This Row],[FCN]]*TFlujo[[#This Row],[fd]]</f>
        <v>0</v>
      </c>
    </row>
    <row r="74" spans="2:7" ht="16.95" customHeight="1">
      <c r="B74" s="11">
        <v>55</v>
      </c>
      <c r="C74" s="31">
        <f>IF(TFlujo[[#This Row],[Period]]=0,0,IF(TFlujo[[#This Row],[Period]]&lt;=NPer,Monto*TasaPerMejor*(1-Retencion),0)+IF(TFlujo[[#This Row],[Period]]=NPer,Monto,0))</f>
        <v>0</v>
      </c>
      <c r="D74" s="31">
        <f>IF(TFlujo[[#This Row],[Period]]=0,Monto,0)</f>
        <v>0</v>
      </c>
      <c r="E74" s="31">
        <f>TFlujo[[#This Row],[Inflow]]-TFlujo[[#This Row],[Outflow]]</f>
        <v>0</v>
      </c>
      <c r="F74" s="30">
        <f>(1+TIRPer)^(-TFlujo[[#This Row],[Period]])</f>
        <v>1.3712566398316733E-3</v>
      </c>
      <c r="G74" s="30">
        <f>TFlujo[[#This Row],[FCN]]*TFlujo[[#This Row],[fd]]</f>
        <v>0</v>
      </c>
    </row>
    <row r="75" spans="2:7" ht="16.95" customHeight="1">
      <c r="B75" s="11">
        <v>56</v>
      </c>
      <c r="C75" s="31">
        <f>IF(TFlujo[[#This Row],[Period]]=0,0,IF(TFlujo[[#This Row],[Period]]&lt;=NPer,Monto*TasaPerMejor*(1-Retencion),0)+IF(TFlujo[[#This Row],[Period]]=NPer,Monto,0))</f>
        <v>0</v>
      </c>
      <c r="D75" s="31">
        <f>IF(TFlujo[[#This Row],[Period]]=0,Monto,0)</f>
        <v>0</v>
      </c>
      <c r="E75" s="31">
        <f>TFlujo[[#This Row],[Inflow]]-TFlujo[[#This Row],[Outflow]]</f>
        <v>0</v>
      </c>
      <c r="F75" s="30">
        <f>(1+TIRPer)^(-TFlujo[[#This Row],[Period]])</f>
        <v>1.2163718391837155E-3</v>
      </c>
      <c r="G75" s="30">
        <f>TFlujo[[#This Row],[FCN]]*TFlujo[[#This Row],[fd]]</f>
        <v>0</v>
      </c>
    </row>
    <row r="76" spans="2:7" ht="16.95" customHeight="1">
      <c r="B76" s="11">
        <v>57</v>
      </c>
      <c r="C76" s="31">
        <f>IF(TFlujo[[#This Row],[Period]]=0,0,IF(TFlujo[[#This Row],[Period]]&lt;=NPer,Monto*TasaPerMejor*(1-Retencion),0)+IF(TFlujo[[#This Row],[Period]]=NPer,Monto,0))</f>
        <v>0</v>
      </c>
      <c r="D76" s="31">
        <f>IF(TFlujo[[#This Row],[Period]]=0,Monto,0)</f>
        <v>0</v>
      </c>
      <c r="E76" s="31">
        <f>TFlujo[[#This Row],[Inflow]]-TFlujo[[#This Row],[Outflow]]</f>
        <v>0</v>
      </c>
      <c r="F76" s="30">
        <f>(1+TIRPer)^(-TFlujo[[#This Row],[Period]])</f>
        <v>1.0789814307413648E-3</v>
      </c>
      <c r="G76" s="30">
        <f>TFlujo[[#This Row],[FCN]]*TFlujo[[#This Row],[fd]]</f>
        <v>0</v>
      </c>
    </row>
    <row r="77" spans="2:7" ht="16.95" customHeight="1">
      <c r="B77" s="11">
        <v>58</v>
      </c>
      <c r="C77" s="31">
        <f>IF(TFlujo[[#This Row],[Period]]=0,0,IF(TFlujo[[#This Row],[Period]]&lt;=NPer,Monto*TasaPerMejor*(1-Retencion),0)+IF(TFlujo[[#This Row],[Period]]=NPer,Monto,0))</f>
        <v>0</v>
      </c>
      <c r="D77" s="31">
        <f>IF(TFlujo[[#This Row],[Period]]=0,Monto,0)</f>
        <v>0</v>
      </c>
      <c r="E77" s="31">
        <f>TFlujo[[#This Row],[Inflow]]-TFlujo[[#This Row],[Outflow]]</f>
        <v>0</v>
      </c>
      <c r="F77" s="30">
        <f>(1+TIRPer)^(-TFlujo[[#This Row],[Period]])</f>
        <v>9.5710940551365937E-4</v>
      </c>
      <c r="G77" s="30">
        <f>TFlujo[[#This Row],[FCN]]*TFlujo[[#This Row],[fd]]</f>
        <v>0</v>
      </c>
    </row>
    <row r="78" spans="2:7" ht="16.95" customHeight="1">
      <c r="B78" s="11">
        <v>59</v>
      </c>
      <c r="C78" s="31">
        <f>IF(TFlujo[[#This Row],[Period]]=0,0,IF(TFlujo[[#This Row],[Period]]&lt;=NPer,Monto*TasaPerMejor*(1-Retencion),0)+IF(TFlujo[[#This Row],[Period]]=NPer,Monto,0))</f>
        <v>0</v>
      </c>
      <c r="D78" s="31">
        <f>IF(TFlujo[[#This Row],[Period]]=0,Monto,0)</f>
        <v>0</v>
      </c>
      <c r="E78" s="31">
        <f>TFlujo[[#This Row],[Inflow]]-TFlujo[[#This Row],[Outflow]]</f>
        <v>0</v>
      </c>
      <c r="F78" s="30">
        <f>(1+TIRPer)^(-TFlujo[[#This Row],[Period]])</f>
        <v>8.4900294668953618E-4</v>
      </c>
      <c r="G78" s="30">
        <f>TFlujo[[#This Row],[FCN]]*TFlujo[[#This Row],[fd]]</f>
        <v>0</v>
      </c>
    </row>
    <row r="79" spans="2:7" ht="16.95" customHeight="1">
      <c r="B79" s="11">
        <v>60</v>
      </c>
      <c r="C79" s="31">
        <f>IF(TFlujo[[#This Row],[Period]]=0,0,IF(TFlujo[[#This Row],[Period]]&lt;=NPer,Monto*TasaPerMejor*(1-Retencion),0)+IF(TFlujo[[#This Row],[Period]]=NPer,Monto,0))</f>
        <v>0</v>
      </c>
      <c r="D79" s="31">
        <f>IF(TFlujo[[#This Row],[Period]]=0,Monto,0)</f>
        <v>0</v>
      </c>
      <c r="E79" s="31">
        <f>TFlujo[[#This Row],[Inflow]]-TFlujo[[#This Row],[Outflow]]</f>
        <v>0</v>
      </c>
      <c r="F79" s="30">
        <f>(1+TIRPer)^(-TFlujo[[#This Row],[Period]])</f>
        <v>7.5310721985923307E-4</v>
      </c>
      <c r="G79" s="30">
        <f>TFlujo[[#This Row],[FCN]]*TFlujo[[#This Row],[fd]]</f>
        <v>0</v>
      </c>
    </row>
  </sheetData>
  <conditionalFormatting sqref="C11:C12">
    <cfRule type="cellIs" dxfId="3" priority="1" operator="equal">
      <formula>"OK"</formula>
    </cfRule>
    <cfRule type="expression" dxfId="2" priority="2">
      <formula>LEFT(C11,2)="OK"</formula>
    </cfRule>
    <cfRule type="expression" dxfId="1" priority="3">
      <formula>LEFT(C11,11)="ADVERTENCIA"</formula>
    </cfRule>
    <cfRule type="expression" dxfId="0" priority="4">
      <formula>OR(LEFT(C11,5)="ERROR",LEFT(C11,7)="REVISAR")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A3AF"/>
    <pageSetUpPr fitToPage="1"/>
  </sheetPr>
  <dimension ref="A2:H29"/>
  <sheetViews>
    <sheetView showGridLines="0" workbookViewId="0"/>
  </sheetViews>
  <sheetFormatPr baseColWidth="10" defaultColWidth="8.88671875" defaultRowHeight="14.4"/>
  <cols>
    <col min="1" max="1" width="30" customWidth="1"/>
    <col min="2" max="2" width="19" customWidth="1"/>
    <col min="3" max="3" width="23" customWidth="1"/>
    <col min="4" max="4" width="16" customWidth="1"/>
    <col min="5" max="5" width="12" customWidth="1"/>
    <col min="6" max="6" width="20" customWidth="1"/>
    <col min="7" max="7" width="19" customWidth="1"/>
    <col min="8" max="8" width="15" customWidth="1"/>
  </cols>
  <sheetData>
    <row r="2" spans="1:8" ht="20.399999999999999">
      <c r="A2" s="16" t="s">
        <v>184</v>
      </c>
    </row>
    <row r="4" spans="1:8" ht="22.05" customHeight="1">
      <c r="A4" s="9" t="s">
        <v>96</v>
      </c>
      <c r="B4" s="9" t="s">
        <v>95</v>
      </c>
      <c r="C4" s="10" t="s">
        <v>102</v>
      </c>
      <c r="D4" s="10" t="s">
        <v>185</v>
      </c>
      <c r="E4" s="9" t="s">
        <v>104</v>
      </c>
      <c r="F4" s="10" t="s">
        <v>186</v>
      </c>
      <c r="G4" s="10" t="s">
        <v>187</v>
      </c>
      <c r="H4" s="10" t="s">
        <v>188</v>
      </c>
    </row>
    <row r="5" spans="1:8" ht="16.95" customHeight="1">
      <c r="A5" s="11" t="s">
        <v>132</v>
      </c>
      <c r="B5" s="11" t="s">
        <v>22</v>
      </c>
      <c r="C5" s="12">
        <v>0.11</v>
      </c>
      <c r="D5" s="13">
        <v>1878734089.6400001</v>
      </c>
      <c r="E5" s="23">
        <v>46290</v>
      </c>
      <c r="F5" s="13">
        <f>Monto*((1+TAhorro[[#This Row],[TasaEA]])^(PlazoDias/BaseDias)-1)</f>
        <v>1084142.8965866372</v>
      </c>
      <c r="G5" s="13">
        <f>TAhorro[[#This Row],[InteresBrutoAhorro]]*(1-Retencion)</f>
        <v>1040777.1807231717</v>
      </c>
      <c r="H5" s="32">
        <f>TAhorro[[#This Row],[InteresNetoAhorro]]-MejorInteresNeto</f>
        <v>-232557.1374397499</v>
      </c>
    </row>
    <row r="6" spans="1:8" ht="16.95" customHeight="1">
      <c r="A6" s="11" t="s">
        <v>134</v>
      </c>
      <c r="B6" s="11" t="s">
        <v>22</v>
      </c>
      <c r="C6" s="12">
        <v>9.9299999999999999E-2</v>
      </c>
      <c r="D6" s="13">
        <v>24781936.690000001</v>
      </c>
      <c r="E6" s="23">
        <v>46290</v>
      </c>
      <c r="F6" s="13">
        <f>Monto*((1+TAhorro[[#This Row],[TasaEA]])^(PlazoDias/BaseDias)-1)</f>
        <v>978752.43213441095</v>
      </c>
      <c r="G6" s="13">
        <f>TAhorro[[#This Row],[InteresBrutoAhorro]]*(1-Retencion)</f>
        <v>939602.33484903444</v>
      </c>
      <c r="H6" s="32">
        <f>TAhorro[[#This Row],[InteresNetoAhorro]]-MejorInteresNeto</f>
        <v>-333731.98331388715</v>
      </c>
    </row>
    <row r="7" spans="1:8" ht="16.95" customHeight="1">
      <c r="A7" s="11" t="s">
        <v>131</v>
      </c>
      <c r="B7" s="11" t="s">
        <v>22</v>
      </c>
      <c r="C7" s="12">
        <v>8.8599999999999998E-2</v>
      </c>
      <c r="D7" s="13">
        <v>723071728.05999994</v>
      </c>
      <c r="E7" s="23">
        <v>46290</v>
      </c>
      <c r="F7" s="13">
        <f>Monto*((1+TAhorro[[#This Row],[TasaEA]])^(PlazoDias/BaseDias)-1)</f>
        <v>873347.91426732612</v>
      </c>
      <c r="G7" s="13">
        <f>TAhorro[[#This Row],[InteresBrutoAhorro]]*(1-Retencion)</f>
        <v>838413.9976966331</v>
      </c>
      <c r="H7" s="32">
        <f>TAhorro[[#This Row],[InteresNetoAhorro]]-MejorInteresNeto</f>
        <v>-434920.32046628848</v>
      </c>
    </row>
    <row r="8" spans="1:8" ht="16.95" customHeight="1">
      <c r="A8" s="11" t="s">
        <v>136</v>
      </c>
      <c r="B8" s="11" t="s">
        <v>23</v>
      </c>
      <c r="C8" s="12">
        <v>8.8300000000000003E-2</v>
      </c>
      <c r="D8" s="13">
        <v>7091392081.4499998</v>
      </c>
      <c r="E8" s="23">
        <v>46290</v>
      </c>
      <c r="F8" s="13">
        <f>Monto*((1+TAhorro[[#This Row],[TasaEA]])^(PlazoDias/BaseDias)-1)</f>
        <v>870392.44351930998</v>
      </c>
      <c r="G8" s="13">
        <f>TAhorro[[#This Row],[InteresBrutoAhorro]]*(1-Retencion)</f>
        <v>835576.74577853759</v>
      </c>
      <c r="H8" s="32">
        <f>TAhorro[[#This Row],[InteresNetoAhorro]]-MejorInteresNeto</f>
        <v>-437757.572384384</v>
      </c>
    </row>
    <row r="9" spans="1:8" ht="16.95" customHeight="1">
      <c r="A9" s="11" t="s">
        <v>130</v>
      </c>
      <c r="B9" s="11" t="s">
        <v>22</v>
      </c>
      <c r="C9" s="12">
        <v>6.480000000000001E-2</v>
      </c>
      <c r="D9" s="13">
        <v>194545070.18000001</v>
      </c>
      <c r="E9" s="23">
        <v>46290</v>
      </c>
      <c r="F9" s="13">
        <f>Monto*((1+TAhorro[[#This Row],[TasaEA]])^(PlazoDias/BaseDias)-1)</f>
        <v>638845.63807298231</v>
      </c>
      <c r="G9" s="13">
        <f>TAhorro[[#This Row],[InteresBrutoAhorro]]*(1-Retencion)</f>
        <v>613291.81255006301</v>
      </c>
      <c r="H9" s="32">
        <f>TAhorro[[#This Row],[InteresNetoAhorro]]-MejorInteresNeto</f>
        <v>-660042.50561285857</v>
      </c>
    </row>
    <row r="10" spans="1:8" ht="16.95" customHeight="1">
      <c r="A10" s="11" t="s">
        <v>149</v>
      </c>
      <c r="B10" s="11" t="s">
        <v>23</v>
      </c>
      <c r="C10" s="12">
        <v>6.0299999999999999E-2</v>
      </c>
      <c r="D10" s="13">
        <v>334131252.81</v>
      </c>
      <c r="E10" s="23">
        <v>46290</v>
      </c>
      <c r="F10" s="13">
        <f>Monto*((1+TAhorro[[#This Row],[TasaEA]])^(PlazoDias/BaseDias)-1)</f>
        <v>594498.94866084203</v>
      </c>
      <c r="G10" s="13">
        <f>TAhorro[[#This Row],[InteresBrutoAhorro]]*(1-Retencion)</f>
        <v>570718.99071440834</v>
      </c>
      <c r="H10" s="32">
        <f>TAhorro[[#This Row],[InteresNetoAhorro]]-MejorInteresNeto</f>
        <v>-702615.32744851324</v>
      </c>
    </row>
    <row r="11" spans="1:8" ht="16.95" customHeight="1">
      <c r="A11" s="11" t="s">
        <v>127</v>
      </c>
      <c r="B11" s="11" t="s">
        <v>21</v>
      </c>
      <c r="C11" s="12">
        <v>4.2299999999999997E-2</v>
      </c>
      <c r="D11" s="13">
        <v>455576708.06</v>
      </c>
      <c r="E11" s="23">
        <v>46290</v>
      </c>
      <c r="F11" s="13">
        <f>Monto*((1+TAhorro[[#This Row],[TasaEA]])^(PlazoDias/BaseDias)-1)</f>
        <v>417086.2959759236</v>
      </c>
      <c r="G11" s="13">
        <f>TAhorro[[#This Row],[InteresBrutoAhorro]]*(1-Retencion)</f>
        <v>400402.84413688665</v>
      </c>
      <c r="H11" s="32">
        <f>TAhorro[[#This Row],[InteresNetoAhorro]]-MejorInteresNeto</f>
        <v>-872931.47402603494</v>
      </c>
    </row>
    <row r="12" spans="1:8" ht="16.95" customHeight="1">
      <c r="A12" s="11" t="s">
        <v>129</v>
      </c>
      <c r="B12" s="11" t="s">
        <v>21</v>
      </c>
      <c r="C12" s="12">
        <v>3.9E-2</v>
      </c>
      <c r="D12" s="13">
        <v>34357633.240000002</v>
      </c>
      <c r="E12" s="23">
        <v>46290</v>
      </c>
      <c r="F12" s="13">
        <f>Monto*((1+TAhorro[[#This Row],[TasaEA]])^(PlazoDias/BaseDias)-1)</f>
        <v>384556.11134635692</v>
      </c>
      <c r="G12" s="13">
        <f>TAhorro[[#This Row],[InteresBrutoAhorro]]*(1-Retencion)</f>
        <v>369173.86689250264</v>
      </c>
      <c r="H12" s="32">
        <f>TAhorro[[#This Row],[InteresNetoAhorro]]-MejorInteresNeto</f>
        <v>-904160.45127041894</v>
      </c>
    </row>
    <row r="13" spans="1:8" ht="16.95" customHeight="1">
      <c r="A13" s="11" t="s">
        <v>128</v>
      </c>
      <c r="B13" s="11" t="s">
        <v>21</v>
      </c>
      <c r="C13" s="12">
        <v>3.15E-2</v>
      </c>
      <c r="D13" s="13">
        <v>772898608.13999999</v>
      </c>
      <c r="E13" s="23">
        <v>46290</v>
      </c>
      <c r="F13" s="13">
        <f>Monto*((1+TAhorro[[#This Row],[TasaEA]])^(PlazoDias/BaseDias)-1)</f>
        <v>310618.60253568832</v>
      </c>
      <c r="G13" s="13">
        <f>TAhorro[[#This Row],[InteresBrutoAhorro]]*(1-Retencion)</f>
        <v>298193.85843426076</v>
      </c>
      <c r="H13" s="32">
        <f>TAhorro[[#This Row],[InteresNetoAhorro]]-MejorInteresNeto</f>
        <v>-975140.45972866076</v>
      </c>
    </row>
    <row r="14" spans="1:8" ht="16.95" customHeight="1">
      <c r="A14" s="11" t="s">
        <v>118</v>
      </c>
      <c r="B14" s="11" t="s">
        <v>21</v>
      </c>
      <c r="C14" s="12">
        <v>2.5700000000000001E-2</v>
      </c>
      <c r="D14" s="13">
        <v>3151614495.23</v>
      </c>
      <c r="E14" s="23">
        <v>46290</v>
      </c>
      <c r="F14" s="13">
        <f>Monto*((1+TAhorro[[#This Row],[TasaEA]])^(PlazoDias/BaseDias)-1)</f>
        <v>253435.21526483892</v>
      </c>
      <c r="G14" s="13">
        <f>TAhorro[[#This Row],[InteresBrutoAhorro]]*(1-Retencion)</f>
        <v>243297.80665424536</v>
      </c>
      <c r="H14" s="32">
        <f>TAhorro[[#This Row],[InteresNetoAhorro]]-MejorInteresNeto</f>
        <v>-1030036.5115086762</v>
      </c>
    </row>
    <row r="15" spans="1:8" ht="16.95" customHeight="1">
      <c r="A15" s="11" t="s">
        <v>121</v>
      </c>
      <c r="B15" s="11" t="s">
        <v>21</v>
      </c>
      <c r="C15" s="12">
        <v>2.2200000000000001E-2</v>
      </c>
      <c r="D15" s="13">
        <v>3709506679.4400001</v>
      </c>
      <c r="E15" s="23">
        <v>46290</v>
      </c>
      <c r="F15" s="13">
        <f>Monto*((1+TAhorro[[#This Row],[TasaEA]])^(PlazoDias/BaseDias)-1)</f>
        <v>218925.85735276082</v>
      </c>
      <c r="G15" s="13">
        <f>TAhorro[[#This Row],[InteresBrutoAhorro]]*(1-Retencion)</f>
        <v>210168.82305865039</v>
      </c>
      <c r="H15" s="32">
        <f>TAhorro[[#This Row],[InteresNetoAhorro]]-MejorInteresNeto</f>
        <v>-1063165.4951042712</v>
      </c>
    </row>
    <row r="16" spans="1:8" ht="16.95" customHeight="1">
      <c r="A16" s="11" t="s">
        <v>117</v>
      </c>
      <c r="B16" s="11" t="s">
        <v>21</v>
      </c>
      <c r="C16" s="12">
        <v>2.1299999999999999E-2</v>
      </c>
      <c r="D16" s="13">
        <v>988175750.54999995</v>
      </c>
      <c r="E16" s="23">
        <v>46290</v>
      </c>
      <c r="F16" s="13">
        <f>Monto*((1+TAhorro[[#This Row],[TasaEA]])^(PlazoDias/BaseDias)-1)</f>
        <v>210051.76105677537</v>
      </c>
      <c r="G16" s="13">
        <f>TAhorro[[#This Row],[InteresBrutoAhorro]]*(1-Retencion)</f>
        <v>201649.69061450436</v>
      </c>
      <c r="H16" s="32">
        <f>TAhorro[[#This Row],[InteresNetoAhorro]]-MejorInteresNeto</f>
        <v>-1071684.6275484173</v>
      </c>
    </row>
    <row r="17" spans="1:8" ht="16.95" customHeight="1">
      <c r="A17" s="11" t="s">
        <v>120</v>
      </c>
      <c r="B17" s="11" t="s">
        <v>21</v>
      </c>
      <c r="C17" s="12">
        <v>9.1000000000000004E-3</v>
      </c>
      <c r="D17" s="13">
        <v>6186941678.8800001</v>
      </c>
      <c r="E17" s="23">
        <v>46290</v>
      </c>
      <c r="F17" s="13">
        <f>Monto*((1+TAhorro[[#This Row],[TasaEA]])^(PlazoDias/BaseDias)-1)</f>
        <v>89747.847560446287</v>
      </c>
      <c r="G17" s="13">
        <f>TAhorro[[#This Row],[InteresBrutoAhorro]]*(1-Retencion)</f>
        <v>86157.933658028429</v>
      </c>
      <c r="H17" s="32">
        <f>TAhorro[[#This Row],[InteresNetoAhorro]]-MejorInteresNeto</f>
        <v>-1187176.3845048931</v>
      </c>
    </row>
    <row r="18" spans="1:8" ht="16.95" customHeight="1">
      <c r="A18" s="11" t="s">
        <v>123</v>
      </c>
      <c r="B18" s="11" t="s">
        <v>21</v>
      </c>
      <c r="C18" s="12">
        <v>8.8999999999999999E-3</v>
      </c>
      <c r="D18" s="13">
        <v>419113878</v>
      </c>
      <c r="E18" s="23">
        <v>46290</v>
      </c>
      <c r="F18" s="13">
        <f>Monto*((1+TAhorro[[#This Row],[TasaEA]])^(PlazoDias/BaseDias)-1)</f>
        <v>87775.486915546702</v>
      </c>
      <c r="G18" s="13">
        <f>TAhorro[[#This Row],[InteresBrutoAhorro]]*(1-Retencion)</f>
        <v>84264.467438924825</v>
      </c>
      <c r="H18" s="32">
        <f>TAhorro[[#This Row],[InteresNetoAhorro]]-MejorInteresNeto</f>
        <v>-1189069.8507239968</v>
      </c>
    </row>
    <row r="19" spans="1:8" ht="16.95" customHeight="1">
      <c r="A19" s="11" t="s">
        <v>126</v>
      </c>
      <c r="B19" s="11" t="s">
        <v>21</v>
      </c>
      <c r="C19" s="12">
        <v>7.6E-3</v>
      </c>
      <c r="D19" s="13">
        <v>3556601637</v>
      </c>
      <c r="E19" s="23">
        <v>46290</v>
      </c>
      <c r="F19" s="13">
        <f>Monto*((1+TAhorro[[#This Row],[TasaEA]])^(PlazoDias/BaseDias)-1)</f>
        <v>74955.012121478154</v>
      </c>
      <c r="G19" s="13">
        <f>TAhorro[[#This Row],[InteresBrutoAhorro]]*(1-Retencion)</f>
        <v>71956.811636619022</v>
      </c>
      <c r="H19" s="32">
        <f>TAhorro[[#This Row],[InteresNetoAhorro]]-MejorInteresNeto</f>
        <v>-1201377.5065263025</v>
      </c>
    </row>
    <row r="20" spans="1:8" ht="16.95" customHeight="1">
      <c r="A20" s="11" t="s">
        <v>114</v>
      </c>
      <c r="B20" s="11" t="s">
        <v>21</v>
      </c>
      <c r="C20" s="12">
        <v>5.4000000000000003E-3</v>
      </c>
      <c r="D20" s="13">
        <v>6654951885</v>
      </c>
      <c r="E20" s="23">
        <v>46290</v>
      </c>
      <c r="F20" s="13">
        <f>Monto*((1+TAhorro[[#This Row],[TasaEA]])^(PlazoDias/BaseDias)-1)</f>
        <v>53258.307656713907</v>
      </c>
      <c r="G20" s="13">
        <f>TAhorro[[#This Row],[InteresBrutoAhorro]]*(1-Retencion)</f>
        <v>51127.975350445347</v>
      </c>
      <c r="H20" s="32">
        <f>TAhorro[[#This Row],[InteresNetoAhorro]]-MejorInteresNeto</f>
        <v>-1222206.3428124762</v>
      </c>
    </row>
    <row r="21" spans="1:8" ht="16.95" customHeight="1">
      <c r="A21" s="11" t="s">
        <v>115</v>
      </c>
      <c r="B21" s="11" t="s">
        <v>21</v>
      </c>
      <c r="C21" s="12">
        <v>4.3E-3</v>
      </c>
      <c r="D21" s="13">
        <v>15764228852.219999</v>
      </c>
      <c r="E21" s="23">
        <v>46290</v>
      </c>
      <c r="F21" s="13">
        <f>Monto*((1+TAhorro[[#This Row],[TasaEA]])^(PlazoDias/BaseDias)-1)</f>
        <v>42409.711625193137</v>
      </c>
      <c r="G21" s="13">
        <f>TAhorro[[#This Row],[InteresBrutoAhorro]]*(1-Retencion)</f>
        <v>40713.323160185413</v>
      </c>
      <c r="H21" s="32">
        <f>TAhorro[[#This Row],[InteresNetoAhorro]]-MejorInteresNeto</f>
        <v>-1232620.9950027361</v>
      </c>
    </row>
    <row r="22" spans="1:8" ht="16.95" customHeight="1">
      <c r="A22" s="11" t="s">
        <v>116</v>
      </c>
      <c r="B22" s="11" t="s">
        <v>21</v>
      </c>
      <c r="C22" s="12">
        <v>3.8E-3</v>
      </c>
      <c r="D22" s="13">
        <v>11958138639</v>
      </c>
      <c r="E22" s="23">
        <v>46290</v>
      </c>
      <c r="F22" s="13">
        <f>Monto*((1+TAhorro[[#This Row],[TasaEA]])^(PlazoDias/BaseDias)-1)</f>
        <v>37478.477812367128</v>
      </c>
      <c r="G22" s="13">
        <f>TAhorro[[#This Row],[InteresBrutoAhorro]]*(1-Retencion)</f>
        <v>35979.338699872438</v>
      </c>
      <c r="H22" s="32">
        <f>TAhorro[[#This Row],[InteresNetoAhorro]]-MejorInteresNeto</f>
        <v>-1237354.9794630492</v>
      </c>
    </row>
    <row r="23" spans="1:8" ht="16.95" customHeight="1">
      <c r="A23" s="11" t="s">
        <v>119</v>
      </c>
      <c r="B23" s="11" t="s">
        <v>21</v>
      </c>
      <c r="C23" s="12">
        <v>3.8E-3</v>
      </c>
      <c r="D23" s="13">
        <v>1877727852</v>
      </c>
      <c r="E23" s="23">
        <v>46290</v>
      </c>
      <c r="F23" s="13">
        <f>Monto*((1+TAhorro[[#This Row],[TasaEA]])^(PlazoDias/BaseDias)-1)</f>
        <v>37478.477812367128</v>
      </c>
      <c r="G23" s="13">
        <f>TAhorro[[#This Row],[InteresBrutoAhorro]]*(1-Retencion)</f>
        <v>35979.338699872438</v>
      </c>
      <c r="H23" s="32">
        <f>TAhorro[[#This Row],[InteresNetoAhorro]]-MejorInteresNeto</f>
        <v>-1237354.9794630492</v>
      </c>
    </row>
    <row r="24" spans="1:8" ht="16.95" customHeight="1">
      <c r="A24" s="11" t="s">
        <v>147</v>
      </c>
      <c r="B24" s="11" t="s">
        <v>23</v>
      </c>
      <c r="C24" s="12">
        <v>1E-3</v>
      </c>
      <c r="D24" s="13">
        <v>1512277482.8099999</v>
      </c>
      <c r="E24" s="23">
        <v>46290</v>
      </c>
      <c r="F24" s="13">
        <f>Monto*((1+TAhorro[[#This Row],[TasaEA]])^(PlazoDias/BaseDias)-1)</f>
        <v>9862.946166556696</v>
      </c>
      <c r="G24" s="13">
        <f>TAhorro[[#This Row],[InteresBrutoAhorro]]*(1-Retencion)</f>
        <v>9468.4283198944286</v>
      </c>
      <c r="H24" s="32">
        <f>TAhorro[[#This Row],[InteresNetoAhorro]]-MejorInteresNeto</f>
        <v>-1263865.8898430271</v>
      </c>
    </row>
    <row r="25" spans="1:8" ht="16.95" customHeight="1">
      <c r="A25" s="11" t="s">
        <v>110</v>
      </c>
      <c r="B25" s="11" t="s">
        <v>21</v>
      </c>
      <c r="C25" s="12">
        <v>7.000000000000001E-4</v>
      </c>
      <c r="D25" s="13">
        <v>42435249721.230003</v>
      </c>
      <c r="E25" s="23">
        <v>46290</v>
      </c>
      <c r="F25" s="13">
        <f>Monto*((1+TAhorro[[#This Row],[TasaEA]])^(PlazoDias/BaseDias)-1)</f>
        <v>6904.0764949712675</v>
      </c>
      <c r="G25" s="13">
        <f>TAhorro[[#This Row],[InteresBrutoAhorro]]*(1-Retencion)</f>
        <v>6627.9134351724169</v>
      </c>
      <c r="H25" s="32">
        <f>TAhorro[[#This Row],[InteresNetoAhorro]]-MejorInteresNeto</f>
        <v>-1266706.4047277491</v>
      </c>
    </row>
    <row r="26" spans="1:8" ht="16.95" customHeight="1">
      <c r="A26" s="11" t="s">
        <v>122</v>
      </c>
      <c r="B26" s="11" t="s">
        <v>21</v>
      </c>
      <c r="C26" s="12">
        <v>1E-4</v>
      </c>
      <c r="D26" s="13">
        <v>35519.42</v>
      </c>
      <c r="E26" s="23">
        <v>46290</v>
      </c>
      <c r="F26" s="13">
        <f>Monto*((1+TAhorro[[#This Row],[TasaEA]])^(PlazoDias/BaseDias)-1)</f>
        <v>986.30069433669473</v>
      </c>
      <c r="G26" s="13">
        <f>TAhorro[[#This Row],[InteresBrutoAhorro]]*(1-Retencion)</f>
        <v>946.84866656322686</v>
      </c>
      <c r="H26" s="32">
        <f>TAhorro[[#This Row],[InteresNetoAhorro]]-MejorInteresNeto</f>
        <v>-1272387.4694963584</v>
      </c>
    </row>
    <row r="29" spans="1:8" ht="60" customHeight="1">
      <c r="A29" s="39" t="s">
        <v>189</v>
      </c>
      <c r="B29" s="36"/>
      <c r="C29" s="36"/>
      <c r="D29" s="36"/>
      <c r="E29" s="36"/>
      <c r="F29" s="36"/>
      <c r="G29" s="36"/>
      <c r="H29" s="36"/>
    </row>
  </sheetData>
  <mergeCells count="1">
    <mergeCell ref="A29:H29"/>
  </mergeCells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1D5DB"/>
    <pageSetUpPr fitToPage="1"/>
  </sheetPr>
  <dimension ref="A2:F12"/>
  <sheetViews>
    <sheetView showGridLines="0" workbookViewId="0"/>
  </sheetViews>
  <sheetFormatPr baseColWidth="10" defaultColWidth="8.88671875" defaultRowHeight="14.4"/>
  <cols>
    <col min="1" max="1" width="68" customWidth="1"/>
    <col min="2" max="3" width="12" customWidth="1"/>
    <col min="4" max="4" width="21" customWidth="1"/>
    <col min="5" max="5" width="32" customWidth="1"/>
    <col min="6" max="6" width="70" customWidth="1"/>
  </cols>
  <sheetData>
    <row r="2" spans="1:6" ht="20.399999999999999">
      <c r="A2" s="16" t="s">
        <v>190</v>
      </c>
    </row>
    <row r="4" spans="1:6" ht="22.05" customHeight="1">
      <c r="A4" s="9" t="s">
        <v>191</v>
      </c>
      <c r="B4" s="9" t="s">
        <v>192</v>
      </c>
      <c r="C4" s="9" t="s">
        <v>193</v>
      </c>
      <c r="D4" s="10" t="s">
        <v>54</v>
      </c>
      <c r="E4" s="9" t="s">
        <v>55</v>
      </c>
      <c r="F4" s="9" t="s">
        <v>107</v>
      </c>
    </row>
    <row r="5" spans="1:6" ht="16.95" customHeight="1">
      <c r="A5" s="11" t="s">
        <v>194</v>
      </c>
      <c r="B5" s="11">
        <v>238</v>
      </c>
      <c r="C5" s="23">
        <v>46290</v>
      </c>
      <c r="D5" s="12">
        <v>0.1018</v>
      </c>
      <c r="E5" s="11" t="s">
        <v>195</v>
      </c>
      <c r="F5" s="11" t="s">
        <v>196</v>
      </c>
    </row>
    <row r="6" spans="1:6" ht="16.95" customHeight="1">
      <c r="A6" s="11" t="s">
        <v>197</v>
      </c>
      <c r="B6" s="11">
        <v>239</v>
      </c>
      <c r="C6" s="23">
        <v>46290</v>
      </c>
      <c r="D6" s="12">
        <v>0.10589999999999999</v>
      </c>
      <c r="E6" s="11" t="s">
        <v>195</v>
      </c>
      <c r="F6" s="11" t="s">
        <v>198</v>
      </c>
    </row>
    <row r="7" spans="1:6" ht="16.95" customHeight="1">
      <c r="A7" s="11" t="s">
        <v>199</v>
      </c>
      <c r="B7" s="11">
        <v>240</v>
      </c>
      <c r="C7" s="23">
        <v>46290</v>
      </c>
      <c r="D7" s="12">
        <v>0.1208</v>
      </c>
      <c r="E7" s="11" t="s">
        <v>195</v>
      </c>
      <c r="F7" s="11" t="s">
        <v>200</v>
      </c>
    </row>
    <row r="8" spans="1:6" ht="16.95" customHeight="1">
      <c r="A8" s="11" t="s">
        <v>201</v>
      </c>
      <c r="B8" s="11">
        <v>65</v>
      </c>
      <c r="C8" s="23">
        <v>46290</v>
      </c>
      <c r="D8" s="12">
        <v>0.1026</v>
      </c>
      <c r="E8" s="11" t="s">
        <v>195</v>
      </c>
      <c r="F8" s="11" t="s">
        <v>202</v>
      </c>
    </row>
    <row r="9" spans="1:6" ht="16.95" customHeight="1">
      <c r="A9" s="11" t="s">
        <v>203</v>
      </c>
      <c r="B9" s="11">
        <v>243</v>
      </c>
      <c r="C9" s="23">
        <v>46294</v>
      </c>
      <c r="D9" s="12">
        <v>0.1154</v>
      </c>
      <c r="E9" s="11" t="s">
        <v>204</v>
      </c>
      <c r="F9" s="11" t="s">
        <v>205</v>
      </c>
    </row>
    <row r="10" spans="1:6" ht="16.95" customHeight="1">
      <c r="A10" s="11" t="s">
        <v>89</v>
      </c>
      <c r="B10" s="11">
        <v>59</v>
      </c>
      <c r="C10" s="23">
        <v>46294</v>
      </c>
      <c r="D10" s="12">
        <v>0.12</v>
      </c>
      <c r="E10" s="11" t="s">
        <v>206</v>
      </c>
      <c r="F10" s="11" t="s">
        <v>207</v>
      </c>
    </row>
    <row r="11" spans="1:6" ht="16.95" customHeight="1">
      <c r="A11" s="11" t="s">
        <v>208</v>
      </c>
      <c r="B11" s="11">
        <v>853</v>
      </c>
      <c r="C11" s="23">
        <v>46265</v>
      </c>
      <c r="D11" s="12">
        <v>0.03</v>
      </c>
      <c r="E11" s="11" t="s">
        <v>209</v>
      </c>
      <c r="F11" s="11" t="s">
        <v>210</v>
      </c>
    </row>
    <row r="12" spans="1:6" ht="16.95" customHeight="1">
      <c r="A12" s="11" t="s">
        <v>211</v>
      </c>
      <c r="B12" s="11"/>
      <c r="C12" s="23">
        <v>46265</v>
      </c>
      <c r="D12" s="12">
        <v>6.2454467183256979E-2</v>
      </c>
      <c r="E12" s="11" t="s">
        <v>77</v>
      </c>
      <c r="F12" s="11" t="s">
        <v>212</v>
      </c>
    </row>
  </sheetData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1D5DB"/>
    <pageSetUpPr fitToPage="1"/>
  </sheetPr>
  <dimension ref="A2:E31"/>
  <sheetViews>
    <sheetView showGridLines="0" workbookViewId="0"/>
  </sheetViews>
  <sheetFormatPr baseColWidth="10" defaultColWidth="8.88671875" defaultRowHeight="14.4"/>
  <cols>
    <col min="1" max="1" width="60" customWidth="1"/>
    <col min="2" max="2" width="70" customWidth="1"/>
    <col min="3" max="3" width="53" customWidth="1"/>
    <col min="4" max="4" width="16" customWidth="1"/>
    <col min="5" max="5" width="60" customWidth="1"/>
  </cols>
  <sheetData>
    <row r="2" spans="1:5" ht="20.399999999999999">
      <c r="A2" s="16" t="s">
        <v>213</v>
      </c>
    </row>
    <row r="4" spans="1:5" ht="22.05" customHeight="1">
      <c r="A4" s="9" t="s">
        <v>107</v>
      </c>
      <c r="B4" s="9" t="s">
        <v>214</v>
      </c>
      <c r="C4" s="9" t="s">
        <v>215</v>
      </c>
      <c r="D4" s="9" t="s">
        <v>216</v>
      </c>
      <c r="E4" s="9" t="s">
        <v>217</v>
      </c>
    </row>
    <row r="5" spans="1:5" ht="16.95" customHeight="1">
      <c r="A5" s="11" t="s">
        <v>218</v>
      </c>
      <c r="B5" s="11" t="s">
        <v>219</v>
      </c>
      <c r="C5" s="11" t="s">
        <v>88</v>
      </c>
      <c r="D5" s="11">
        <v>3863</v>
      </c>
      <c r="E5" s="11" t="s">
        <v>220</v>
      </c>
    </row>
    <row r="6" spans="1:5" ht="16.95" customHeight="1">
      <c r="A6" s="11" t="s">
        <v>221</v>
      </c>
      <c r="B6" s="11" t="s">
        <v>196</v>
      </c>
      <c r="C6" s="11" t="s">
        <v>88</v>
      </c>
      <c r="D6" s="27"/>
      <c r="E6" s="11" t="s">
        <v>194</v>
      </c>
    </row>
    <row r="7" spans="1:5" ht="16.95" customHeight="1">
      <c r="A7" s="11" t="s">
        <v>222</v>
      </c>
      <c r="B7" s="11" t="s">
        <v>198</v>
      </c>
      <c r="C7" s="11" t="s">
        <v>88</v>
      </c>
      <c r="D7" s="27"/>
      <c r="E7" s="11" t="s">
        <v>197</v>
      </c>
    </row>
    <row r="8" spans="1:5" ht="16.95" customHeight="1">
      <c r="A8" s="11" t="s">
        <v>223</v>
      </c>
      <c r="B8" s="11" t="s">
        <v>200</v>
      </c>
      <c r="C8" s="11" t="s">
        <v>88</v>
      </c>
      <c r="D8" s="27"/>
      <c r="E8" s="11" t="s">
        <v>199</v>
      </c>
    </row>
    <row r="9" spans="1:5" ht="16.95" customHeight="1">
      <c r="A9" s="11" t="s">
        <v>224</v>
      </c>
      <c r="B9" s="11" t="s">
        <v>202</v>
      </c>
      <c r="C9" s="11" t="s">
        <v>88</v>
      </c>
      <c r="D9" s="27"/>
      <c r="E9" s="11" t="s">
        <v>201</v>
      </c>
    </row>
    <row r="10" spans="1:5" ht="16.95" customHeight="1">
      <c r="A10" s="11" t="s">
        <v>225</v>
      </c>
      <c r="B10" s="11" t="s">
        <v>205</v>
      </c>
      <c r="C10" s="11" t="s">
        <v>88</v>
      </c>
      <c r="D10" s="27"/>
      <c r="E10" s="11" t="s">
        <v>203</v>
      </c>
    </row>
    <row r="11" spans="1:5" ht="16.95" customHeight="1">
      <c r="A11" s="11" t="s">
        <v>226</v>
      </c>
      <c r="B11" s="11" t="s">
        <v>207</v>
      </c>
      <c r="C11" s="11" t="s">
        <v>88</v>
      </c>
      <c r="D11" s="27"/>
      <c r="E11" s="11" t="s">
        <v>89</v>
      </c>
    </row>
    <row r="12" spans="1:5" ht="16.95" customHeight="1">
      <c r="A12" s="11" t="s">
        <v>227</v>
      </c>
      <c r="B12" s="11" t="s">
        <v>210</v>
      </c>
      <c r="C12" s="11" t="s">
        <v>88</v>
      </c>
      <c r="D12" s="27"/>
      <c r="E12" s="11" t="s">
        <v>208</v>
      </c>
    </row>
    <row r="13" spans="1:5" ht="16.95" customHeight="1">
      <c r="A13" s="11" t="s">
        <v>228</v>
      </c>
      <c r="B13" s="11" t="s">
        <v>212</v>
      </c>
      <c r="C13" s="11" t="s">
        <v>88</v>
      </c>
      <c r="D13" s="11">
        <v>284</v>
      </c>
      <c r="E13" s="11" t="s">
        <v>229</v>
      </c>
    </row>
    <row r="16" spans="1:5" ht="22.05" customHeight="1">
      <c r="A16" s="9" t="s">
        <v>230</v>
      </c>
      <c r="B16" s="9" t="s">
        <v>231</v>
      </c>
      <c r="C16" s="9" t="s">
        <v>217</v>
      </c>
    </row>
    <row r="17" spans="1:5" ht="16.95" customHeight="1">
      <c r="A17" s="11" t="s">
        <v>232</v>
      </c>
      <c r="B17" s="11" t="s">
        <v>50</v>
      </c>
      <c r="C17" s="11" t="s">
        <v>233</v>
      </c>
    </row>
    <row r="18" spans="1:5" ht="16.95" customHeight="1">
      <c r="A18" s="11" t="s">
        <v>234</v>
      </c>
      <c r="B18" s="11" t="s">
        <v>50</v>
      </c>
      <c r="C18" s="11" t="s">
        <v>235</v>
      </c>
    </row>
    <row r="19" spans="1:5" ht="16.95" customHeight="1">
      <c r="A19" s="11" t="s">
        <v>236</v>
      </c>
      <c r="B19" s="11" t="s">
        <v>50</v>
      </c>
      <c r="C19" s="11" t="s">
        <v>237</v>
      </c>
    </row>
    <row r="20" spans="1:5" ht="16.95" customHeight="1">
      <c r="A20" s="11" t="s">
        <v>43</v>
      </c>
      <c r="B20" s="11" t="s">
        <v>50</v>
      </c>
      <c r="C20" s="11" t="s">
        <v>238</v>
      </c>
    </row>
    <row r="21" spans="1:5" ht="16.95" customHeight="1">
      <c r="A21" s="11" t="s">
        <v>239</v>
      </c>
      <c r="B21" s="11" t="s">
        <v>50</v>
      </c>
      <c r="C21" s="11" t="s">
        <v>240</v>
      </c>
    </row>
    <row r="22" spans="1:5" ht="16.95" customHeight="1">
      <c r="A22" s="11" t="s">
        <v>241</v>
      </c>
      <c r="B22" s="11" t="s">
        <v>50</v>
      </c>
      <c r="C22" s="11" t="s">
        <v>242</v>
      </c>
    </row>
    <row r="23" spans="1:5" ht="16.95" customHeight="1">
      <c r="A23" s="11" t="s">
        <v>243</v>
      </c>
      <c r="B23" s="11" t="s">
        <v>50</v>
      </c>
      <c r="C23" s="11" t="s">
        <v>244</v>
      </c>
    </row>
    <row r="26" spans="1:5" ht="34.049999999999997" customHeight="1">
      <c r="A26" s="39" t="s">
        <v>245</v>
      </c>
      <c r="B26" s="36"/>
      <c r="C26" s="36"/>
      <c r="D26" s="36"/>
      <c r="E26" s="36"/>
    </row>
    <row r="27" spans="1:5" ht="34.049999999999997" customHeight="1">
      <c r="A27" s="39" t="s">
        <v>246</v>
      </c>
      <c r="B27" s="36"/>
      <c r="C27" s="36"/>
      <c r="D27" s="36"/>
      <c r="E27" s="36"/>
    </row>
    <row r="28" spans="1:5" ht="34.049999999999997" customHeight="1">
      <c r="A28" s="39" t="s">
        <v>247</v>
      </c>
      <c r="B28" s="36"/>
      <c r="C28" s="36"/>
      <c r="D28" s="36"/>
      <c r="E28" s="36"/>
    </row>
    <row r="29" spans="1:5" ht="34.049999999999997" customHeight="1">
      <c r="A29" s="39" t="s">
        <v>248</v>
      </c>
      <c r="B29" s="36"/>
      <c r="C29" s="36"/>
      <c r="D29" s="36"/>
      <c r="E29" s="36"/>
    </row>
    <row r="30" spans="1:5" ht="34.049999999999997" customHeight="1">
      <c r="A30" s="39" t="s">
        <v>249</v>
      </c>
      <c r="B30" s="36"/>
      <c r="C30" s="36"/>
      <c r="D30" s="36"/>
      <c r="E30" s="36"/>
    </row>
    <row r="31" spans="1:5" ht="34.049999999999997" customHeight="1">
      <c r="A31" s="39" t="s">
        <v>250</v>
      </c>
      <c r="B31" s="36"/>
      <c r="C31" s="36"/>
      <c r="D31" s="36"/>
      <c r="E31" s="36"/>
    </row>
  </sheetData>
  <mergeCells count="6">
    <mergeCell ref="A30:E30"/>
    <mergeCell ref="A29:E29"/>
    <mergeCell ref="A26:E26"/>
    <mergeCell ref="A28:E28"/>
    <mergeCell ref="A31:E31"/>
    <mergeCell ref="A27:E27"/>
  </mergeCells>
  <printOptions horizontalCentered="1"/>
  <pageMargins left="0.75" right="0.75" top="1" bottom="1" header="0.5" footer="0.5"/>
  <pageSetup fitToHeight="0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28</vt:i4>
      </vt:variant>
    </vt:vector>
  </HeadingPairs>
  <TitlesOfParts>
    <vt:vector size="37" baseType="lpstr">
      <vt:lpstr>Resumen</vt:lpstr>
      <vt:lpstr>Controles</vt:lpstr>
      <vt:lpstr>Parametros</vt:lpstr>
      <vt:lpstr>Tasas</vt:lpstr>
      <vt:lpstr>Simulacion</vt:lpstr>
      <vt:lpstr>Flujo_Mejor</vt:lpstr>
      <vt:lpstr>Ahorro</vt:lpstr>
      <vt:lpstr>Referencias</vt:lpstr>
      <vt:lpstr>Fuentes</vt:lpstr>
      <vt:lpstr>BaseDias</vt:lpstr>
      <vt:lpstr>ChequeoPlazo</vt:lpstr>
      <vt:lpstr>CoberturaFogafin</vt:lpstr>
      <vt:lpstr>DiasPeriodo</vt:lpstr>
      <vt:lpstr>DifSistemaMejor</vt:lpstr>
      <vt:lpstr>FechaConsulta</vt:lpstr>
      <vt:lpstr>FechaCorte</vt:lpstr>
      <vt:lpstr>IBR3M</vt:lpstr>
      <vt:lpstr>IPC12m</vt:lpstr>
      <vt:lpstr>MejorEntidad</vt:lpstr>
      <vt:lpstr>MejorInteresNeto</vt:lpstr>
      <vt:lpstr>ModeloOK</vt:lpstr>
      <vt:lpstr>Monto</vt:lpstr>
      <vt:lpstr>NPer</vt:lpstr>
      <vt:lpstr>Periodicidad</vt:lpstr>
      <vt:lpstr>PlazoDias</vt:lpstr>
      <vt:lpstr>PromedioSistema</vt:lpstr>
      <vt:lpstr>RentNetaMejor</vt:lpstr>
      <vt:lpstr>RentRealMejor</vt:lpstr>
      <vt:lpstr>Retencion</vt:lpstr>
      <vt:lpstr>SumXfd</vt:lpstr>
      <vt:lpstr>TasaMejor</vt:lpstr>
      <vt:lpstr>TasaPerMejor</vt:lpstr>
      <vt:lpstr>TIREA</vt:lpstr>
      <vt:lpstr>TIRPer</vt:lpstr>
      <vt:lpstr>TPM</vt:lpstr>
      <vt:lpstr>ValidaTIR</vt:lpstr>
      <vt:lpstr>ValidaXfd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PEÑARANDA PEREZ</cp:lastModifiedBy>
  <dcterms:created xsi:type="dcterms:W3CDTF">2026-09-30T04:16:59Z</dcterms:created>
  <dcterms:modified xsi:type="dcterms:W3CDTF">2026-09-30T04:17:04Z</dcterms:modified>
</cp:coreProperties>
</file>