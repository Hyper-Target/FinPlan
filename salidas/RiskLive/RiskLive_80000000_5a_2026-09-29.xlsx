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s D Peñaranda\Documents\Maestria-Finanzas-Uninorte\Planeación Financiera\salidas\RiskLive\"/>
    </mc:Choice>
  </mc:AlternateContent>
  <xr:revisionPtr revIDLastSave="0" documentId="13_ncr:1_{3B24CB7E-95C1-4F98-91CF-E97A7086E1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" sheetId="1" r:id="rId1"/>
    <sheet name="Controles" sheetId="2" r:id="rId2"/>
    <sheet name="Parametros" sheetId="3" r:id="rId3"/>
    <sheet name="Supuestos_EnVivo" sheetId="4" r:id="rId4"/>
    <sheet name="Calibracion" sheetId="5" r:id="rId5"/>
    <sheet name="Modelo_Base" sheetId="6" r:id="rId6"/>
    <sheet name="Simulacion" sheetId="7" r:id="rId7"/>
    <sheet name="Resultados" sheetId="8" r:id="rId8"/>
    <sheet name="Percentiles_Mes" sheetId="9" r:id="rId9"/>
    <sheet name="Fuentes" sheetId="10" r:id="rId10"/>
  </sheets>
  <definedNames>
    <definedName name="AhorroInicial">Parametros!$C$5</definedName>
    <definedName name="AhorroInicialCorrida">Resultados!$C$22</definedName>
    <definedName name="Aporte80">Resultados!$C$19</definedName>
    <definedName name="AporteMensual">Parametros!$C$6</definedName>
    <definedName name="AporteMensualCorrida">Resultados!$C$23</definedName>
    <definedName name="AportesRealesMedios">Resultados!$C$13</definedName>
    <definedName name="Asset">Modelo_Base!$G$8</definedName>
    <definedName name="CDTa">Calibracion!$C$12</definedName>
    <definedName name="CDTb">Calibracion!$C$13</definedName>
    <definedName name="CDTsigma">Calibracion!$C$14</definedName>
    <definedName name="CDTspread">Calibracion!$C$10</definedName>
    <definedName name="CDTx0">Calibracion!$C$9</definedName>
    <definedName name="CDTy0">Calibracion!$C$11</definedName>
    <definedName name="CorrPSD">Calibracion!$C$35</definedName>
    <definedName name="CrecimientoAporte">Parametros!$C$15</definedName>
    <definedName name="CrecimientoCorrida">Resultados!$C$30</definedName>
    <definedName name="CVaR95">Resultados!$C$15</definedName>
    <definedName name="DDMediana">Resultados!$C$17</definedName>
    <definedName name="DDP95">Resultados!$C$18</definedName>
    <definedName name="DfT">Calibracion!$C$20</definedName>
    <definedName name="Disbursement">Modelo_Base!$G$18</definedName>
    <definedName name="Distribucion">Parametros!$C$21</definedName>
    <definedName name="Downpayment">Modelo_Base!$G$10</definedName>
    <definedName name="DownpaymentP">Modelo_Base!$G$9</definedName>
    <definedName name="EAR">Modelo_Base!$G$15</definedName>
    <definedName name="FechaConsulta">Parametros!$C$24</definedName>
    <definedName name="FechaDatos">Parametros!$C$23</definedName>
    <definedName name="FechaInicio">Parametros!$C$17</definedName>
    <definedName name="FinalNominal">Modelo_Base!$N$7</definedName>
    <definedName name="FinalReal">Modelo_Base!$N$8</definedName>
    <definedName name="Freq">Modelo_Base!$G$13</definedName>
    <definedName name="HorizonteAnios">Parametros!$C$7</definedName>
    <definedName name="HorizonteMeses">Parametros!$C$8</definedName>
    <definedName name="HorizonteMesesCorrida">Resultados!$C$24</definedName>
    <definedName name="INFa">Calibracion!$C$16</definedName>
    <definedName name="INFb">Calibracion!$C$17</definedName>
    <definedName name="INFpi0">Calibracion!$C$15</definedName>
    <definedName name="INFsigma">Calibracion!$C$18</definedName>
    <definedName name="Installment">Modelo_Base!$G$20</definedName>
    <definedName name="LastBalance">Modelo_Base!$N$9</definedName>
    <definedName name="m">Modelo_Base!$G$14</definedName>
    <definedName name="MedianaMuestra">Simulacion!$B$6</definedName>
    <definedName name="MedianaNominal">Resultados!$C$12</definedName>
    <definedName name="MedianaReal">Resultados!$C$8</definedName>
    <definedName name="MediaReal">Resultados!$C$11</definedName>
    <definedName name="Meta">Parametros!$C$9</definedName>
    <definedName name="MetaCorrida">Resultados!$C$25</definedName>
    <definedName name="ModeloOK">Controles!$C$19</definedName>
    <definedName name="MuCOLCAP">Calibracion!$C$5</definedName>
    <definedName name="MuTRM">Calibracion!$C$7</definedName>
    <definedName name="nInstallments">Modelo_Base!$G$19</definedName>
    <definedName name="NObsMin">Calibracion!$C$19</definedName>
    <definedName name="NOM">Modelo_Base!$G$16</definedName>
    <definedName name="NSim">Parametros!$C$19</definedName>
    <definedName name="P25Real">Resultados!$C$7</definedName>
    <definedName name="P5Muestra">Simulacion!$B$7</definedName>
    <definedName name="P5Real">Resultados!$C$6</definedName>
    <definedName name="P75Real">Resultados!$C$9</definedName>
    <definedName name="P95Real">Resultados!$C$10</definedName>
    <definedName name="PerRate">Modelo_Base!$G$17</definedName>
    <definedName name="PesoCDT">Parametros!$C$10</definedName>
    <definedName name="PesoCDTCorrida">Resultados!$C$26</definedName>
    <definedName name="PesoCOLCAP">Parametros!$C$11</definedName>
    <definedName name="PesoCOLCAPCorrida">Resultados!$C$27</definedName>
    <definedName name="PesoUSD">Parametros!$C$12</definedName>
    <definedName name="PesoUSDCorrida">Resultados!$C$28</definedName>
    <definedName name="PMeta">Resultados!$C$5</definedName>
    <definedName name="PMetaMuestra">Simulacion!$B$5</definedName>
    <definedName name="PPerdidaReal">Resultados!$C$16</definedName>
    <definedName name="Principal">Modelo_Base!$G$11</definedName>
    <definedName name="Rebalanceo">Parametros!$C$14</definedName>
    <definedName name="RebalanceoCorrida">Resultados!$C$29</definedName>
    <definedName name="Retencion">Parametros!$C$16</definedName>
    <definedName name="RetencionCorrida">Resultados!$C$31</definedName>
    <definedName name="Seed">Parametros!$C$20</definedName>
    <definedName name="SigmaCOLCAP">Calibracion!$C$6</definedName>
    <definedName name="SigmaTRM">Calibracion!$C$8</definedName>
    <definedName name="SumaPesos">Parametros!$C$13</definedName>
    <definedName name="SumXfd">Modelo_Base!$N$10</definedName>
    <definedName name="Term">Modelo_Base!$G$12</definedName>
    <definedName name="TotalAportado">Modelo_Base!$N$11</definedName>
    <definedName name="VaR95">Resultados!$C$14</definedName>
    <definedName name="VentanaAnios">Parametros!$C$22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9" l="1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F1008" i="7"/>
  <c r="E1008" i="7"/>
  <c r="F1007" i="7"/>
  <c r="E1007" i="7"/>
  <c r="F1006" i="7"/>
  <c r="E1006" i="7"/>
  <c r="F1005" i="7"/>
  <c r="E1005" i="7"/>
  <c r="F1004" i="7"/>
  <c r="E1004" i="7"/>
  <c r="F1003" i="7"/>
  <c r="E1003" i="7"/>
  <c r="F1002" i="7"/>
  <c r="E1002" i="7"/>
  <c r="F1001" i="7"/>
  <c r="E1001" i="7"/>
  <c r="F1000" i="7"/>
  <c r="E1000" i="7"/>
  <c r="F999" i="7"/>
  <c r="E999" i="7"/>
  <c r="F998" i="7"/>
  <c r="E998" i="7"/>
  <c r="F997" i="7"/>
  <c r="E997" i="7"/>
  <c r="F996" i="7"/>
  <c r="E996" i="7"/>
  <c r="F995" i="7"/>
  <c r="E995" i="7"/>
  <c r="F994" i="7"/>
  <c r="E994" i="7"/>
  <c r="F993" i="7"/>
  <c r="E993" i="7"/>
  <c r="F992" i="7"/>
  <c r="E992" i="7"/>
  <c r="F991" i="7"/>
  <c r="E991" i="7"/>
  <c r="F990" i="7"/>
  <c r="E990" i="7"/>
  <c r="F989" i="7"/>
  <c r="E989" i="7"/>
  <c r="F988" i="7"/>
  <c r="E988" i="7"/>
  <c r="F987" i="7"/>
  <c r="E987" i="7"/>
  <c r="F986" i="7"/>
  <c r="E986" i="7"/>
  <c r="F985" i="7"/>
  <c r="E985" i="7"/>
  <c r="F984" i="7"/>
  <c r="E984" i="7"/>
  <c r="F983" i="7"/>
  <c r="E983" i="7"/>
  <c r="F982" i="7"/>
  <c r="E982" i="7"/>
  <c r="F981" i="7"/>
  <c r="E981" i="7"/>
  <c r="F980" i="7"/>
  <c r="E980" i="7"/>
  <c r="F979" i="7"/>
  <c r="E979" i="7"/>
  <c r="F978" i="7"/>
  <c r="E978" i="7"/>
  <c r="F977" i="7"/>
  <c r="E977" i="7"/>
  <c r="F976" i="7"/>
  <c r="E976" i="7"/>
  <c r="F975" i="7"/>
  <c r="E975" i="7"/>
  <c r="F974" i="7"/>
  <c r="E974" i="7"/>
  <c r="F973" i="7"/>
  <c r="E973" i="7"/>
  <c r="F972" i="7"/>
  <c r="E972" i="7"/>
  <c r="F971" i="7"/>
  <c r="E971" i="7"/>
  <c r="F970" i="7"/>
  <c r="E970" i="7"/>
  <c r="F969" i="7"/>
  <c r="E969" i="7"/>
  <c r="F968" i="7"/>
  <c r="E968" i="7"/>
  <c r="F967" i="7"/>
  <c r="E967" i="7"/>
  <c r="F966" i="7"/>
  <c r="E966" i="7"/>
  <c r="F965" i="7"/>
  <c r="E965" i="7"/>
  <c r="F964" i="7"/>
  <c r="E964" i="7"/>
  <c r="F963" i="7"/>
  <c r="E963" i="7"/>
  <c r="F962" i="7"/>
  <c r="E962" i="7"/>
  <c r="F961" i="7"/>
  <c r="E961" i="7"/>
  <c r="F960" i="7"/>
  <c r="E960" i="7"/>
  <c r="F959" i="7"/>
  <c r="E959" i="7"/>
  <c r="F958" i="7"/>
  <c r="E958" i="7"/>
  <c r="F957" i="7"/>
  <c r="E957" i="7"/>
  <c r="F956" i="7"/>
  <c r="E956" i="7"/>
  <c r="F955" i="7"/>
  <c r="E955" i="7"/>
  <c r="F954" i="7"/>
  <c r="E954" i="7"/>
  <c r="F953" i="7"/>
  <c r="E953" i="7"/>
  <c r="F952" i="7"/>
  <c r="E952" i="7"/>
  <c r="F951" i="7"/>
  <c r="E951" i="7"/>
  <c r="F950" i="7"/>
  <c r="E950" i="7"/>
  <c r="F949" i="7"/>
  <c r="E949" i="7"/>
  <c r="F948" i="7"/>
  <c r="E948" i="7"/>
  <c r="F947" i="7"/>
  <c r="E947" i="7"/>
  <c r="F946" i="7"/>
  <c r="E946" i="7"/>
  <c r="F945" i="7"/>
  <c r="E945" i="7"/>
  <c r="F944" i="7"/>
  <c r="E944" i="7"/>
  <c r="F943" i="7"/>
  <c r="E943" i="7"/>
  <c r="F942" i="7"/>
  <c r="E942" i="7"/>
  <c r="F941" i="7"/>
  <c r="E941" i="7"/>
  <c r="F940" i="7"/>
  <c r="E940" i="7"/>
  <c r="F939" i="7"/>
  <c r="E939" i="7"/>
  <c r="F938" i="7"/>
  <c r="E938" i="7"/>
  <c r="F937" i="7"/>
  <c r="E937" i="7"/>
  <c r="F936" i="7"/>
  <c r="E936" i="7"/>
  <c r="F935" i="7"/>
  <c r="E935" i="7"/>
  <c r="F934" i="7"/>
  <c r="E934" i="7"/>
  <c r="F933" i="7"/>
  <c r="E933" i="7"/>
  <c r="F932" i="7"/>
  <c r="E932" i="7"/>
  <c r="F931" i="7"/>
  <c r="E931" i="7"/>
  <c r="F930" i="7"/>
  <c r="E930" i="7"/>
  <c r="F929" i="7"/>
  <c r="E929" i="7"/>
  <c r="F928" i="7"/>
  <c r="E928" i="7"/>
  <c r="F927" i="7"/>
  <c r="E927" i="7"/>
  <c r="F926" i="7"/>
  <c r="E926" i="7"/>
  <c r="F925" i="7"/>
  <c r="E925" i="7"/>
  <c r="F924" i="7"/>
  <c r="E924" i="7"/>
  <c r="F923" i="7"/>
  <c r="E923" i="7"/>
  <c r="F922" i="7"/>
  <c r="E922" i="7"/>
  <c r="F921" i="7"/>
  <c r="E921" i="7"/>
  <c r="F920" i="7"/>
  <c r="E920" i="7"/>
  <c r="F919" i="7"/>
  <c r="E919" i="7"/>
  <c r="F918" i="7"/>
  <c r="E918" i="7"/>
  <c r="F917" i="7"/>
  <c r="E917" i="7"/>
  <c r="F916" i="7"/>
  <c r="E916" i="7"/>
  <c r="F915" i="7"/>
  <c r="E915" i="7"/>
  <c r="F914" i="7"/>
  <c r="E914" i="7"/>
  <c r="F913" i="7"/>
  <c r="E913" i="7"/>
  <c r="F912" i="7"/>
  <c r="E912" i="7"/>
  <c r="F911" i="7"/>
  <c r="E911" i="7"/>
  <c r="F910" i="7"/>
  <c r="E910" i="7"/>
  <c r="F909" i="7"/>
  <c r="E909" i="7"/>
  <c r="F908" i="7"/>
  <c r="E908" i="7"/>
  <c r="F907" i="7"/>
  <c r="E907" i="7"/>
  <c r="F906" i="7"/>
  <c r="E906" i="7"/>
  <c r="F905" i="7"/>
  <c r="E905" i="7"/>
  <c r="F904" i="7"/>
  <c r="E904" i="7"/>
  <c r="F903" i="7"/>
  <c r="E903" i="7"/>
  <c r="F902" i="7"/>
  <c r="E902" i="7"/>
  <c r="F901" i="7"/>
  <c r="E901" i="7"/>
  <c r="F900" i="7"/>
  <c r="E900" i="7"/>
  <c r="F899" i="7"/>
  <c r="E899" i="7"/>
  <c r="F898" i="7"/>
  <c r="E898" i="7"/>
  <c r="F897" i="7"/>
  <c r="E897" i="7"/>
  <c r="F896" i="7"/>
  <c r="E896" i="7"/>
  <c r="F895" i="7"/>
  <c r="E895" i="7"/>
  <c r="F894" i="7"/>
  <c r="E894" i="7"/>
  <c r="F893" i="7"/>
  <c r="E893" i="7"/>
  <c r="F892" i="7"/>
  <c r="E892" i="7"/>
  <c r="F891" i="7"/>
  <c r="E891" i="7"/>
  <c r="F890" i="7"/>
  <c r="E890" i="7"/>
  <c r="F889" i="7"/>
  <c r="E889" i="7"/>
  <c r="F888" i="7"/>
  <c r="E888" i="7"/>
  <c r="F887" i="7"/>
  <c r="E887" i="7"/>
  <c r="F886" i="7"/>
  <c r="E886" i="7"/>
  <c r="F885" i="7"/>
  <c r="E885" i="7"/>
  <c r="F884" i="7"/>
  <c r="E884" i="7"/>
  <c r="F883" i="7"/>
  <c r="E883" i="7"/>
  <c r="F882" i="7"/>
  <c r="E882" i="7"/>
  <c r="F881" i="7"/>
  <c r="E881" i="7"/>
  <c r="F880" i="7"/>
  <c r="E880" i="7"/>
  <c r="F879" i="7"/>
  <c r="E879" i="7"/>
  <c r="F878" i="7"/>
  <c r="E878" i="7"/>
  <c r="F877" i="7"/>
  <c r="E877" i="7"/>
  <c r="F876" i="7"/>
  <c r="E876" i="7"/>
  <c r="F875" i="7"/>
  <c r="E875" i="7"/>
  <c r="F874" i="7"/>
  <c r="E874" i="7"/>
  <c r="F873" i="7"/>
  <c r="E873" i="7"/>
  <c r="F872" i="7"/>
  <c r="E872" i="7"/>
  <c r="F871" i="7"/>
  <c r="E871" i="7"/>
  <c r="F870" i="7"/>
  <c r="E870" i="7"/>
  <c r="F869" i="7"/>
  <c r="E869" i="7"/>
  <c r="F868" i="7"/>
  <c r="E868" i="7"/>
  <c r="F867" i="7"/>
  <c r="E867" i="7"/>
  <c r="F866" i="7"/>
  <c r="E866" i="7"/>
  <c r="F865" i="7"/>
  <c r="E865" i="7"/>
  <c r="F864" i="7"/>
  <c r="E864" i="7"/>
  <c r="F863" i="7"/>
  <c r="E863" i="7"/>
  <c r="F862" i="7"/>
  <c r="E862" i="7"/>
  <c r="F861" i="7"/>
  <c r="E861" i="7"/>
  <c r="F860" i="7"/>
  <c r="E860" i="7"/>
  <c r="F859" i="7"/>
  <c r="E859" i="7"/>
  <c r="F858" i="7"/>
  <c r="E858" i="7"/>
  <c r="F857" i="7"/>
  <c r="E857" i="7"/>
  <c r="F856" i="7"/>
  <c r="E856" i="7"/>
  <c r="F855" i="7"/>
  <c r="E855" i="7"/>
  <c r="F854" i="7"/>
  <c r="E854" i="7"/>
  <c r="F853" i="7"/>
  <c r="E853" i="7"/>
  <c r="F852" i="7"/>
  <c r="E852" i="7"/>
  <c r="F851" i="7"/>
  <c r="E851" i="7"/>
  <c r="F850" i="7"/>
  <c r="E850" i="7"/>
  <c r="F849" i="7"/>
  <c r="E849" i="7"/>
  <c r="F848" i="7"/>
  <c r="E848" i="7"/>
  <c r="F847" i="7"/>
  <c r="E847" i="7"/>
  <c r="F846" i="7"/>
  <c r="E846" i="7"/>
  <c r="F845" i="7"/>
  <c r="E845" i="7"/>
  <c r="F844" i="7"/>
  <c r="E844" i="7"/>
  <c r="F843" i="7"/>
  <c r="E843" i="7"/>
  <c r="F842" i="7"/>
  <c r="E842" i="7"/>
  <c r="F841" i="7"/>
  <c r="E841" i="7"/>
  <c r="F840" i="7"/>
  <c r="E840" i="7"/>
  <c r="F839" i="7"/>
  <c r="E839" i="7"/>
  <c r="F838" i="7"/>
  <c r="E838" i="7"/>
  <c r="F837" i="7"/>
  <c r="E837" i="7"/>
  <c r="F836" i="7"/>
  <c r="E836" i="7"/>
  <c r="F835" i="7"/>
  <c r="E835" i="7"/>
  <c r="F834" i="7"/>
  <c r="E834" i="7"/>
  <c r="F833" i="7"/>
  <c r="E833" i="7"/>
  <c r="F832" i="7"/>
  <c r="E832" i="7"/>
  <c r="F831" i="7"/>
  <c r="E831" i="7"/>
  <c r="F830" i="7"/>
  <c r="E830" i="7"/>
  <c r="F829" i="7"/>
  <c r="E829" i="7"/>
  <c r="F828" i="7"/>
  <c r="E828" i="7"/>
  <c r="F827" i="7"/>
  <c r="E827" i="7"/>
  <c r="F826" i="7"/>
  <c r="E826" i="7"/>
  <c r="F825" i="7"/>
  <c r="E825" i="7"/>
  <c r="F824" i="7"/>
  <c r="E824" i="7"/>
  <c r="F823" i="7"/>
  <c r="E823" i="7"/>
  <c r="F822" i="7"/>
  <c r="E822" i="7"/>
  <c r="F821" i="7"/>
  <c r="E821" i="7"/>
  <c r="F820" i="7"/>
  <c r="E820" i="7"/>
  <c r="F819" i="7"/>
  <c r="E819" i="7"/>
  <c r="F818" i="7"/>
  <c r="E818" i="7"/>
  <c r="F817" i="7"/>
  <c r="E817" i="7"/>
  <c r="F816" i="7"/>
  <c r="E816" i="7"/>
  <c r="F815" i="7"/>
  <c r="E815" i="7"/>
  <c r="F814" i="7"/>
  <c r="E814" i="7"/>
  <c r="F813" i="7"/>
  <c r="E813" i="7"/>
  <c r="F812" i="7"/>
  <c r="E812" i="7"/>
  <c r="F811" i="7"/>
  <c r="E811" i="7"/>
  <c r="F810" i="7"/>
  <c r="E810" i="7"/>
  <c r="F809" i="7"/>
  <c r="E809" i="7"/>
  <c r="F808" i="7"/>
  <c r="E808" i="7"/>
  <c r="F807" i="7"/>
  <c r="E807" i="7"/>
  <c r="F806" i="7"/>
  <c r="E806" i="7"/>
  <c r="F805" i="7"/>
  <c r="E805" i="7"/>
  <c r="F804" i="7"/>
  <c r="E804" i="7"/>
  <c r="F803" i="7"/>
  <c r="E803" i="7"/>
  <c r="F802" i="7"/>
  <c r="E802" i="7"/>
  <c r="F801" i="7"/>
  <c r="E801" i="7"/>
  <c r="F800" i="7"/>
  <c r="E800" i="7"/>
  <c r="F799" i="7"/>
  <c r="E799" i="7"/>
  <c r="F798" i="7"/>
  <c r="E798" i="7"/>
  <c r="F797" i="7"/>
  <c r="E797" i="7"/>
  <c r="F796" i="7"/>
  <c r="E796" i="7"/>
  <c r="F795" i="7"/>
  <c r="E795" i="7"/>
  <c r="F794" i="7"/>
  <c r="E794" i="7"/>
  <c r="F793" i="7"/>
  <c r="E793" i="7"/>
  <c r="F792" i="7"/>
  <c r="E792" i="7"/>
  <c r="F791" i="7"/>
  <c r="E791" i="7"/>
  <c r="F790" i="7"/>
  <c r="E790" i="7"/>
  <c r="F789" i="7"/>
  <c r="E789" i="7"/>
  <c r="F788" i="7"/>
  <c r="E788" i="7"/>
  <c r="F787" i="7"/>
  <c r="E787" i="7"/>
  <c r="F786" i="7"/>
  <c r="E786" i="7"/>
  <c r="F785" i="7"/>
  <c r="E785" i="7"/>
  <c r="F784" i="7"/>
  <c r="E784" i="7"/>
  <c r="F783" i="7"/>
  <c r="E783" i="7"/>
  <c r="F782" i="7"/>
  <c r="E782" i="7"/>
  <c r="F781" i="7"/>
  <c r="E781" i="7"/>
  <c r="F780" i="7"/>
  <c r="E780" i="7"/>
  <c r="F779" i="7"/>
  <c r="E779" i="7"/>
  <c r="F778" i="7"/>
  <c r="E778" i="7"/>
  <c r="F777" i="7"/>
  <c r="E777" i="7"/>
  <c r="F776" i="7"/>
  <c r="E776" i="7"/>
  <c r="F775" i="7"/>
  <c r="E775" i="7"/>
  <c r="F774" i="7"/>
  <c r="E774" i="7"/>
  <c r="F773" i="7"/>
  <c r="E773" i="7"/>
  <c r="F772" i="7"/>
  <c r="E772" i="7"/>
  <c r="F771" i="7"/>
  <c r="E771" i="7"/>
  <c r="F770" i="7"/>
  <c r="E770" i="7"/>
  <c r="F769" i="7"/>
  <c r="E769" i="7"/>
  <c r="F768" i="7"/>
  <c r="E768" i="7"/>
  <c r="F767" i="7"/>
  <c r="E767" i="7"/>
  <c r="F766" i="7"/>
  <c r="E766" i="7"/>
  <c r="F765" i="7"/>
  <c r="E765" i="7"/>
  <c r="F764" i="7"/>
  <c r="E764" i="7"/>
  <c r="F763" i="7"/>
  <c r="E763" i="7"/>
  <c r="F762" i="7"/>
  <c r="E762" i="7"/>
  <c r="F761" i="7"/>
  <c r="E761" i="7"/>
  <c r="F760" i="7"/>
  <c r="E760" i="7"/>
  <c r="F759" i="7"/>
  <c r="E759" i="7"/>
  <c r="F758" i="7"/>
  <c r="E758" i="7"/>
  <c r="F757" i="7"/>
  <c r="E757" i="7"/>
  <c r="F756" i="7"/>
  <c r="E756" i="7"/>
  <c r="F755" i="7"/>
  <c r="E755" i="7"/>
  <c r="F754" i="7"/>
  <c r="E754" i="7"/>
  <c r="F753" i="7"/>
  <c r="E753" i="7"/>
  <c r="F752" i="7"/>
  <c r="E752" i="7"/>
  <c r="F751" i="7"/>
  <c r="E751" i="7"/>
  <c r="F750" i="7"/>
  <c r="E750" i="7"/>
  <c r="F749" i="7"/>
  <c r="E749" i="7"/>
  <c r="F748" i="7"/>
  <c r="E748" i="7"/>
  <c r="F747" i="7"/>
  <c r="E747" i="7"/>
  <c r="F746" i="7"/>
  <c r="E746" i="7"/>
  <c r="F745" i="7"/>
  <c r="E745" i="7"/>
  <c r="F744" i="7"/>
  <c r="E744" i="7"/>
  <c r="F743" i="7"/>
  <c r="E743" i="7"/>
  <c r="F742" i="7"/>
  <c r="E742" i="7"/>
  <c r="F741" i="7"/>
  <c r="E741" i="7"/>
  <c r="F740" i="7"/>
  <c r="E740" i="7"/>
  <c r="F739" i="7"/>
  <c r="E739" i="7"/>
  <c r="F738" i="7"/>
  <c r="E738" i="7"/>
  <c r="F737" i="7"/>
  <c r="E737" i="7"/>
  <c r="F736" i="7"/>
  <c r="E736" i="7"/>
  <c r="F735" i="7"/>
  <c r="E735" i="7"/>
  <c r="F734" i="7"/>
  <c r="E734" i="7"/>
  <c r="F733" i="7"/>
  <c r="E733" i="7"/>
  <c r="F732" i="7"/>
  <c r="E732" i="7"/>
  <c r="F731" i="7"/>
  <c r="E731" i="7"/>
  <c r="F730" i="7"/>
  <c r="E730" i="7"/>
  <c r="F729" i="7"/>
  <c r="E729" i="7"/>
  <c r="F728" i="7"/>
  <c r="E728" i="7"/>
  <c r="F727" i="7"/>
  <c r="E727" i="7"/>
  <c r="F726" i="7"/>
  <c r="E726" i="7"/>
  <c r="F725" i="7"/>
  <c r="E725" i="7"/>
  <c r="F724" i="7"/>
  <c r="E724" i="7"/>
  <c r="F723" i="7"/>
  <c r="E723" i="7"/>
  <c r="F722" i="7"/>
  <c r="E722" i="7"/>
  <c r="F721" i="7"/>
  <c r="E721" i="7"/>
  <c r="F720" i="7"/>
  <c r="E720" i="7"/>
  <c r="F719" i="7"/>
  <c r="E719" i="7"/>
  <c r="F718" i="7"/>
  <c r="E718" i="7"/>
  <c r="F717" i="7"/>
  <c r="E717" i="7"/>
  <c r="F716" i="7"/>
  <c r="E716" i="7"/>
  <c r="F715" i="7"/>
  <c r="E715" i="7"/>
  <c r="F714" i="7"/>
  <c r="E714" i="7"/>
  <c r="F713" i="7"/>
  <c r="E713" i="7"/>
  <c r="F712" i="7"/>
  <c r="E712" i="7"/>
  <c r="F711" i="7"/>
  <c r="E711" i="7"/>
  <c r="F710" i="7"/>
  <c r="E710" i="7"/>
  <c r="F709" i="7"/>
  <c r="E709" i="7"/>
  <c r="F708" i="7"/>
  <c r="E708" i="7"/>
  <c r="F707" i="7"/>
  <c r="E707" i="7"/>
  <c r="F706" i="7"/>
  <c r="E706" i="7"/>
  <c r="F705" i="7"/>
  <c r="E705" i="7"/>
  <c r="F704" i="7"/>
  <c r="E704" i="7"/>
  <c r="F703" i="7"/>
  <c r="E703" i="7"/>
  <c r="F702" i="7"/>
  <c r="E702" i="7"/>
  <c r="F701" i="7"/>
  <c r="E701" i="7"/>
  <c r="F700" i="7"/>
  <c r="E700" i="7"/>
  <c r="F699" i="7"/>
  <c r="E699" i="7"/>
  <c r="F698" i="7"/>
  <c r="E698" i="7"/>
  <c r="F697" i="7"/>
  <c r="E697" i="7"/>
  <c r="F696" i="7"/>
  <c r="E696" i="7"/>
  <c r="F695" i="7"/>
  <c r="E695" i="7"/>
  <c r="F694" i="7"/>
  <c r="E694" i="7"/>
  <c r="F693" i="7"/>
  <c r="E693" i="7"/>
  <c r="F692" i="7"/>
  <c r="E692" i="7"/>
  <c r="F691" i="7"/>
  <c r="E691" i="7"/>
  <c r="F690" i="7"/>
  <c r="E690" i="7"/>
  <c r="F689" i="7"/>
  <c r="E689" i="7"/>
  <c r="F688" i="7"/>
  <c r="E688" i="7"/>
  <c r="F687" i="7"/>
  <c r="E687" i="7"/>
  <c r="F686" i="7"/>
  <c r="E686" i="7"/>
  <c r="F685" i="7"/>
  <c r="E685" i="7"/>
  <c r="F684" i="7"/>
  <c r="E684" i="7"/>
  <c r="F683" i="7"/>
  <c r="E683" i="7"/>
  <c r="F682" i="7"/>
  <c r="E682" i="7"/>
  <c r="F681" i="7"/>
  <c r="E681" i="7"/>
  <c r="F680" i="7"/>
  <c r="E680" i="7"/>
  <c r="F679" i="7"/>
  <c r="E679" i="7"/>
  <c r="F678" i="7"/>
  <c r="E678" i="7"/>
  <c r="F677" i="7"/>
  <c r="E677" i="7"/>
  <c r="F676" i="7"/>
  <c r="E676" i="7"/>
  <c r="F675" i="7"/>
  <c r="E675" i="7"/>
  <c r="F674" i="7"/>
  <c r="E674" i="7"/>
  <c r="F673" i="7"/>
  <c r="E673" i="7"/>
  <c r="F672" i="7"/>
  <c r="E672" i="7"/>
  <c r="F671" i="7"/>
  <c r="E671" i="7"/>
  <c r="F670" i="7"/>
  <c r="E670" i="7"/>
  <c r="F669" i="7"/>
  <c r="E669" i="7"/>
  <c r="F668" i="7"/>
  <c r="E668" i="7"/>
  <c r="F667" i="7"/>
  <c r="E667" i="7"/>
  <c r="F666" i="7"/>
  <c r="E666" i="7"/>
  <c r="F665" i="7"/>
  <c r="E665" i="7"/>
  <c r="F664" i="7"/>
  <c r="E664" i="7"/>
  <c r="F663" i="7"/>
  <c r="E663" i="7"/>
  <c r="F662" i="7"/>
  <c r="E662" i="7"/>
  <c r="F661" i="7"/>
  <c r="E661" i="7"/>
  <c r="F660" i="7"/>
  <c r="E660" i="7"/>
  <c r="F659" i="7"/>
  <c r="E659" i="7"/>
  <c r="F658" i="7"/>
  <c r="E658" i="7"/>
  <c r="F657" i="7"/>
  <c r="E657" i="7"/>
  <c r="F656" i="7"/>
  <c r="E656" i="7"/>
  <c r="F655" i="7"/>
  <c r="E655" i="7"/>
  <c r="F654" i="7"/>
  <c r="E654" i="7"/>
  <c r="F653" i="7"/>
  <c r="E653" i="7"/>
  <c r="F652" i="7"/>
  <c r="E652" i="7"/>
  <c r="F651" i="7"/>
  <c r="E651" i="7"/>
  <c r="F650" i="7"/>
  <c r="E650" i="7"/>
  <c r="F649" i="7"/>
  <c r="E649" i="7"/>
  <c r="F648" i="7"/>
  <c r="E648" i="7"/>
  <c r="F647" i="7"/>
  <c r="E647" i="7"/>
  <c r="F646" i="7"/>
  <c r="E646" i="7"/>
  <c r="F645" i="7"/>
  <c r="E645" i="7"/>
  <c r="F644" i="7"/>
  <c r="E644" i="7"/>
  <c r="F643" i="7"/>
  <c r="E643" i="7"/>
  <c r="F642" i="7"/>
  <c r="E642" i="7"/>
  <c r="F641" i="7"/>
  <c r="E641" i="7"/>
  <c r="F640" i="7"/>
  <c r="E640" i="7"/>
  <c r="F639" i="7"/>
  <c r="E639" i="7"/>
  <c r="F638" i="7"/>
  <c r="E638" i="7"/>
  <c r="F637" i="7"/>
  <c r="E637" i="7"/>
  <c r="F636" i="7"/>
  <c r="E636" i="7"/>
  <c r="F635" i="7"/>
  <c r="E635" i="7"/>
  <c r="F634" i="7"/>
  <c r="E634" i="7"/>
  <c r="F633" i="7"/>
  <c r="E633" i="7"/>
  <c r="F632" i="7"/>
  <c r="E632" i="7"/>
  <c r="F631" i="7"/>
  <c r="E631" i="7"/>
  <c r="F630" i="7"/>
  <c r="E630" i="7"/>
  <c r="F629" i="7"/>
  <c r="E629" i="7"/>
  <c r="F628" i="7"/>
  <c r="E628" i="7"/>
  <c r="F627" i="7"/>
  <c r="E627" i="7"/>
  <c r="F626" i="7"/>
  <c r="E626" i="7"/>
  <c r="F625" i="7"/>
  <c r="E625" i="7"/>
  <c r="F624" i="7"/>
  <c r="E624" i="7"/>
  <c r="F623" i="7"/>
  <c r="E623" i="7"/>
  <c r="F622" i="7"/>
  <c r="E622" i="7"/>
  <c r="F621" i="7"/>
  <c r="E621" i="7"/>
  <c r="F620" i="7"/>
  <c r="E620" i="7"/>
  <c r="F619" i="7"/>
  <c r="E619" i="7"/>
  <c r="F618" i="7"/>
  <c r="E618" i="7"/>
  <c r="F617" i="7"/>
  <c r="E617" i="7"/>
  <c r="F616" i="7"/>
  <c r="E616" i="7"/>
  <c r="F615" i="7"/>
  <c r="E615" i="7"/>
  <c r="F614" i="7"/>
  <c r="E614" i="7"/>
  <c r="F613" i="7"/>
  <c r="E613" i="7"/>
  <c r="F612" i="7"/>
  <c r="E612" i="7"/>
  <c r="F611" i="7"/>
  <c r="E611" i="7"/>
  <c r="F610" i="7"/>
  <c r="E610" i="7"/>
  <c r="F609" i="7"/>
  <c r="E609" i="7"/>
  <c r="F608" i="7"/>
  <c r="E608" i="7"/>
  <c r="F607" i="7"/>
  <c r="E607" i="7"/>
  <c r="F606" i="7"/>
  <c r="E606" i="7"/>
  <c r="F605" i="7"/>
  <c r="E605" i="7"/>
  <c r="F604" i="7"/>
  <c r="E604" i="7"/>
  <c r="F603" i="7"/>
  <c r="E603" i="7"/>
  <c r="F602" i="7"/>
  <c r="E602" i="7"/>
  <c r="F601" i="7"/>
  <c r="E601" i="7"/>
  <c r="F600" i="7"/>
  <c r="E600" i="7"/>
  <c r="F599" i="7"/>
  <c r="E599" i="7"/>
  <c r="F598" i="7"/>
  <c r="E598" i="7"/>
  <c r="F597" i="7"/>
  <c r="E597" i="7"/>
  <c r="F596" i="7"/>
  <c r="E596" i="7"/>
  <c r="F595" i="7"/>
  <c r="E595" i="7"/>
  <c r="F594" i="7"/>
  <c r="E594" i="7"/>
  <c r="F593" i="7"/>
  <c r="E593" i="7"/>
  <c r="F592" i="7"/>
  <c r="E592" i="7"/>
  <c r="F591" i="7"/>
  <c r="E591" i="7"/>
  <c r="F590" i="7"/>
  <c r="E590" i="7"/>
  <c r="F589" i="7"/>
  <c r="E589" i="7"/>
  <c r="F588" i="7"/>
  <c r="E588" i="7"/>
  <c r="F587" i="7"/>
  <c r="E587" i="7"/>
  <c r="F586" i="7"/>
  <c r="E586" i="7"/>
  <c r="F585" i="7"/>
  <c r="E585" i="7"/>
  <c r="F584" i="7"/>
  <c r="E584" i="7"/>
  <c r="F583" i="7"/>
  <c r="E583" i="7"/>
  <c r="F582" i="7"/>
  <c r="E582" i="7"/>
  <c r="F581" i="7"/>
  <c r="E581" i="7"/>
  <c r="F580" i="7"/>
  <c r="E580" i="7"/>
  <c r="F579" i="7"/>
  <c r="E579" i="7"/>
  <c r="F578" i="7"/>
  <c r="E578" i="7"/>
  <c r="F577" i="7"/>
  <c r="E577" i="7"/>
  <c r="F576" i="7"/>
  <c r="E576" i="7"/>
  <c r="F575" i="7"/>
  <c r="E575" i="7"/>
  <c r="F574" i="7"/>
  <c r="E574" i="7"/>
  <c r="F573" i="7"/>
  <c r="E573" i="7"/>
  <c r="F572" i="7"/>
  <c r="E572" i="7"/>
  <c r="F571" i="7"/>
  <c r="E571" i="7"/>
  <c r="F570" i="7"/>
  <c r="E570" i="7"/>
  <c r="F569" i="7"/>
  <c r="E569" i="7"/>
  <c r="F568" i="7"/>
  <c r="E568" i="7"/>
  <c r="F567" i="7"/>
  <c r="E567" i="7"/>
  <c r="F566" i="7"/>
  <c r="E566" i="7"/>
  <c r="F565" i="7"/>
  <c r="E565" i="7"/>
  <c r="F564" i="7"/>
  <c r="E564" i="7"/>
  <c r="F563" i="7"/>
  <c r="E563" i="7"/>
  <c r="F562" i="7"/>
  <c r="E562" i="7"/>
  <c r="F561" i="7"/>
  <c r="E561" i="7"/>
  <c r="F560" i="7"/>
  <c r="E560" i="7"/>
  <c r="F559" i="7"/>
  <c r="E559" i="7"/>
  <c r="F558" i="7"/>
  <c r="E558" i="7"/>
  <c r="F557" i="7"/>
  <c r="E557" i="7"/>
  <c r="F556" i="7"/>
  <c r="E556" i="7"/>
  <c r="F555" i="7"/>
  <c r="E555" i="7"/>
  <c r="F554" i="7"/>
  <c r="E554" i="7"/>
  <c r="F553" i="7"/>
  <c r="E553" i="7"/>
  <c r="F552" i="7"/>
  <c r="E552" i="7"/>
  <c r="F551" i="7"/>
  <c r="E551" i="7"/>
  <c r="F550" i="7"/>
  <c r="E550" i="7"/>
  <c r="F549" i="7"/>
  <c r="E549" i="7"/>
  <c r="F548" i="7"/>
  <c r="E548" i="7"/>
  <c r="F547" i="7"/>
  <c r="E547" i="7"/>
  <c r="F546" i="7"/>
  <c r="E546" i="7"/>
  <c r="F545" i="7"/>
  <c r="E545" i="7"/>
  <c r="F544" i="7"/>
  <c r="E544" i="7"/>
  <c r="F543" i="7"/>
  <c r="E543" i="7"/>
  <c r="F542" i="7"/>
  <c r="E542" i="7"/>
  <c r="F541" i="7"/>
  <c r="E541" i="7"/>
  <c r="F540" i="7"/>
  <c r="E540" i="7"/>
  <c r="F539" i="7"/>
  <c r="E539" i="7"/>
  <c r="F538" i="7"/>
  <c r="E538" i="7"/>
  <c r="F537" i="7"/>
  <c r="E537" i="7"/>
  <c r="F536" i="7"/>
  <c r="E536" i="7"/>
  <c r="F535" i="7"/>
  <c r="E535" i="7"/>
  <c r="F534" i="7"/>
  <c r="E534" i="7"/>
  <c r="F533" i="7"/>
  <c r="E533" i="7"/>
  <c r="F532" i="7"/>
  <c r="E532" i="7"/>
  <c r="F531" i="7"/>
  <c r="E531" i="7"/>
  <c r="F530" i="7"/>
  <c r="E530" i="7"/>
  <c r="F529" i="7"/>
  <c r="E529" i="7"/>
  <c r="F528" i="7"/>
  <c r="E528" i="7"/>
  <c r="F527" i="7"/>
  <c r="E527" i="7"/>
  <c r="F526" i="7"/>
  <c r="E526" i="7"/>
  <c r="F525" i="7"/>
  <c r="E525" i="7"/>
  <c r="F524" i="7"/>
  <c r="E524" i="7"/>
  <c r="F523" i="7"/>
  <c r="E523" i="7"/>
  <c r="F522" i="7"/>
  <c r="E522" i="7"/>
  <c r="F521" i="7"/>
  <c r="E521" i="7"/>
  <c r="F520" i="7"/>
  <c r="E520" i="7"/>
  <c r="F519" i="7"/>
  <c r="E519" i="7"/>
  <c r="F518" i="7"/>
  <c r="E518" i="7"/>
  <c r="F517" i="7"/>
  <c r="E517" i="7"/>
  <c r="F516" i="7"/>
  <c r="E516" i="7"/>
  <c r="F515" i="7"/>
  <c r="E515" i="7"/>
  <c r="F514" i="7"/>
  <c r="E514" i="7"/>
  <c r="F513" i="7"/>
  <c r="E513" i="7"/>
  <c r="F512" i="7"/>
  <c r="E512" i="7"/>
  <c r="F511" i="7"/>
  <c r="E511" i="7"/>
  <c r="F510" i="7"/>
  <c r="E510" i="7"/>
  <c r="F509" i="7"/>
  <c r="E509" i="7"/>
  <c r="F508" i="7"/>
  <c r="E508" i="7"/>
  <c r="F507" i="7"/>
  <c r="E507" i="7"/>
  <c r="F506" i="7"/>
  <c r="E506" i="7"/>
  <c r="F505" i="7"/>
  <c r="E505" i="7"/>
  <c r="F504" i="7"/>
  <c r="E504" i="7"/>
  <c r="F503" i="7"/>
  <c r="E503" i="7"/>
  <c r="F502" i="7"/>
  <c r="E502" i="7"/>
  <c r="F501" i="7"/>
  <c r="E501" i="7"/>
  <c r="F500" i="7"/>
  <c r="E500" i="7"/>
  <c r="F499" i="7"/>
  <c r="E499" i="7"/>
  <c r="F498" i="7"/>
  <c r="E498" i="7"/>
  <c r="F497" i="7"/>
  <c r="E497" i="7"/>
  <c r="F496" i="7"/>
  <c r="E496" i="7"/>
  <c r="F495" i="7"/>
  <c r="E495" i="7"/>
  <c r="F494" i="7"/>
  <c r="E494" i="7"/>
  <c r="F493" i="7"/>
  <c r="E493" i="7"/>
  <c r="F492" i="7"/>
  <c r="E492" i="7"/>
  <c r="F491" i="7"/>
  <c r="E491" i="7"/>
  <c r="F490" i="7"/>
  <c r="E490" i="7"/>
  <c r="F489" i="7"/>
  <c r="E489" i="7"/>
  <c r="F488" i="7"/>
  <c r="E488" i="7"/>
  <c r="F487" i="7"/>
  <c r="E487" i="7"/>
  <c r="F486" i="7"/>
  <c r="E486" i="7"/>
  <c r="F485" i="7"/>
  <c r="E485" i="7"/>
  <c r="F484" i="7"/>
  <c r="E484" i="7"/>
  <c r="F483" i="7"/>
  <c r="E483" i="7"/>
  <c r="F482" i="7"/>
  <c r="E482" i="7"/>
  <c r="F481" i="7"/>
  <c r="E481" i="7"/>
  <c r="F480" i="7"/>
  <c r="E480" i="7"/>
  <c r="F479" i="7"/>
  <c r="E479" i="7"/>
  <c r="F478" i="7"/>
  <c r="E478" i="7"/>
  <c r="F477" i="7"/>
  <c r="E477" i="7"/>
  <c r="F476" i="7"/>
  <c r="E476" i="7"/>
  <c r="F475" i="7"/>
  <c r="E475" i="7"/>
  <c r="F474" i="7"/>
  <c r="E474" i="7"/>
  <c r="F473" i="7"/>
  <c r="E473" i="7"/>
  <c r="F472" i="7"/>
  <c r="E472" i="7"/>
  <c r="F471" i="7"/>
  <c r="E471" i="7"/>
  <c r="F470" i="7"/>
  <c r="E470" i="7"/>
  <c r="F469" i="7"/>
  <c r="E469" i="7"/>
  <c r="F468" i="7"/>
  <c r="E468" i="7"/>
  <c r="F467" i="7"/>
  <c r="E467" i="7"/>
  <c r="F466" i="7"/>
  <c r="E466" i="7"/>
  <c r="F465" i="7"/>
  <c r="E465" i="7"/>
  <c r="F464" i="7"/>
  <c r="E464" i="7"/>
  <c r="F463" i="7"/>
  <c r="E463" i="7"/>
  <c r="F462" i="7"/>
  <c r="E462" i="7"/>
  <c r="F461" i="7"/>
  <c r="E461" i="7"/>
  <c r="F460" i="7"/>
  <c r="E460" i="7"/>
  <c r="F459" i="7"/>
  <c r="E459" i="7"/>
  <c r="F458" i="7"/>
  <c r="E458" i="7"/>
  <c r="F457" i="7"/>
  <c r="E457" i="7"/>
  <c r="F456" i="7"/>
  <c r="E456" i="7"/>
  <c r="F455" i="7"/>
  <c r="E455" i="7"/>
  <c r="F454" i="7"/>
  <c r="E454" i="7"/>
  <c r="F453" i="7"/>
  <c r="E453" i="7"/>
  <c r="F452" i="7"/>
  <c r="E452" i="7"/>
  <c r="F451" i="7"/>
  <c r="E451" i="7"/>
  <c r="F450" i="7"/>
  <c r="E450" i="7"/>
  <c r="F449" i="7"/>
  <c r="E449" i="7"/>
  <c r="F448" i="7"/>
  <c r="E448" i="7"/>
  <c r="F447" i="7"/>
  <c r="E447" i="7"/>
  <c r="F446" i="7"/>
  <c r="E446" i="7"/>
  <c r="F445" i="7"/>
  <c r="E445" i="7"/>
  <c r="F444" i="7"/>
  <c r="E444" i="7"/>
  <c r="F443" i="7"/>
  <c r="E443" i="7"/>
  <c r="F442" i="7"/>
  <c r="E442" i="7"/>
  <c r="F441" i="7"/>
  <c r="E441" i="7"/>
  <c r="F440" i="7"/>
  <c r="E440" i="7"/>
  <c r="F439" i="7"/>
  <c r="E439" i="7"/>
  <c r="F438" i="7"/>
  <c r="E438" i="7"/>
  <c r="F437" i="7"/>
  <c r="E437" i="7"/>
  <c r="F436" i="7"/>
  <c r="E436" i="7"/>
  <c r="F435" i="7"/>
  <c r="E435" i="7"/>
  <c r="F434" i="7"/>
  <c r="E434" i="7"/>
  <c r="F433" i="7"/>
  <c r="E433" i="7"/>
  <c r="F432" i="7"/>
  <c r="E432" i="7"/>
  <c r="F431" i="7"/>
  <c r="E431" i="7"/>
  <c r="F430" i="7"/>
  <c r="E430" i="7"/>
  <c r="F429" i="7"/>
  <c r="E429" i="7"/>
  <c r="F428" i="7"/>
  <c r="E428" i="7"/>
  <c r="F427" i="7"/>
  <c r="E427" i="7"/>
  <c r="F426" i="7"/>
  <c r="E426" i="7"/>
  <c r="F425" i="7"/>
  <c r="E425" i="7"/>
  <c r="F424" i="7"/>
  <c r="E424" i="7"/>
  <c r="F423" i="7"/>
  <c r="E423" i="7"/>
  <c r="F422" i="7"/>
  <c r="E422" i="7"/>
  <c r="F421" i="7"/>
  <c r="E421" i="7"/>
  <c r="F420" i="7"/>
  <c r="E420" i="7"/>
  <c r="F419" i="7"/>
  <c r="E419" i="7"/>
  <c r="F418" i="7"/>
  <c r="E418" i="7"/>
  <c r="F417" i="7"/>
  <c r="E417" i="7"/>
  <c r="F416" i="7"/>
  <c r="E416" i="7"/>
  <c r="F415" i="7"/>
  <c r="E415" i="7"/>
  <c r="F414" i="7"/>
  <c r="E414" i="7"/>
  <c r="F413" i="7"/>
  <c r="E413" i="7"/>
  <c r="F412" i="7"/>
  <c r="E412" i="7"/>
  <c r="F411" i="7"/>
  <c r="E411" i="7"/>
  <c r="F410" i="7"/>
  <c r="E410" i="7"/>
  <c r="F409" i="7"/>
  <c r="E409" i="7"/>
  <c r="F408" i="7"/>
  <c r="E408" i="7"/>
  <c r="F407" i="7"/>
  <c r="E407" i="7"/>
  <c r="F406" i="7"/>
  <c r="E406" i="7"/>
  <c r="F405" i="7"/>
  <c r="E405" i="7"/>
  <c r="F404" i="7"/>
  <c r="E404" i="7"/>
  <c r="F403" i="7"/>
  <c r="E403" i="7"/>
  <c r="F402" i="7"/>
  <c r="E402" i="7"/>
  <c r="F401" i="7"/>
  <c r="E401" i="7"/>
  <c r="F400" i="7"/>
  <c r="E400" i="7"/>
  <c r="F399" i="7"/>
  <c r="E399" i="7"/>
  <c r="F398" i="7"/>
  <c r="E398" i="7"/>
  <c r="F397" i="7"/>
  <c r="E397" i="7"/>
  <c r="F396" i="7"/>
  <c r="E396" i="7"/>
  <c r="F395" i="7"/>
  <c r="E395" i="7"/>
  <c r="F394" i="7"/>
  <c r="E394" i="7"/>
  <c r="F393" i="7"/>
  <c r="E393" i="7"/>
  <c r="F392" i="7"/>
  <c r="E392" i="7"/>
  <c r="F391" i="7"/>
  <c r="E391" i="7"/>
  <c r="F390" i="7"/>
  <c r="E390" i="7"/>
  <c r="F389" i="7"/>
  <c r="E389" i="7"/>
  <c r="F388" i="7"/>
  <c r="E388" i="7"/>
  <c r="F387" i="7"/>
  <c r="E387" i="7"/>
  <c r="F386" i="7"/>
  <c r="E386" i="7"/>
  <c r="F385" i="7"/>
  <c r="E385" i="7"/>
  <c r="F384" i="7"/>
  <c r="E384" i="7"/>
  <c r="F383" i="7"/>
  <c r="E383" i="7"/>
  <c r="F382" i="7"/>
  <c r="E382" i="7"/>
  <c r="F381" i="7"/>
  <c r="E381" i="7"/>
  <c r="F380" i="7"/>
  <c r="E380" i="7"/>
  <c r="F379" i="7"/>
  <c r="E379" i="7"/>
  <c r="F378" i="7"/>
  <c r="E378" i="7"/>
  <c r="F377" i="7"/>
  <c r="E377" i="7"/>
  <c r="F376" i="7"/>
  <c r="E376" i="7"/>
  <c r="F375" i="7"/>
  <c r="E375" i="7"/>
  <c r="F374" i="7"/>
  <c r="E374" i="7"/>
  <c r="F373" i="7"/>
  <c r="E373" i="7"/>
  <c r="F372" i="7"/>
  <c r="E372" i="7"/>
  <c r="F371" i="7"/>
  <c r="E371" i="7"/>
  <c r="F370" i="7"/>
  <c r="E370" i="7"/>
  <c r="F369" i="7"/>
  <c r="E369" i="7"/>
  <c r="F368" i="7"/>
  <c r="E368" i="7"/>
  <c r="F367" i="7"/>
  <c r="E367" i="7"/>
  <c r="F366" i="7"/>
  <c r="E366" i="7"/>
  <c r="F365" i="7"/>
  <c r="E365" i="7"/>
  <c r="F364" i="7"/>
  <c r="E364" i="7"/>
  <c r="F363" i="7"/>
  <c r="E363" i="7"/>
  <c r="F362" i="7"/>
  <c r="E362" i="7"/>
  <c r="F361" i="7"/>
  <c r="E361" i="7"/>
  <c r="F360" i="7"/>
  <c r="E360" i="7"/>
  <c r="F359" i="7"/>
  <c r="E359" i="7"/>
  <c r="F358" i="7"/>
  <c r="E358" i="7"/>
  <c r="F357" i="7"/>
  <c r="E357" i="7"/>
  <c r="F356" i="7"/>
  <c r="E356" i="7"/>
  <c r="F355" i="7"/>
  <c r="E355" i="7"/>
  <c r="F354" i="7"/>
  <c r="E354" i="7"/>
  <c r="F353" i="7"/>
  <c r="E353" i="7"/>
  <c r="F352" i="7"/>
  <c r="E352" i="7"/>
  <c r="F351" i="7"/>
  <c r="E351" i="7"/>
  <c r="F350" i="7"/>
  <c r="E350" i="7"/>
  <c r="F349" i="7"/>
  <c r="E349" i="7"/>
  <c r="F348" i="7"/>
  <c r="E348" i="7"/>
  <c r="F347" i="7"/>
  <c r="E347" i="7"/>
  <c r="F346" i="7"/>
  <c r="E346" i="7"/>
  <c r="F345" i="7"/>
  <c r="E345" i="7"/>
  <c r="F344" i="7"/>
  <c r="E344" i="7"/>
  <c r="F343" i="7"/>
  <c r="E343" i="7"/>
  <c r="F342" i="7"/>
  <c r="E342" i="7"/>
  <c r="F341" i="7"/>
  <c r="E341" i="7"/>
  <c r="F340" i="7"/>
  <c r="E340" i="7"/>
  <c r="F339" i="7"/>
  <c r="E339" i="7"/>
  <c r="F338" i="7"/>
  <c r="E338" i="7"/>
  <c r="F337" i="7"/>
  <c r="E337" i="7"/>
  <c r="F336" i="7"/>
  <c r="E336" i="7"/>
  <c r="F335" i="7"/>
  <c r="E335" i="7"/>
  <c r="F334" i="7"/>
  <c r="E334" i="7"/>
  <c r="F333" i="7"/>
  <c r="E333" i="7"/>
  <c r="F332" i="7"/>
  <c r="E332" i="7"/>
  <c r="F331" i="7"/>
  <c r="E331" i="7"/>
  <c r="F330" i="7"/>
  <c r="E330" i="7"/>
  <c r="F329" i="7"/>
  <c r="E329" i="7"/>
  <c r="F328" i="7"/>
  <c r="E328" i="7"/>
  <c r="F327" i="7"/>
  <c r="E327" i="7"/>
  <c r="F326" i="7"/>
  <c r="E326" i="7"/>
  <c r="F325" i="7"/>
  <c r="E325" i="7"/>
  <c r="F324" i="7"/>
  <c r="E324" i="7"/>
  <c r="F323" i="7"/>
  <c r="E323" i="7"/>
  <c r="F322" i="7"/>
  <c r="E322" i="7"/>
  <c r="F321" i="7"/>
  <c r="E321" i="7"/>
  <c r="F320" i="7"/>
  <c r="E320" i="7"/>
  <c r="F319" i="7"/>
  <c r="E319" i="7"/>
  <c r="F318" i="7"/>
  <c r="E318" i="7"/>
  <c r="F317" i="7"/>
  <c r="E317" i="7"/>
  <c r="F316" i="7"/>
  <c r="E316" i="7"/>
  <c r="F315" i="7"/>
  <c r="E315" i="7"/>
  <c r="F314" i="7"/>
  <c r="E314" i="7"/>
  <c r="F313" i="7"/>
  <c r="E313" i="7"/>
  <c r="F312" i="7"/>
  <c r="E312" i="7"/>
  <c r="F311" i="7"/>
  <c r="E311" i="7"/>
  <c r="F310" i="7"/>
  <c r="E310" i="7"/>
  <c r="F309" i="7"/>
  <c r="E309" i="7"/>
  <c r="F308" i="7"/>
  <c r="E308" i="7"/>
  <c r="F307" i="7"/>
  <c r="E307" i="7"/>
  <c r="F306" i="7"/>
  <c r="E306" i="7"/>
  <c r="F305" i="7"/>
  <c r="E305" i="7"/>
  <c r="F304" i="7"/>
  <c r="E304" i="7"/>
  <c r="F303" i="7"/>
  <c r="E303" i="7"/>
  <c r="F302" i="7"/>
  <c r="E302" i="7"/>
  <c r="F301" i="7"/>
  <c r="E301" i="7"/>
  <c r="F300" i="7"/>
  <c r="E300" i="7"/>
  <c r="F299" i="7"/>
  <c r="E299" i="7"/>
  <c r="F298" i="7"/>
  <c r="E298" i="7"/>
  <c r="F297" i="7"/>
  <c r="E297" i="7"/>
  <c r="F296" i="7"/>
  <c r="E296" i="7"/>
  <c r="F295" i="7"/>
  <c r="E295" i="7"/>
  <c r="F294" i="7"/>
  <c r="E294" i="7"/>
  <c r="F293" i="7"/>
  <c r="E293" i="7"/>
  <c r="F292" i="7"/>
  <c r="E292" i="7"/>
  <c r="F291" i="7"/>
  <c r="E291" i="7"/>
  <c r="F290" i="7"/>
  <c r="E290" i="7"/>
  <c r="F289" i="7"/>
  <c r="E289" i="7"/>
  <c r="F288" i="7"/>
  <c r="E288" i="7"/>
  <c r="F287" i="7"/>
  <c r="E287" i="7"/>
  <c r="F286" i="7"/>
  <c r="E286" i="7"/>
  <c r="F285" i="7"/>
  <c r="E285" i="7"/>
  <c r="F284" i="7"/>
  <c r="E284" i="7"/>
  <c r="F283" i="7"/>
  <c r="E283" i="7"/>
  <c r="F282" i="7"/>
  <c r="E282" i="7"/>
  <c r="F281" i="7"/>
  <c r="E281" i="7"/>
  <c r="F280" i="7"/>
  <c r="E280" i="7"/>
  <c r="F279" i="7"/>
  <c r="E279" i="7"/>
  <c r="F278" i="7"/>
  <c r="E278" i="7"/>
  <c r="F277" i="7"/>
  <c r="E277" i="7"/>
  <c r="F276" i="7"/>
  <c r="E276" i="7"/>
  <c r="F275" i="7"/>
  <c r="E275" i="7"/>
  <c r="F274" i="7"/>
  <c r="E274" i="7"/>
  <c r="F273" i="7"/>
  <c r="E273" i="7"/>
  <c r="F272" i="7"/>
  <c r="E272" i="7"/>
  <c r="F271" i="7"/>
  <c r="E271" i="7"/>
  <c r="F270" i="7"/>
  <c r="E270" i="7"/>
  <c r="F269" i="7"/>
  <c r="E269" i="7"/>
  <c r="F268" i="7"/>
  <c r="E268" i="7"/>
  <c r="F267" i="7"/>
  <c r="E267" i="7"/>
  <c r="F266" i="7"/>
  <c r="E266" i="7"/>
  <c r="F265" i="7"/>
  <c r="E265" i="7"/>
  <c r="F264" i="7"/>
  <c r="E264" i="7"/>
  <c r="F263" i="7"/>
  <c r="E263" i="7"/>
  <c r="F262" i="7"/>
  <c r="E262" i="7"/>
  <c r="F261" i="7"/>
  <c r="E261" i="7"/>
  <c r="F260" i="7"/>
  <c r="E260" i="7"/>
  <c r="F259" i="7"/>
  <c r="E259" i="7"/>
  <c r="F258" i="7"/>
  <c r="E258" i="7"/>
  <c r="F257" i="7"/>
  <c r="E257" i="7"/>
  <c r="F256" i="7"/>
  <c r="E256" i="7"/>
  <c r="F255" i="7"/>
  <c r="E255" i="7"/>
  <c r="F254" i="7"/>
  <c r="E254" i="7"/>
  <c r="F253" i="7"/>
  <c r="E253" i="7"/>
  <c r="F252" i="7"/>
  <c r="E252" i="7"/>
  <c r="F251" i="7"/>
  <c r="E251" i="7"/>
  <c r="F250" i="7"/>
  <c r="E250" i="7"/>
  <c r="F249" i="7"/>
  <c r="E249" i="7"/>
  <c r="F248" i="7"/>
  <c r="E248" i="7"/>
  <c r="F247" i="7"/>
  <c r="E247" i="7"/>
  <c r="F246" i="7"/>
  <c r="E246" i="7"/>
  <c r="F245" i="7"/>
  <c r="E245" i="7"/>
  <c r="F244" i="7"/>
  <c r="E244" i="7"/>
  <c r="F243" i="7"/>
  <c r="E243" i="7"/>
  <c r="F242" i="7"/>
  <c r="E242" i="7"/>
  <c r="F241" i="7"/>
  <c r="E241" i="7"/>
  <c r="F240" i="7"/>
  <c r="E240" i="7"/>
  <c r="F239" i="7"/>
  <c r="E239" i="7"/>
  <c r="F238" i="7"/>
  <c r="E238" i="7"/>
  <c r="F237" i="7"/>
  <c r="E237" i="7"/>
  <c r="F236" i="7"/>
  <c r="E236" i="7"/>
  <c r="F235" i="7"/>
  <c r="E235" i="7"/>
  <c r="F234" i="7"/>
  <c r="E234" i="7"/>
  <c r="F233" i="7"/>
  <c r="E233" i="7"/>
  <c r="F232" i="7"/>
  <c r="E232" i="7"/>
  <c r="F231" i="7"/>
  <c r="E231" i="7"/>
  <c r="F230" i="7"/>
  <c r="E230" i="7"/>
  <c r="F229" i="7"/>
  <c r="E229" i="7"/>
  <c r="F228" i="7"/>
  <c r="E228" i="7"/>
  <c r="F227" i="7"/>
  <c r="E227" i="7"/>
  <c r="F226" i="7"/>
  <c r="E226" i="7"/>
  <c r="F225" i="7"/>
  <c r="E225" i="7"/>
  <c r="F224" i="7"/>
  <c r="E224" i="7"/>
  <c r="F223" i="7"/>
  <c r="E223" i="7"/>
  <c r="F222" i="7"/>
  <c r="E222" i="7"/>
  <c r="F221" i="7"/>
  <c r="E221" i="7"/>
  <c r="F220" i="7"/>
  <c r="E220" i="7"/>
  <c r="F219" i="7"/>
  <c r="E219" i="7"/>
  <c r="F218" i="7"/>
  <c r="E218" i="7"/>
  <c r="F217" i="7"/>
  <c r="E217" i="7"/>
  <c r="F216" i="7"/>
  <c r="E216" i="7"/>
  <c r="F215" i="7"/>
  <c r="E215" i="7"/>
  <c r="F214" i="7"/>
  <c r="E214" i="7"/>
  <c r="F213" i="7"/>
  <c r="E213" i="7"/>
  <c r="F212" i="7"/>
  <c r="E212" i="7"/>
  <c r="F211" i="7"/>
  <c r="E211" i="7"/>
  <c r="F210" i="7"/>
  <c r="E210" i="7"/>
  <c r="F209" i="7"/>
  <c r="E209" i="7"/>
  <c r="F208" i="7"/>
  <c r="E208" i="7"/>
  <c r="F207" i="7"/>
  <c r="E207" i="7"/>
  <c r="F206" i="7"/>
  <c r="E206" i="7"/>
  <c r="F205" i="7"/>
  <c r="E205" i="7"/>
  <c r="F204" i="7"/>
  <c r="E204" i="7"/>
  <c r="F203" i="7"/>
  <c r="E203" i="7"/>
  <c r="F202" i="7"/>
  <c r="E202" i="7"/>
  <c r="F201" i="7"/>
  <c r="E201" i="7"/>
  <c r="F200" i="7"/>
  <c r="E200" i="7"/>
  <c r="F199" i="7"/>
  <c r="E199" i="7"/>
  <c r="F198" i="7"/>
  <c r="E198" i="7"/>
  <c r="F197" i="7"/>
  <c r="E197" i="7"/>
  <c r="F196" i="7"/>
  <c r="E196" i="7"/>
  <c r="F195" i="7"/>
  <c r="E195" i="7"/>
  <c r="F194" i="7"/>
  <c r="E194" i="7"/>
  <c r="F193" i="7"/>
  <c r="E193" i="7"/>
  <c r="F192" i="7"/>
  <c r="E192" i="7"/>
  <c r="F191" i="7"/>
  <c r="E191" i="7"/>
  <c r="F190" i="7"/>
  <c r="E190" i="7"/>
  <c r="F189" i="7"/>
  <c r="E189" i="7"/>
  <c r="F188" i="7"/>
  <c r="E188" i="7"/>
  <c r="F187" i="7"/>
  <c r="E187" i="7"/>
  <c r="F186" i="7"/>
  <c r="E186" i="7"/>
  <c r="F185" i="7"/>
  <c r="E185" i="7"/>
  <c r="F184" i="7"/>
  <c r="E184" i="7"/>
  <c r="F183" i="7"/>
  <c r="E183" i="7"/>
  <c r="F182" i="7"/>
  <c r="E182" i="7"/>
  <c r="F181" i="7"/>
  <c r="E181" i="7"/>
  <c r="F180" i="7"/>
  <c r="E180" i="7"/>
  <c r="F179" i="7"/>
  <c r="E179" i="7"/>
  <c r="F178" i="7"/>
  <c r="E178" i="7"/>
  <c r="F177" i="7"/>
  <c r="E177" i="7"/>
  <c r="F176" i="7"/>
  <c r="E176" i="7"/>
  <c r="F175" i="7"/>
  <c r="E175" i="7"/>
  <c r="F174" i="7"/>
  <c r="E174" i="7"/>
  <c r="F173" i="7"/>
  <c r="E173" i="7"/>
  <c r="F172" i="7"/>
  <c r="E172" i="7"/>
  <c r="F171" i="7"/>
  <c r="E171" i="7"/>
  <c r="F170" i="7"/>
  <c r="E170" i="7"/>
  <c r="F169" i="7"/>
  <c r="E169" i="7"/>
  <c r="F168" i="7"/>
  <c r="E168" i="7"/>
  <c r="F167" i="7"/>
  <c r="E167" i="7"/>
  <c r="F166" i="7"/>
  <c r="E166" i="7"/>
  <c r="F165" i="7"/>
  <c r="E165" i="7"/>
  <c r="F164" i="7"/>
  <c r="E164" i="7"/>
  <c r="F163" i="7"/>
  <c r="E163" i="7"/>
  <c r="F162" i="7"/>
  <c r="E162" i="7"/>
  <c r="F161" i="7"/>
  <c r="E161" i="7"/>
  <c r="F160" i="7"/>
  <c r="E160" i="7"/>
  <c r="F159" i="7"/>
  <c r="E159" i="7"/>
  <c r="F158" i="7"/>
  <c r="E158" i="7"/>
  <c r="F157" i="7"/>
  <c r="E157" i="7"/>
  <c r="F156" i="7"/>
  <c r="E156" i="7"/>
  <c r="F155" i="7"/>
  <c r="E155" i="7"/>
  <c r="F154" i="7"/>
  <c r="E154" i="7"/>
  <c r="F153" i="7"/>
  <c r="E153" i="7"/>
  <c r="F152" i="7"/>
  <c r="E152" i="7"/>
  <c r="F151" i="7"/>
  <c r="E151" i="7"/>
  <c r="F150" i="7"/>
  <c r="E150" i="7"/>
  <c r="F149" i="7"/>
  <c r="E149" i="7"/>
  <c r="F148" i="7"/>
  <c r="E148" i="7"/>
  <c r="F147" i="7"/>
  <c r="E147" i="7"/>
  <c r="F146" i="7"/>
  <c r="E146" i="7"/>
  <c r="F145" i="7"/>
  <c r="E145" i="7"/>
  <c r="F144" i="7"/>
  <c r="E144" i="7"/>
  <c r="F143" i="7"/>
  <c r="E143" i="7"/>
  <c r="F142" i="7"/>
  <c r="E142" i="7"/>
  <c r="F141" i="7"/>
  <c r="E141" i="7"/>
  <c r="F140" i="7"/>
  <c r="E140" i="7"/>
  <c r="F139" i="7"/>
  <c r="E139" i="7"/>
  <c r="F138" i="7"/>
  <c r="E138" i="7"/>
  <c r="F137" i="7"/>
  <c r="E137" i="7"/>
  <c r="F136" i="7"/>
  <c r="E136" i="7"/>
  <c r="F135" i="7"/>
  <c r="E135" i="7"/>
  <c r="F134" i="7"/>
  <c r="E134" i="7"/>
  <c r="F133" i="7"/>
  <c r="E133" i="7"/>
  <c r="F132" i="7"/>
  <c r="E132" i="7"/>
  <c r="F131" i="7"/>
  <c r="E131" i="7"/>
  <c r="F130" i="7"/>
  <c r="E130" i="7"/>
  <c r="F129" i="7"/>
  <c r="E129" i="7"/>
  <c r="F128" i="7"/>
  <c r="E128" i="7"/>
  <c r="F127" i="7"/>
  <c r="E127" i="7"/>
  <c r="F126" i="7"/>
  <c r="E126" i="7"/>
  <c r="F125" i="7"/>
  <c r="E125" i="7"/>
  <c r="F124" i="7"/>
  <c r="E124" i="7"/>
  <c r="F123" i="7"/>
  <c r="E123" i="7"/>
  <c r="F122" i="7"/>
  <c r="E122" i="7"/>
  <c r="F121" i="7"/>
  <c r="E121" i="7"/>
  <c r="F120" i="7"/>
  <c r="E120" i="7"/>
  <c r="F119" i="7"/>
  <c r="E119" i="7"/>
  <c r="F118" i="7"/>
  <c r="E118" i="7"/>
  <c r="F117" i="7"/>
  <c r="E117" i="7"/>
  <c r="F116" i="7"/>
  <c r="E116" i="7"/>
  <c r="F115" i="7"/>
  <c r="E115" i="7"/>
  <c r="F114" i="7"/>
  <c r="E114" i="7"/>
  <c r="F113" i="7"/>
  <c r="E113" i="7"/>
  <c r="F112" i="7"/>
  <c r="E112" i="7"/>
  <c r="F111" i="7"/>
  <c r="E111" i="7"/>
  <c r="F110" i="7"/>
  <c r="E110" i="7"/>
  <c r="F109" i="7"/>
  <c r="E109" i="7"/>
  <c r="F108" i="7"/>
  <c r="E108" i="7"/>
  <c r="F107" i="7"/>
  <c r="E107" i="7"/>
  <c r="F106" i="7"/>
  <c r="E106" i="7"/>
  <c r="F105" i="7"/>
  <c r="E105" i="7"/>
  <c r="F104" i="7"/>
  <c r="E104" i="7"/>
  <c r="F103" i="7"/>
  <c r="E103" i="7"/>
  <c r="F102" i="7"/>
  <c r="E102" i="7"/>
  <c r="F101" i="7"/>
  <c r="E101" i="7"/>
  <c r="F100" i="7"/>
  <c r="E100" i="7"/>
  <c r="F99" i="7"/>
  <c r="E99" i="7"/>
  <c r="F98" i="7"/>
  <c r="E98" i="7"/>
  <c r="F97" i="7"/>
  <c r="E97" i="7"/>
  <c r="F96" i="7"/>
  <c r="E96" i="7"/>
  <c r="F95" i="7"/>
  <c r="E95" i="7"/>
  <c r="F94" i="7"/>
  <c r="E94" i="7"/>
  <c r="F93" i="7"/>
  <c r="E93" i="7"/>
  <c r="F92" i="7"/>
  <c r="E92" i="7"/>
  <c r="F91" i="7"/>
  <c r="E91" i="7"/>
  <c r="F90" i="7"/>
  <c r="E90" i="7"/>
  <c r="F89" i="7"/>
  <c r="E89" i="7"/>
  <c r="F88" i="7"/>
  <c r="E88" i="7"/>
  <c r="F87" i="7"/>
  <c r="E87" i="7"/>
  <c r="F86" i="7"/>
  <c r="E86" i="7"/>
  <c r="F85" i="7"/>
  <c r="E85" i="7"/>
  <c r="F84" i="7"/>
  <c r="E84" i="7"/>
  <c r="F83" i="7"/>
  <c r="E83" i="7"/>
  <c r="F82" i="7"/>
  <c r="E82" i="7"/>
  <c r="F81" i="7"/>
  <c r="E81" i="7"/>
  <c r="F80" i="7"/>
  <c r="E80" i="7"/>
  <c r="F79" i="7"/>
  <c r="E79" i="7"/>
  <c r="F78" i="7"/>
  <c r="E78" i="7"/>
  <c r="F77" i="7"/>
  <c r="E77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7" i="7"/>
  <c r="E67" i="7"/>
  <c r="F66" i="7"/>
  <c r="E66" i="7"/>
  <c r="F65" i="7"/>
  <c r="E65" i="7"/>
  <c r="F64" i="7"/>
  <c r="E64" i="7"/>
  <c r="F63" i="7"/>
  <c r="E63" i="7"/>
  <c r="F62" i="7"/>
  <c r="E62" i="7"/>
  <c r="F61" i="7"/>
  <c r="E61" i="7"/>
  <c r="F60" i="7"/>
  <c r="E60" i="7"/>
  <c r="F59" i="7"/>
  <c r="E59" i="7"/>
  <c r="F58" i="7"/>
  <c r="E58" i="7"/>
  <c r="F57" i="7"/>
  <c r="E57" i="7"/>
  <c r="F56" i="7"/>
  <c r="E56" i="7"/>
  <c r="F55" i="7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B7" i="7"/>
  <c r="B6" i="7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Z27" i="6"/>
  <c r="Y27" i="6"/>
  <c r="X27" i="6"/>
  <c r="AA27" i="6" s="1"/>
  <c r="AB27" i="6" s="1"/>
  <c r="L27" i="6"/>
  <c r="C27" i="6"/>
  <c r="G20" i="6"/>
  <c r="G18" i="6"/>
  <c r="G12" i="6"/>
  <c r="G8" i="6"/>
  <c r="C13" i="3"/>
  <c r="C8" i="3"/>
  <c r="D14" i="2"/>
  <c r="D13" i="2"/>
  <c r="D12" i="2"/>
  <c r="D11" i="2"/>
  <c r="D10" i="2"/>
  <c r="D9" i="2"/>
  <c r="D5" i="2"/>
  <c r="F42" i="1"/>
  <c r="F41" i="1"/>
  <c r="F40" i="1"/>
  <c r="F39" i="1"/>
  <c r="F38" i="1"/>
  <c r="F37" i="1"/>
  <c r="B12" i="1"/>
  <c r="B11" i="1"/>
  <c r="B10" i="1"/>
  <c r="L7" i="1"/>
  <c r="J7" i="1"/>
  <c r="H7" i="1"/>
  <c r="F7" i="1"/>
  <c r="D7" i="1"/>
  <c r="B7" i="1"/>
  <c r="B3" i="1"/>
  <c r="B5" i="7" l="1"/>
  <c r="D15" i="2" s="1"/>
  <c r="G10" i="6"/>
  <c r="G11" i="6" s="1"/>
  <c r="F387" i="6"/>
  <c r="AB387" i="6" s="1"/>
  <c r="D387" i="6"/>
  <c r="M386" i="6"/>
  <c r="F386" i="6"/>
  <c r="AB386" i="6" s="1"/>
  <c r="D386" i="6"/>
  <c r="M385" i="6"/>
  <c r="F385" i="6"/>
  <c r="AB385" i="6" s="1"/>
  <c r="D385" i="6"/>
  <c r="M384" i="6"/>
  <c r="F384" i="6"/>
  <c r="AB384" i="6" s="1"/>
  <c r="D384" i="6"/>
  <c r="M383" i="6"/>
  <c r="F383" i="6"/>
  <c r="AB383" i="6" s="1"/>
  <c r="D383" i="6"/>
  <c r="M382" i="6"/>
  <c r="F382" i="6"/>
  <c r="AB382" i="6" s="1"/>
  <c r="D382" i="6"/>
  <c r="M381" i="6"/>
  <c r="F381" i="6"/>
  <c r="AB381" i="6" s="1"/>
  <c r="D381" i="6"/>
  <c r="M380" i="6"/>
  <c r="F380" i="6"/>
  <c r="AB380" i="6" s="1"/>
  <c r="D380" i="6"/>
  <c r="M379" i="6"/>
  <c r="F379" i="6"/>
  <c r="AB379" i="6" s="1"/>
  <c r="D379" i="6"/>
  <c r="M378" i="6"/>
  <c r="F378" i="6"/>
  <c r="AB378" i="6" s="1"/>
  <c r="D378" i="6"/>
  <c r="M377" i="6"/>
  <c r="F377" i="6"/>
  <c r="AB377" i="6" s="1"/>
  <c r="D377" i="6"/>
  <c r="M376" i="6"/>
  <c r="F376" i="6"/>
  <c r="AB376" i="6" s="1"/>
  <c r="D376" i="6"/>
  <c r="M375" i="6"/>
  <c r="F375" i="6"/>
  <c r="AB375" i="6" s="1"/>
  <c r="D375" i="6"/>
  <c r="M374" i="6"/>
  <c r="F374" i="6"/>
  <c r="AB374" i="6" s="1"/>
  <c r="D374" i="6"/>
  <c r="M373" i="6"/>
  <c r="F373" i="6"/>
  <c r="AB373" i="6" s="1"/>
  <c r="D373" i="6"/>
  <c r="M372" i="6"/>
  <c r="F372" i="6"/>
  <c r="AB372" i="6" s="1"/>
  <c r="D372" i="6"/>
  <c r="M371" i="6"/>
  <c r="F371" i="6"/>
  <c r="AB371" i="6" s="1"/>
  <c r="D371" i="6"/>
  <c r="M370" i="6"/>
  <c r="F370" i="6"/>
  <c r="AB370" i="6" s="1"/>
  <c r="D370" i="6"/>
  <c r="M369" i="6"/>
  <c r="F369" i="6"/>
  <c r="AB369" i="6" s="1"/>
  <c r="D369" i="6"/>
  <c r="M368" i="6"/>
  <c r="F368" i="6"/>
  <c r="AB368" i="6" s="1"/>
  <c r="D368" i="6"/>
  <c r="M367" i="6"/>
  <c r="F367" i="6"/>
  <c r="AB367" i="6" s="1"/>
  <c r="D367" i="6"/>
  <c r="M366" i="6"/>
  <c r="F366" i="6"/>
  <c r="AB366" i="6" s="1"/>
  <c r="D366" i="6"/>
  <c r="M365" i="6"/>
  <c r="F365" i="6"/>
  <c r="AB365" i="6" s="1"/>
  <c r="D365" i="6"/>
  <c r="M364" i="6"/>
  <c r="F364" i="6"/>
  <c r="AB364" i="6" s="1"/>
  <c r="D364" i="6"/>
  <c r="M363" i="6"/>
  <c r="F363" i="6"/>
  <c r="AB363" i="6" s="1"/>
  <c r="D363" i="6"/>
  <c r="M362" i="6"/>
  <c r="F362" i="6"/>
  <c r="AB362" i="6" s="1"/>
  <c r="D362" i="6"/>
  <c r="M361" i="6"/>
  <c r="F361" i="6"/>
  <c r="AB361" i="6" s="1"/>
  <c r="D361" i="6"/>
  <c r="M360" i="6"/>
  <c r="F360" i="6"/>
  <c r="AB360" i="6" s="1"/>
  <c r="D360" i="6"/>
  <c r="M359" i="6"/>
  <c r="F359" i="6"/>
  <c r="AB359" i="6" s="1"/>
  <c r="D359" i="6"/>
  <c r="M358" i="6"/>
  <c r="F358" i="6"/>
  <c r="AB358" i="6" s="1"/>
  <c r="D358" i="6"/>
  <c r="M357" i="6"/>
  <c r="F357" i="6"/>
  <c r="AB357" i="6" s="1"/>
  <c r="D357" i="6"/>
  <c r="M356" i="6"/>
  <c r="F356" i="6"/>
  <c r="AB356" i="6" s="1"/>
  <c r="D356" i="6"/>
  <c r="M355" i="6"/>
  <c r="F355" i="6"/>
  <c r="AB355" i="6" s="1"/>
  <c r="D355" i="6"/>
  <c r="M354" i="6"/>
  <c r="F354" i="6"/>
  <c r="AB354" i="6" s="1"/>
  <c r="D354" i="6"/>
  <c r="M353" i="6"/>
  <c r="F353" i="6"/>
  <c r="AB353" i="6" s="1"/>
  <c r="D353" i="6"/>
  <c r="F137" i="6"/>
  <c r="AB137" i="6" s="1"/>
  <c r="D137" i="6"/>
  <c r="D136" i="6"/>
  <c r="M130" i="6"/>
  <c r="D130" i="6"/>
  <c r="M128" i="6"/>
  <c r="D126" i="6"/>
  <c r="M124" i="6"/>
  <c r="D123" i="6"/>
  <c r="F121" i="6"/>
  <c r="AB121" i="6" s="1"/>
  <c r="F120" i="6"/>
  <c r="AB120" i="6" s="1"/>
  <c r="F118" i="6"/>
  <c r="AB118" i="6" s="1"/>
  <c r="F110" i="6"/>
  <c r="AB110" i="6" s="1"/>
  <c r="F109" i="6"/>
  <c r="AB109" i="6" s="1"/>
  <c r="F108" i="6"/>
  <c r="AB108" i="6" s="1"/>
  <c r="M106" i="6"/>
  <c r="D105" i="6"/>
  <c r="F98" i="6"/>
  <c r="AB98" i="6" s="1"/>
  <c r="M96" i="6"/>
  <c r="M95" i="6"/>
  <c r="D95" i="6"/>
  <c r="M92" i="6"/>
  <c r="M90" i="6"/>
  <c r="F89" i="6"/>
  <c r="AB89" i="6" s="1"/>
  <c r="D86" i="6"/>
  <c r="D84" i="6"/>
  <c r="D83" i="6"/>
  <c r="M81" i="6"/>
  <c r="M80" i="6"/>
  <c r="D80" i="6"/>
  <c r="M77" i="6"/>
  <c r="M74" i="6"/>
  <c r="D72" i="6"/>
  <c r="D70" i="6"/>
  <c r="M68" i="6"/>
  <c r="D68" i="6"/>
  <c r="D66" i="6"/>
  <c r="D62" i="6"/>
  <c r="M48" i="6"/>
  <c r="D38" i="6"/>
  <c r="D35" i="6"/>
  <c r="D32" i="6"/>
  <c r="M30" i="6"/>
  <c r="M28" i="6"/>
  <c r="G19" i="6"/>
  <c r="M352" i="6"/>
  <c r="F352" i="6"/>
  <c r="AB352" i="6" s="1"/>
  <c r="D352" i="6"/>
  <c r="M351" i="6"/>
  <c r="F351" i="6"/>
  <c r="AB351" i="6" s="1"/>
  <c r="D351" i="6"/>
  <c r="M350" i="6"/>
  <c r="F350" i="6"/>
  <c r="AB350" i="6" s="1"/>
  <c r="D350" i="6"/>
  <c r="M349" i="6"/>
  <c r="F349" i="6"/>
  <c r="AB349" i="6" s="1"/>
  <c r="D349" i="6"/>
  <c r="M348" i="6"/>
  <c r="F348" i="6"/>
  <c r="AB348" i="6" s="1"/>
  <c r="D348" i="6"/>
  <c r="M347" i="6"/>
  <c r="F347" i="6"/>
  <c r="AB347" i="6" s="1"/>
  <c r="D347" i="6"/>
  <c r="M346" i="6"/>
  <c r="F346" i="6"/>
  <c r="AB346" i="6" s="1"/>
  <c r="D346" i="6"/>
  <c r="M345" i="6"/>
  <c r="F345" i="6"/>
  <c r="AB345" i="6" s="1"/>
  <c r="D345" i="6"/>
  <c r="M344" i="6"/>
  <c r="F344" i="6"/>
  <c r="AB344" i="6" s="1"/>
  <c r="D344" i="6"/>
  <c r="M343" i="6"/>
  <c r="F343" i="6"/>
  <c r="AB343" i="6" s="1"/>
  <c r="D343" i="6"/>
  <c r="M342" i="6"/>
  <c r="F342" i="6"/>
  <c r="AB342" i="6" s="1"/>
  <c r="D342" i="6"/>
  <c r="M341" i="6"/>
  <c r="F341" i="6"/>
  <c r="AB341" i="6" s="1"/>
  <c r="D341" i="6"/>
  <c r="M340" i="6"/>
  <c r="F340" i="6"/>
  <c r="AB340" i="6" s="1"/>
  <c r="D340" i="6"/>
  <c r="M339" i="6"/>
  <c r="F339" i="6"/>
  <c r="AB339" i="6" s="1"/>
  <c r="D339" i="6"/>
  <c r="M338" i="6"/>
  <c r="F338" i="6"/>
  <c r="AB338" i="6" s="1"/>
  <c r="D338" i="6"/>
  <c r="M337" i="6"/>
  <c r="F337" i="6"/>
  <c r="AB337" i="6" s="1"/>
  <c r="D337" i="6"/>
  <c r="M336" i="6"/>
  <c r="F336" i="6"/>
  <c r="AB336" i="6" s="1"/>
  <c r="D336" i="6"/>
  <c r="M335" i="6"/>
  <c r="F335" i="6"/>
  <c r="AB335" i="6" s="1"/>
  <c r="D335" i="6"/>
  <c r="M334" i="6"/>
  <c r="F334" i="6"/>
  <c r="AB334" i="6" s="1"/>
  <c r="D334" i="6"/>
  <c r="M333" i="6"/>
  <c r="F333" i="6"/>
  <c r="AB333" i="6" s="1"/>
  <c r="D333" i="6"/>
  <c r="M332" i="6"/>
  <c r="F332" i="6"/>
  <c r="AB332" i="6" s="1"/>
  <c r="D332" i="6"/>
  <c r="M331" i="6"/>
  <c r="F331" i="6"/>
  <c r="AB331" i="6" s="1"/>
  <c r="D331" i="6"/>
  <c r="M330" i="6"/>
  <c r="F330" i="6"/>
  <c r="AB330" i="6" s="1"/>
  <c r="D330" i="6"/>
  <c r="M329" i="6"/>
  <c r="F329" i="6"/>
  <c r="AB329" i="6" s="1"/>
  <c r="D329" i="6"/>
  <c r="M328" i="6"/>
  <c r="F328" i="6"/>
  <c r="AB328" i="6" s="1"/>
  <c r="D328" i="6"/>
  <c r="M327" i="6"/>
  <c r="F327" i="6"/>
  <c r="AB327" i="6" s="1"/>
  <c r="D327" i="6"/>
  <c r="M326" i="6"/>
  <c r="F326" i="6"/>
  <c r="AB326" i="6" s="1"/>
  <c r="D326" i="6"/>
  <c r="M325" i="6"/>
  <c r="F325" i="6"/>
  <c r="AB325" i="6" s="1"/>
  <c r="D325" i="6"/>
  <c r="M324" i="6"/>
  <c r="F324" i="6"/>
  <c r="AB324" i="6" s="1"/>
  <c r="D324" i="6"/>
  <c r="M323" i="6"/>
  <c r="F323" i="6"/>
  <c r="AB323" i="6" s="1"/>
  <c r="D323" i="6"/>
  <c r="M322" i="6"/>
  <c r="F322" i="6"/>
  <c r="AB322" i="6" s="1"/>
  <c r="D322" i="6"/>
  <c r="M321" i="6"/>
  <c r="F321" i="6"/>
  <c r="AB321" i="6" s="1"/>
  <c r="D321" i="6"/>
  <c r="M320" i="6"/>
  <c r="F320" i="6"/>
  <c r="AB320" i="6" s="1"/>
  <c r="D320" i="6"/>
  <c r="M319" i="6"/>
  <c r="F319" i="6"/>
  <c r="AB319" i="6" s="1"/>
  <c r="D319" i="6"/>
  <c r="M318" i="6"/>
  <c r="F318" i="6"/>
  <c r="AB318" i="6" s="1"/>
  <c r="D318" i="6"/>
  <c r="M317" i="6"/>
  <c r="F317" i="6"/>
  <c r="AB317" i="6" s="1"/>
  <c r="D317" i="6"/>
  <c r="F281" i="6"/>
  <c r="AB281" i="6" s="1"/>
  <c r="D281" i="6"/>
  <c r="M280" i="6"/>
  <c r="F207" i="6"/>
  <c r="AB207" i="6" s="1"/>
  <c r="D207" i="6"/>
  <c r="M205" i="6"/>
  <c r="F205" i="6"/>
  <c r="AB205" i="6" s="1"/>
  <c r="D205" i="6"/>
  <c r="F203" i="6"/>
  <c r="AB203" i="6" s="1"/>
  <c r="D203" i="6"/>
  <c r="M202" i="6"/>
  <c r="F200" i="6"/>
  <c r="AB200" i="6" s="1"/>
  <c r="M199" i="6"/>
  <c r="D199" i="6"/>
  <c r="F197" i="6"/>
  <c r="AB197" i="6" s="1"/>
  <c r="D197" i="6"/>
  <c r="M196" i="6"/>
  <c r="F196" i="6"/>
  <c r="AB196" i="6" s="1"/>
  <c r="M195" i="6"/>
  <c r="M194" i="6"/>
  <c r="F192" i="6"/>
  <c r="AB192" i="6" s="1"/>
  <c r="F190" i="6"/>
  <c r="AB190" i="6" s="1"/>
  <c r="M189" i="6"/>
  <c r="M188" i="6"/>
  <c r="F188" i="6"/>
  <c r="AB188" i="6" s="1"/>
  <c r="D188" i="6"/>
  <c r="D185" i="6"/>
  <c r="D184" i="6"/>
  <c r="F183" i="6"/>
  <c r="AB183" i="6" s="1"/>
  <c r="M182" i="6"/>
  <c r="F182" i="6"/>
  <c r="AB182" i="6" s="1"/>
  <c r="F181" i="6"/>
  <c r="AB181" i="6" s="1"/>
  <c r="D181" i="6"/>
  <c r="D180" i="6"/>
  <c r="M178" i="6"/>
  <c r="F178" i="6"/>
  <c r="AB178" i="6" s="1"/>
  <c r="D178" i="6"/>
  <c r="D177" i="6"/>
  <c r="M172" i="6"/>
  <c r="M167" i="6"/>
  <c r="F165" i="6"/>
  <c r="AB165" i="6" s="1"/>
  <c r="M164" i="6"/>
  <c r="M163" i="6"/>
  <c r="D161" i="6"/>
  <c r="F159" i="6"/>
  <c r="AB159" i="6" s="1"/>
  <c r="M158" i="6"/>
  <c r="F158" i="6"/>
  <c r="AB158" i="6" s="1"/>
  <c r="D158" i="6"/>
  <c r="D156" i="6"/>
  <c r="M150" i="6"/>
  <c r="F150" i="6"/>
  <c r="AB150" i="6" s="1"/>
  <c r="D150" i="6"/>
  <c r="M149" i="6"/>
  <c r="F149" i="6"/>
  <c r="AB149" i="6" s="1"/>
  <c r="F148" i="6"/>
  <c r="AB148" i="6" s="1"/>
  <c r="M146" i="6"/>
  <c r="F146" i="6"/>
  <c r="AB146" i="6" s="1"/>
  <c r="M145" i="6"/>
  <c r="D145" i="6"/>
  <c r="M144" i="6"/>
  <c r="F144" i="6"/>
  <c r="AB144" i="6" s="1"/>
  <c r="D142" i="6"/>
  <c r="M141" i="6"/>
  <c r="F141" i="6"/>
  <c r="AB141" i="6" s="1"/>
  <c r="D141" i="6"/>
  <c r="F140" i="6"/>
  <c r="AB140" i="6" s="1"/>
  <c r="D140" i="6"/>
  <c r="M139" i="6"/>
  <c r="F139" i="6"/>
  <c r="AB139" i="6" s="1"/>
  <c r="M138" i="6"/>
  <c r="F138" i="6"/>
  <c r="AB138" i="6" s="1"/>
  <c r="M136" i="6"/>
  <c r="D134" i="6"/>
  <c r="D133" i="6"/>
  <c r="M132" i="6"/>
  <c r="D132" i="6"/>
  <c r="D131" i="6"/>
  <c r="M127" i="6"/>
  <c r="D127" i="6"/>
  <c r="M120" i="6"/>
  <c r="D120" i="6"/>
  <c r="M119" i="6"/>
  <c r="M118" i="6"/>
  <c r="M117" i="6"/>
  <c r="D117" i="6"/>
  <c r="M116" i="6"/>
  <c r="D116" i="6"/>
  <c r="M115" i="6"/>
  <c r="F115" i="6"/>
  <c r="AB115" i="6" s="1"/>
  <c r="M112" i="6"/>
  <c r="M111" i="6"/>
  <c r="F111" i="6"/>
  <c r="AB111" i="6" s="1"/>
  <c r="M109" i="6"/>
  <c r="D108" i="6"/>
  <c r="M104" i="6"/>
  <c r="F103" i="6"/>
  <c r="AB103" i="6" s="1"/>
  <c r="D103" i="6"/>
  <c r="M102" i="6"/>
  <c r="D102" i="6"/>
  <c r="M98" i="6"/>
  <c r="M97" i="6"/>
  <c r="D97" i="6"/>
  <c r="F96" i="6"/>
  <c r="AB96" i="6" s="1"/>
  <c r="D96" i="6"/>
  <c r="F94" i="6"/>
  <c r="AB94" i="6" s="1"/>
  <c r="D94" i="6"/>
  <c r="F93" i="6"/>
  <c r="AB93" i="6" s="1"/>
  <c r="D93" i="6"/>
  <c r="F88" i="6"/>
  <c r="AB88" i="6" s="1"/>
  <c r="D88" i="6"/>
  <c r="D79" i="6"/>
  <c r="D77" i="6"/>
  <c r="D76" i="6"/>
  <c r="M73" i="6"/>
  <c r="D65" i="6"/>
  <c r="M62" i="6"/>
  <c r="M61" i="6"/>
  <c r="M57" i="6"/>
  <c r="D55" i="6"/>
  <c r="D53" i="6"/>
  <c r="D51" i="6"/>
  <c r="M49" i="6"/>
  <c r="D49" i="6"/>
  <c r="M45" i="6"/>
  <c r="D45" i="6"/>
  <c r="D44" i="6"/>
  <c r="M42" i="6"/>
  <c r="M41" i="6"/>
  <c r="D41" i="6"/>
  <c r="M37" i="6"/>
  <c r="D36" i="6"/>
  <c r="M35" i="6"/>
  <c r="D34" i="6"/>
  <c r="D33" i="6"/>
  <c r="M31" i="6"/>
  <c r="D31" i="6"/>
  <c r="M27" i="6"/>
  <c r="D27" i="6"/>
  <c r="M316" i="6"/>
  <c r="F316" i="6"/>
  <c r="AB316" i="6" s="1"/>
  <c r="D316" i="6"/>
  <c r="M315" i="6"/>
  <c r="F315" i="6"/>
  <c r="AB315" i="6" s="1"/>
  <c r="D315" i="6"/>
  <c r="M314" i="6"/>
  <c r="F314" i="6"/>
  <c r="AB314" i="6" s="1"/>
  <c r="D314" i="6"/>
  <c r="M313" i="6"/>
  <c r="F313" i="6"/>
  <c r="AB313" i="6" s="1"/>
  <c r="D313" i="6"/>
  <c r="M312" i="6"/>
  <c r="F312" i="6"/>
  <c r="AB312" i="6" s="1"/>
  <c r="D312" i="6"/>
  <c r="M311" i="6"/>
  <c r="F311" i="6"/>
  <c r="AB311" i="6" s="1"/>
  <c r="D311" i="6"/>
  <c r="M310" i="6"/>
  <c r="F310" i="6"/>
  <c r="AB310" i="6" s="1"/>
  <c r="D310" i="6"/>
  <c r="M309" i="6"/>
  <c r="F309" i="6"/>
  <c r="AB309" i="6" s="1"/>
  <c r="D309" i="6"/>
  <c r="M308" i="6"/>
  <c r="F308" i="6"/>
  <c r="AB308" i="6" s="1"/>
  <c r="D308" i="6"/>
  <c r="M307" i="6"/>
  <c r="F307" i="6"/>
  <c r="AB307" i="6" s="1"/>
  <c r="D307" i="6"/>
  <c r="M306" i="6"/>
  <c r="F306" i="6"/>
  <c r="AB306" i="6" s="1"/>
  <c r="D306" i="6"/>
  <c r="M305" i="6"/>
  <c r="F305" i="6"/>
  <c r="AB305" i="6" s="1"/>
  <c r="D305" i="6"/>
  <c r="M304" i="6"/>
  <c r="F304" i="6"/>
  <c r="AB304" i="6" s="1"/>
  <c r="D304" i="6"/>
  <c r="M303" i="6"/>
  <c r="F303" i="6"/>
  <c r="AB303" i="6" s="1"/>
  <c r="D303" i="6"/>
  <c r="M302" i="6"/>
  <c r="F302" i="6"/>
  <c r="AB302" i="6" s="1"/>
  <c r="D302" i="6"/>
  <c r="M301" i="6"/>
  <c r="F301" i="6"/>
  <c r="AB301" i="6" s="1"/>
  <c r="D301" i="6"/>
  <c r="M300" i="6"/>
  <c r="F300" i="6"/>
  <c r="AB300" i="6" s="1"/>
  <c r="D300" i="6"/>
  <c r="M299" i="6"/>
  <c r="F299" i="6"/>
  <c r="AB299" i="6" s="1"/>
  <c r="D299" i="6"/>
  <c r="M298" i="6"/>
  <c r="F298" i="6"/>
  <c r="AB298" i="6" s="1"/>
  <c r="D298" i="6"/>
  <c r="M297" i="6"/>
  <c r="F297" i="6"/>
  <c r="AB297" i="6" s="1"/>
  <c r="D297" i="6"/>
  <c r="M296" i="6"/>
  <c r="F296" i="6"/>
  <c r="AB296" i="6" s="1"/>
  <c r="D296" i="6"/>
  <c r="M295" i="6"/>
  <c r="F295" i="6"/>
  <c r="AB295" i="6" s="1"/>
  <c r="D295" i="6"/>
  <c r="M294" i="6"/>
  <c r="F294" i="6"/>
  <c r="AB294" i="6" s="1"/>
  <c r="D294" i="6"/>
  <c r="M293" i="6"/>
  <c r="F293" i="6"/>
  <c r="AB293" i="6" s="1"/>
  <c r="D293" i="6"/>
  <c r="M292" i="6"/>
  <c r="F292" i="6"/>
  <c r="AB292" i="6" s="1"/>
  <c r="D292" i="6"/>
  <c r="M291" i="6"/>
  <c r="F291" i="6"/>
  <c r="AB291" i="6" s="1"/>
  <c r="D291" i="6"/>
  <c r="M290" i="6"/>
  <c r="F290" i="6"/>
  <c r="AB290" i="6" s="1"/>
  <c r="D290" i="6"/>
  <c r="M289" i="6"/>
  <c r="F289" i="6"/>
  <c r="AB289" i="6" s="1"/>
  <c r="D289" i="6"/>
  <c r="M288" i="6"/>
  <c r="F288" i="6"/>
  <c r="AB288" i="6" s="1"/>
  <c r="D288" i="6"/>
  <c r="M287" i="6"/>
  <c r="F287" i="6"/>
  <c r="AB287" i="6" s="1"/>
  <c r="D287" i="6"/>
  <c r="M286" i="6"/>
  <c r="F286" i="6"/>
  <c r="AB286" i="6" s="1"/>
  <c r="D286" i="6"/>
  <c r="M285" i="6"/>
  <c r="F285" i="6"/>
  <c r="AB285" i="6" s="1"/>
  <c r="D285" i="6"/>
  <c r="M284" i="6"/>
  <c r="F284" i="6"/>
  <c r="AB284" i="6" s="1"/>
  <c r="D284" i="6"/>
  <c r="M283" i="6"/>
  <c r="F283" i="6"/>
  <c r="AB283" i="6" s="1"/>
  <c r="D283" i="6"/>
  <c r="M282" i="6"/>
  <c r="F282" i="6"/>
  <c r="AB282" i="6" s="1"/>
  <c r="D282" i="6"/>
  <c r="M281" i="6"/>
  <c r="F244" i="6"/>
  <c r="AB244" i="6" s="1"/>
  <c r="D244" i="6"/>
  <c r="M206" i="6"/>
  <c r="F204" i="6"/>
  <c r="AB204" i="6" s="1"/>
  <c r="M201" i="6"/>
  <c r="D200" i="6"/>
  <c r="M197" i="6"/>
  <c r="D196" i="6"/>
  <c r="D194" i="6"/>
  <c r="D193" i="6"/>
  <c r="M192" i="6"/>
  <c r="M191" i="6"/>
  <c r="D186" i="6"/>
  <c r="M185" i="6"/>
  <c r="F185" i="6"/>
  <c r="AB185" i="6" s="1"/>
  <c r="D183" i="6"/>
  <c r="D182" i="6"/>
  <c r="F177" i="6"/>
  <c r="AB177" i="6" s="1"/>
  <c r="M176" i="6"/>
  <c r="F176" i="6"/>
  <c r="AB176" i="6" s="1"/>
  <c r="D176" i="6"/>
  <c r="F175" i="6"/>
  <c r="AB175" i="6" s="1"/>
  <c r="D175" i="6"/>
  <c r="D174" i="6"/>
  <c r="M173" i="6"/>
  <c r="F173" i="6"/>
  <c r="AB173" i="6" s="1"/>
  <c r="D173" i="6"/>
  <c r="M171" i="6"/>
  <c r="D170" i="6"/>
  <c r="M169" i="6"/>
  <c r="F169" i="6"/>
  <c r="AB169" i="6" s="1"/>
  <c r="D167" i="6"/>
  <c r="D165" i="6"/>
  <c r="D162" i="6"/>
  <c r="F161" i="6"/>
  <c r="AB161" i="6" s="1"/>
  <c r="M160" i="6"/>
  <c r="F160" i="6"/>
  <c r="AB160" i="6" s="1"/>
  <c r="D160" i="6"/>
  <c r="M159" i="6"/>
  <c r="F155" i="6"/>
  <c r="AB155" i="6" s="1"/>
  <c r="F154" i="6"/>
  <c r="AB154" i="6" s="1"/>
  <c r="M153" i="6"/>
  <c r="D152" i="6"/>
  <c r="D144" i="6"/>
  <c r="D139" i="6"/>
  <c r="D138" i="6"/>
  <c r="M137" i="6"/>
  <c r="M135" i="6"/>
  <c r="D135" i="6"/>
  <c r="F134" i="6"/>
  <c r="AB134" i="6" s="1"/>
  <c r="M133" i="6"/>
  <c r="F131" i="6"/>
  <c r="AB131" i="6" s="1"/>
  <c r="D129" i="6"/>
  <c r="F128" i="6"/>
  <c r="AB128" i="6" s="1"/>
  <c r="D128" i="6"/>
  <c r="F127" i="6"/>
  <c r="AB127" i="6" s="1"/>
  <c r="F126" i="6"/>
  <c r="AB126" i="6" s="1"/>
  <c r="F125" i="6"/>
  <c r="AB125" i="6" s="1"/>
  <c r="D125" i="6"/>
  <c r="D124" i="6"/>
  <c r="F119" i="6"/>
  <c r="AB119" i="6" s="1"/>
  <c r="F116" i="6"/>
  <c r="AB116" i="6" s="1"/>
  <c r="F114" i="6"/>
  <c r="AB114" i="6" s="1"/>
  <c r="D114" i="6"/>
  <c r="D111" i="6"/>
  <c r="D107" i="6"/>
  <c r="M105" i="6"/>
  <c r="F104" i="6"/>
  <c r="AB104" i="6" s="1"/>
  <c r="D104" i="6"/>
  <c r="M103" i="6"/>
  <c r="F101" i="6"/>
  <c r="AB101" i="6" s="1"/>
  <c r="M100" i="6"/>
  <c r="M99" i="6"/>
  <c r="D99" i="6"/>
  <c r="D98" i="6"/>
  <c r="F97" i="6"/>
  <c r="AB97" i="6" s="1"/>
  <c r="D87" i="6"/>
  <c r="M86" i="6"/>
  <c r="M82" i="6"/>
  <c r="D82" i="6"/>
  <c r="D78" i="6"/>
  <c r="D74" i="6"/>
  <c r="M72" i="6"/>
  <c r="M69" i="6"/>
  <c r="D64" i="6"/>
  <c r="M56" i="6"/>
  <c r="M55" i="6"/>
  <c r="D54" i="6"/>
  <c r="D52" i="6"/>
  <c r="M50" i="6"/>
  <c r="D47" i="6"/>
  <c r="M46" i="6"/>
  <c r="D46" i="6"/>
  <c r="D43" i="6"/>
  <c r="D42" i="6"/>
  <c r="M40" i="6"/>
  <c r="D40" i="6"/>
  <c r="M39" i="6"/>
  <c r="M38" i="6"/>
  <c r="M36" i="6"/>
  <c r="M33" i="6"/>
  <c r="F280" i="6"/>
  <c r="AB280" i="6" s="1"/>
  <c r="D280" i="6"/>
  <c r="M279" i="6"/>
  <c r="F279" i="6"/>
  <c r="AB279" i="6" s="1"/>
  <c r="D279" i="6"/>
  <c r="M278" i="6"/>
  <c r="F278" i="6"/>
  <c r="AB278" i="6" s="1"/>
  <c r="D278" i="6"/>
  <c r="M277" i="6"/>
  <c r="F277" i="6"/>
  <c r="AB277" i="6" s="1"/>
  <c r="D277" i="6"/>
  <c r="M276" i="6"/>
  <c r="F276" i="6"/>
  <c r="AB276" i="6" s="1"/>
  <c r="D276" i="6"/>
  <c r="M275" i="6"/>
  <c r="F275" i="6"/>
  <c r="AB275" i="6" s="1"/>
  <c r="D275" i="6"/>
  <c r="M274" i="6"/>
  <c r="F274" i="6"/>
  <c r="AB274" i="6" s="1"/>
  <c r="D274" i="6"/>
  <c r="M273" i="6"/>
  <c r="F273" i="6"/>
  <c r="AB273" i="6" s="1"/>
  <c r="D273" i="6"/>
  <c r="M272" i="6"/>
  <c r="F272" i="6"/>
  <c r="AB272" i="6" s="1"/>
  <c r="D272" i="6"/>
  <c r="M271" i="6"/>
  <c r="F271" i="6"/>
  <c r="AB271" i="6" s="1"/>
  <c r="D271" i="6"/>
  <c r="M270" i="6"/>
  <c r="F270" i="6"/>
  <c r="AB270" i="6" s="1"/>
  <c r="D270" i="6"/>
  <c r="M269" i="6"/>
  <c r="F269" i="6"/>
  <c r="AB269" i="6" s="1"/>
  <c r="D269" i="6"/>
  <c r="M268" i="6"/>
  <c r="F268" i="6"/>
  <c r="AB268" i="6" s="1"/>
  <c r="D268" i="6"/>
  <c r="M267" i="6"/>
  <c r="F267" i="6"/>
  <c r="AB267" i="6" s="1"/>
  <c r="D267" i="6"/>
  <c r="M266" i="6"/>
  <c r="F266" i="6"/>
  <c r="AB266" i="6" s="1"/>
  <c r="D266" i="6"/>
  <c r="M265" i="6"/>
  <c r="F265" i="6"/>
  <c r="AB265" i="6" s="1"/>
  <c r="D265" i="6"/>
  <c r="M264" i="6"/>
  <c r="F264" i="6"/>
  <c r="AB264" i="6" s="1"/>
  <c r="D264" i="6"/>
  <c r="M263" i="6"/>
  <c r="F263" i="6"/>
  <c r="AB263" i="6" s="1"/>
  <c r="D263" i="6"/>
  <c r="M262" i="6"/>
  <c r="F262" i="6"/>
  <c r="AB262" i="6" s="1"/>
  <c r="D262" i="6"/>
  <c r="M261" i="6"/>
  <c r="F261" i="6"/>
  <c r="AB261" i="6" s="1"/>
  <c r="D261" i="6"/>
  <c r="M260" i="6"/>
  <c r="F260" i="6"/>
  <c r="AB260" i="6" s="1"/>
  <c r="D260" i="6"/>
  <c r="M259" i="6"/>
  <c r="F259" i="6"/>
  <c r="AB259" i="6" s="1"/>
  <c r="D259" i="6"/>
  <c r="M258" i="6"/>
  <c r="F258" i="6"/>
  <c r="AB258" i="6" s="1"/>
  <c r="D258" i="6"/>
  <c r="M257" i="6"/>
  <c r="F257" i="6"/>
  <c r="AB257" i="6" s="1"/>
  <c r="D257" i="6"/>
  <c r="M256" i="6"/>
  <c r="F256" i="6"/>
  <c r="AB256" i="6" s="1"/>
  <c r="D256" i="6"/>
  <c r="M255" i="6"/>
  <c r="F255" i="6"/>
  <c r="AB255" i="6" s="1"/>
  <c r="D255" i="6"/>
  <c r="M254" i="6"/>
  <c r="F254" i="6"/>
  <c r="AB254" i="6" s="1"/>
  <c r="D254" i="6"/>
  <c r="M253" i="6"/>
  <c r="F253" i="6"/>
  <c r="AB253" i="6" s="1"/>
  <c r="D253" i="6"/>
  <c r="M252" i="6"/>
  <c r="F252" i="6"/>
  <c r="AB252" i="6" s="1"/>
  <c r="D252" i="6"/>
  <c r="M251" i="6"/>
  <c r="F251" i="6"/>
  <c r="AB251" i="6" s="1"/>
  <c r="D251" i="6"/>
  <c r="M250" i="6"/>
  <c r="F250" i="6"/>
  <c r="AB250" i="6" s="1"/>
  <c r="D250" i="6"/>
  <c r="M249" i="6"/>
  <c r="F249" i="6"/>
  <c r="AB249" i="6" s="1"/>
  <c r="D249" i="6"/>
  <c r="M248" i="6"/>
  <c r="F248" i="6"/>
  <c r="AB248" i="6" s="1"/>
  <c r="D248" i="6"/>
  <c r="M247" i="6"/>
  <c r="F247" i="6"/>
  <c r="AB247" i="6" s="1"/>
  <c r="D247" i="6"/>
  <c r="M246" i="6"/>
  <c r="F246" i="6"/>
  <c r="AB246" i="6" s="1"/>
  <c r="D246" i="6"/>
  <c r="M245" i="6"/>
  <c r="F245" i="6"/>
  <c r="AB245" i="6" s="1"/>
  <c r="D245" i="6"/>
  <c r="M244" i="6"/>
  <c r="M204" i="6"/>
  <c r="M200" i="6"/>
  <c r="F199" i="6"/>
  <c r="AB199" i="6" s="1"/>
  <c r="M198" i="6"/>
  <c r="F198" i="6"/>
  <c r="AB198" i="6" s="1"/>
  <c r="D195" i="6"/>
  <c r="F194" i="6"/>
  <c r="AB194" i="6" s="1"/>
  <c r="M193" i="6"/>
  <c r="F191" i="6"/>
  <c r="AB191" i="6" s="1"/>
  <c r="D191" i="6"/>
  <c r="D190" i="6"/>
  <c r="F189" i="6"/>
  <c r="AB189" i="6" s="1"/>
  <c r="D189" i="6"/>
  <c r="M187" i="6"/>
  <c r="F187" i="6"/>
  <c r="AB187" i="6" s="1"/>
  <c r="D187" i="6"/>
  <c r="M186" i="6"/>
  <c r="F186" i="6"/>
  <c r="AB186" i="6" s="1"/>
  <c r="M183" i="6"/>
  <c r="M179" i="6"/>
  <c r="F179" i="6"/>
  <c r="AB179" i="6" s="1"/>
  <c r="D179" i="6"/>
  <c r="M177" i="6"/>
  <c r="D171" i="6"/>
  <c r="M170" i="6"/>
  <c r="M165" i="6"/>
  <c r="F164" i="6"/>
  <c r="AB164" i="6" s="1"/>
  <c r="M162" i="6"/>
  <c r="F162" i="6"/>
  <c r="AB162" i="6" s="1"/>
  <c r="M157" i="6"/>
  <c r="F157" i="6"/>
  <c r="AB157" i="6" s="1"/>
  <c r="D157" i="6"/>
  <c r="M156" i="6"/>
  <c r="M152" i="6"/>
  <c r="M151" i="6"/>
  <c r="F151" i="6"/>
  <c r="AB151" i="6" s="1"/>
  <c r="D151" i="6"/>
  <c r="M147" i="6"/>
  <c r="F147" i="6"/>
  <c r="AB147" i="6" s="1"/>
  <c r="D147" i="6"/>
  <c r="D146" i="6"/>
  <c r="F145" i="6"/>
  <c r="AB145" i="6" s="1"/>
  <c r="M143" i="6"/>
  <c r="F143" i="6"/>
  <c r="AB143" i="6" s="1"/>
  <c r="D143" i="6"/>
  <c r="M140" i="6"/>
  <c r="F136" i="6"/>
  <c r="AB136" i="6" s="1"/>
  <c r="M129" i="6"/>
  <c r="M126" i="6"/>
  <c r="M125" i="6"/>
  <c r="M123" i="6"/>
  <c r="F123" i="6"/>
  <c r="AB123" i="6" s="1"/>
  <c r="M122" i="6"/>
  <c r="D121" i="6"/>
  <c r="D119" i="6"/>
  <c r="F117" i="6"/>
  <c r="AB117" i="6" s="1"/>
  <c r="F113" i="6"/>
  <c r="AB113" i="6" s="1"/>
  <c r="F112" i="6"/>
  <c r="AB112" i="6" s="1"/>
  <c r="D112" i="6"/>
  <c r="M108" i="6"/>
  <c r="M107" i="6"/>
  <c r="F106" i="6"/>
  <c r="AB106" i="6" s="1"/>
  <c r="D106" i="6"/>
  <c r="F105" i="6"/>
  <c r="AB105" i="6" s="1"/>
  <c r="F102" i="6"/>
  <c r="AB102" i="6" s="1"/>
  <c r="M387" i="6"/>
  <c r="F95" i="6"/>
  <c r="AB95" i="6" s="1"/>
  <c r="M94" i="6"/>
  <c r="D92" i="6"/>
  <c r="M91" i="6"/>
  <c r="D89" i="6"/>
  <c r="M88" i="6"/>
  <c r="D85" i="6"/>
  <c r="M84" i="6"/>
  <c r="M83" i="6"/>
  <c r="M75" i="6"/>
  <c r="M71" i="6"/>
  <c r="D71" i="6"/>
  <c r="D67" i="6"/>
  <c r="M66" i="6"/>
  <c r="M65" i="6"/>
  <c r="M64" i="6"/>
  <c r="M63" i="6"/>
  <c r="D63" i="6"/>
  <c r="D60" i="6"/>
  <c r="D59" i="6"/>
  <c r="M58" i="6"/>
  <c r="M52" i="6"/>
  <c r="M44" i="6"/>
  <c r="M43" i="6"/>
  <c r="D39" i="6"/>
  <c r="D37" i="6"/>
  <c r="M34" i="6"/>
  <c r="D30" i="6"/>
  <c r="M29" i="6"/>
  <c r="D29" i="6"/>
  <c r="D28" i="6"/>
  <c r="M243" i="6"/>
  <c r="F243" i="6"/>
  <c r="AB243" i="6" s="1"/>
  <c r="D243" i="6"/>
  <c r="M242" i="6"/>
  <c r="F242" i="6"/>
  <c r="AB242" i="6" s="1"/>
  <c r="D242" i="6"/>
  <c r="M241" i="6"/>
  <c r="F241" i="6"/>
  <c r="AB241" i="6" s="1"/>
  <c r="D241" i="6"/>
  <c r="M240" i="6"/>
  <c r="F240" i="6"/>
  <c r="AB240" i="6" s="1"/>
  <c r="D240" i="6"/>
  <c r="M239" i="6"/>
  <c r="F239" i="6"/>
  <c r="AB239" i="6" s="1"/>
  <c r="D239" i="6"/>
  <c r="M238" i="6"/>
  <c r="F238" i="6"/>
  <c r="AB238" i="6" s="1"/>
  <c r="D238" i="6"/>
  <c r="M237" i="6"/>
  <c r="F237" i="6"/>
  <c r="AB237" i="6" s="1"/>
  <c r="D237" i="6"/>
  <c r="M236" i="6"/>
  <c r="F236" i="6"/>
  <c r="AB236" i="6" s="1"/>
  <c r="D236" i="6"/>
  <c r="M235" i="6"/>
  <c r="F235" i="6"/>
  <c r="AB235" i="6" s="1"/>
  <c r="D235" i="6"/>
  <c r="M234" i="6"/>
  <c r="F234" i="6"/>
  <c r="AB234" i="6" s="1"/>
  <c r="D234" i="6"/>
  <c r="M233" i="6"/>
  <c r="F233" i="6"/>
  <c r="AB233" i="6" s="1"/>
  <c r="D233" i="6"/>
  <c r="M232" i="6"/>
  <c r="F232" i="6"/>
  <c r="AB232" i="6" s="1"/>
  <c r="D232" i="6"/>
  <c r="M231" i="6"/>
  <c r="F231" i="6"/>
  <c r="AB231" i="6" s="1"/>
  <c r="D231" i="6"/>
  <c r="M230" i="6"/>
  <c r="F230" i="6"/>
  <c r="AB230" i="6" s="1"/>
  <c r="D230" i="6"/>
  <c r="M229" i="6"/>
  <c r="F229" i="6"/>
  <c r="AB229" i="6" s="1"/>
  <c r="D229" i="6"/>
  <c r="M228" i="6"/>
  <c r="F228" i="6"/>
  <c r="AB228" i="6" s="1"/>
  <c r="D228" i="6"/>
  <c r="M227" i="6"/>
  <c r="F227" i="6"/>
  <c r="AB227" i="6" s="1"/>
  <c r="D227" i="6"/>
  <c r="M226" i="6"/>
  <c r="F226" i="6"/>
  <c r="AB226" i="6" s="1"/>
  <c r="D226" i="6"/>
  <c r="M225" i="6"/>
  <c r="F225" i="6"/>
  <c r="AB225" i="6" s="1"/>
  <c r="D225" i="6"/>
  <c r="M224" i="6"/>
  <c r="F224" i="6"/>
  <c r="AB224" i="6" s="1"/>
  <c r="D224" i="6"/>
  <c r="M223" i="6"/>
  <c r="F223" i="6"/>
  <c r="AB223" i="6" s="1"/>
  <c r="D223" i="6"/>
  <c r="M222" i="6"/>
  <c r="F222" i="6"/>
  <c r="AB222" i="6" s="1"/>
  <c r="D222" i="6"/>
  <c r="M221" i="6"/>
  <c r="F221" i="6"/>
  <c r="AB221" i="6" s="1"/>
  <c r="D221" i="6"/>
  <c r="M220" i="6"/>
  <c r="F220" i="6"/>
  <c r="AB220" i="6" s="1"/>
  <c r="D220" i="6"/>
  <c r="M219" i="6"/>
  <c r="F219" i="6"/>
  <c r="AB219" i="6" s="1"/>
  <c r="D219" i="6"/>
  <c r="M218" i="6"/>
  <c r="F218" i="6"/>
  <c r="AB218" i="6" s="1"/>
  <c r="D218" i="6"/>
  <c r="M217" i="6"/>
  <c r="F217" i="6"/>
  <c r="AB217" i="6" s="1"/>
  <c r="D217" i="6"/>
  <c r="M216" i="6"/>
  <c r="F216" i="6"/>
  <c r="AB216" i="6" s="1"/>
  <c r="D216" i="6"/>
  <c r="M215" i="6"/>
  <c r="F215" i="6"/>
  <c r="AB215" i="6" s="1"/>
  <c r="D215" i="6"/>
  <c r="M214" i="6"/>
  <c r="F214" i="6"/>
  <c r="AB214" i="6" s="1"/>
  <c r="D214" i="6"/>
  <c r="M213" i="6"/>
  <c r="F213" i="6"/>
  <c r="AB213" i="6" s="1"/>
  <c r="D213" i="6"/>
  <c r="M212" i="6"/>
  <c r="F212" i="6"/>
  <c r="AB212" i="6" s="1"/>
  <c r="M101" i="6"/>
  <c r="M211" i="6"/>
  <c r="F211" i="6"/>
  <c r="AB211" i="6" s="1"/>
  <c r="D211" i="6"/>
  <c r="M210" i="6"/>
  <c r="F210" i="6"/>
  <c r="AB210" i="6" s="1"/>
  <c r="D210" i="6"/>
  <c r="M209" i="6"/>
  <c r="F209" i="6"/>
  <c r="AB209" i="6" s="1"/>
  <c r="D209" i="6"/>
  <c r="M208" i="6"/>
  <c r="F208" i="6"/>
  <c r="AB208" i="6" s="1"/>
  <c r="D208" i="6"/>
  <c r="M207" i="6"/>
  <c r="F206" i="6"/>
  <c r="AB206" i="6" s="1"/>
  <c r="D206" i="6"/>
  <c r="D204" i="6"/>
  <c r="M203" i="6"/>
  <c r="F202" i="6"/>
  <c r="AB202" i="6" s="1"/>
  <c r="D202" i="6"/>
  <c r="F201" i="6"/>
  <c r="AB201" i="6" s="1"/>
  <c r="D201" i="6"/>
  <c r="D198" i="6"/>
  <c r="F195" i="6"/>
  <c r="AB195" i="6" s="1"/>
  <c r="F193" i="6"/>
  <c r="AB193" i="6" s="1"/>
  <c r="D192" i="6"/>
  <c r="M190" i="6"/>
  <c r="M184" i="6"/>
  <c r="F184" i="6"/>
  <c r="AB184" i="6" s="1"/>
  <c r="M181" i="6"/>
  <c r="M180" i="6"/>
  <c r="F180" i="6"/>
  <c r="AB180" i="6" s="1"/>
  <c r="M175" i="6"/>
  <c r="M174" i="6"/>
  <c r="F174" i="6"/>
  <c r="AB174" i="6" s="1"/>
  <c r="F172" i="6"/>
  <c r="AB172" i="6" s="1"/>
  <c r="D172" i="6"/>
  <c r="F171" i="6"/>
  <c r="AB171" i="6" s="1"/>
  <c r="F170" i="6"/>
  <c r="AB170" i="6" s="1"/>
  <c r="D169" i="6"/>
  <c r="M168" i="6"/>
  <c r="F168" i="6"/>
  <c r="AB168" i="6" s="1"/>
  <c r="D168" i="6"/>
  <c r="F167" i="6"/>
  <c r="AB167" i="6" s="1"/>
  <c r="M166" i="6"/>
  <c r="F166" i="6"/>
  <c r="AB166" i="6" s="1"/>
  <c r="D166" i="6"/>
  <c r="D164" i="6"/>
  <c r="F163" i="6"/>
  <c r="AB163" i="6" s="1"/>
  <c r="D163" i="6"/>
  <c r="M161" i="6"/>
  <c r="D159" i="6"/>
  <c r="F156" i="6"/>
  <c r="AB156" i="6" s="1"/>
  <c r="M155" i="6"/>
  <c r="D155" i="6"/>
  <c r="M154" i="6"/>
  <c r="D154" i="6"/>
  <c r="F153" i="6"/>
  <c r="AB153" i="6" s="1"/>
  <c r="D153" i="6"/>
  <c r="F152" i="6"/>
  <c r="AB152" i="6" s="1"/>
  <c r="D149" i="6"/>
  <c r="M148" i="6"/>
  <c r="D148" i="6"/>
  <c r="M142" i="6"/>
  <c r="F142" i="6"/>
  <c r="AB142" i="6" s="1"/>
  <c r="F135" i="6"/>
  <c r="AB135" i="6" s="1"/>
  <c r="M134" i="6"/>
  <c r="F133" i="6"/>
  <c r="AB133" i="6" s="1"/>
  <c r="F132" i="6"/>
  <c r="AB132" i="6" s="1"/>
  <c r="M131" i="6"/>
  <c r="F130" i="6"/>
  <c r="AB130" i="6" s="1"/>
  <c r="F129" i="6"/>
  <c r="AB129" i="6" s="1"/>
  <c r="F124" i="6"/>
  <c r="AB124" i="6" s="1"/>
  <c r="F122" i="6"/>
  <c r="AB122" i="6" s="1"/>
  <c r="D122" i="6"/>
  <c r="M121" i="6"/>
  <c r="D118" i="6"/>
  <c r="D115" i="6"/>
  <c r="M114" i="6"/>
  <c r="M113" i="6"/>
  <c r="D113" i="6"/>
  <c r="M110" i="6"/>
  <c r="D110" i="6"/>
  <c r="D109" i="6"/>
  <c r="F107" i="6"/>
  <c r="AB107" i="6" s="1"/>
  <c r="D101" i="6"/>
  <c r="F100" i="6"/>
  <c r="AB100" i="6" s="1"/>
  <c r="D100" i="6"/>
  <c r="F99" i="6"/>
  <c r="AB99" i="6" s="1"/>
  <c r="M93" i="6"/>
  <c r="F92" i="6"/>
  <c r="AB92" i="6" s="1"/>
  <c r="F91" i="6"/>
  <c r="AB91" i="6" s="1"/>
  <c r="D91" i="6"/>
  <c r="F90" i="6"/>
  <c r="AB90" i="6" s="1"/>
  <c r="D90" i="6"/>
  <c r="M89" i="6"/>
  <c r="M85" i="6"/>
  <c r="D81" i="6"/>
  <c r="M79" i="6"/>
  <c r="M78" i="6"/>
  <c r="M76" i="6"/>
  <c r="D75" i="6"/>
  <c r="D73" i="6"/>
  <c r="M70" i="6"/>
  <c r="D69" i="6"/>
  <c r="M67" i="6"/>
  <c r="D61" i="6"/>
  <c r="M60" i="6"/>
  <c r="M59" i="6"/>
  <c r="D58" i="6"/>
  <c r="D57" i="6"/>
  <c r="D56" i="6"/>
  <c r="M54" i="6"/>
  <c r="M53" i="6"/>
  <c r="M51" i="6"/>
  <c r="D50" i="6"/>
  <c r="D48" i="6"/>
  <c r="M47" i="6"/>
  <c r="M32" i="6"/>
  <c r="D212" i="6"/>
  <c r="E387" i="6" l="1"/>
  <c r="G387" i="6"/>
  <c r="H387" i="6" s="1"/>
  <c r="I387" i="6"/>
  <c r="J387" i="6"/>
  <c r="K387" i="6"/>
  <c r="L387" i="6"/>
  <c r="N387" i="6" s="1"/>
  <c r="E386" i="6"/>
  <c r="G386" i="6"/>
  <c r="H386" i="6"/>
  <c r="I386" i="6"/>
  <c r="J386" i="6"/>
  <c r="K386" i="6"/>
  <c r="L386" i="6"/>
  <c r="N386" i="6" s="1"/>
  <c r="E385" i="6"/>
  <c r="G385" i="6"/>
  <c r="H385" i="6"/>
  <c r="I385" i="6"/>
  <c r="J385" i="6"/>
  <c r="K385" i="6"/>
  <c r="L385" i="6"/>
  <c r="N385" i="6" s="1"/>
  <c r="E384" i="6"/>
  <c r="G384" i="6"/>
  <c r="H384" i="6"/>
  <c r="I384" i="6"/>
  <c r="J384" i="6"/>
  <c r="K384" i="6"/>
  <c r="L384" i="6"/>
  <c r="N384" i="6" s="1"/>
  <c r="E383" i="6"/>
  <c r="G383" i="6"/>
  <c r="H383" i="6"/>
  <c r="I383" i="6"/>
  <c r="J383" i="6"/>
  <c r="K383" i="6"/>
  <c r="L383" i="6"/>
  <c r="N383" i="6" s="1"/>
  <c r="E382" i="6"/>
  <c r="G382" i="6"/>
  <c r="H382" i="6"/>
  <c r="I382" i="6"/>
  <c r="J382" i="6"/>
  <c r="K382" i="6"/>
  <c r="L382" i="6"/>
  <c r="N382" i="6" s="1"/>
  <c r="E381" i="6"/>
  <c r="G381" i="6"/>
  <c r="H381" i="6" s="1"/>
  <c r="I381" i="6"/>
  <c r="J381" i="6"/>
  <c r="K381" i="6"/>
  <c r="L381" i="6"/>
  <c r="N381" i="6" s="1"/>
  <c r="E380" i="6"/>
  <c r="G380" i="6"/>
  <c r="H380" i="6" s="1"/>
  <c r="I380" i="6"/>
  <c r="J380" i="6"/>
  <c r="K380" i="6"/>
  <c r="L380" i="6"/>
  <c r="N380" i="6" s="1"/>
  <c r="E379" i="6"/>
  <c r="G379" i="6"/>
  <c r="H379" i="6"/>
  <c r="I379" i="6"/>
  <c r="J379" i="6"/>
  <c r="K379" i="6"/>
  <c r="L379" i="6"/>
  <c r="N379" i="6" s="1"/>
  <c r="E378" i="6"/>
  <c r="G378" i="6"/>
  <c r="H378" i="6" s="1"/>
  <c r="I378" i="6"/>
  <c r="J378" i="6"/>
  <c r="K378" i="6"/>
  <c r="L378" i="6"/>
  <c r="N378" i="6" s="1"/>
  <c r="E377" i="6"/>
  <c r="G377" i="6"/>
  <c r="H377" i="6"/>
  <c r="I377" i="6"/>
  <c r="J377" i="6"/>
  <c r="K377" i="6"/>
  <c r="L377" i="6"/>
  <c r="N377" i="6" s="1"/>
  <c r="E376" i="6"/>
  <c r="G376" i="6"/>
  <c r="H376" i="6"/>
  <c r="I376" i="6"/>
  <c r="J376" i="6"/>
  <c r="K376" i="6"/>
  <c r="L376" i="6"/>
  <c r="N376" i="6" s="1"/>
  <c r="E375" i="6"/>
  <c r="G375" i="6"/>
  <c r="H375" i="6" s="1"/>
  <c r="I375" i="6"/>
  <c r="J375" i="6"/>
  <c r="K375" i="6"/>
  <c r="L375" i="6"/>
  <c r="N375" i="6" s="1"/>
  <c r="E374" i="6"/>
  <c r="G374" i="6"/>
  <c r="H374" i="6" s="1"/>
  <c r="I374" i="6"/>
  <c r="J374" i="6"/>
  <c r="K374" i="6"/>
  <c r="L374" i="6"/>
  <c r="N374" i="6" s="1"/>
  <c r="E373" i="6"/>
  <c r="G373" i="6"/>
  <c r="H373" i="6"/>
  <c r="I373" i="6"/>
  <c r="J373" i="6"/>
  <c r="K373" i="6"/>
  <c r="L373" i="6"/>
  <c r="N373" i="6" s="1"/>
  <c r="E372" i="6"/>
  <c r="G372" i="6"/>
  <c r="H372" i="6"/>
  <c r="I372" i="6"/>
  <c r="J372" i="6"/>
  <c r="K372" i="6"/>
  <c r="L372" i="6"/>
  <c r="N372" i="6" s="1"/>
  <c r="E371" i="6"/>
  <c r="G371" i="6"/>
  <c r="H371" i="6" s="1"/>
  <c r="I371" i="6"/>
  <c r="J371" i="6"/>
  <c r="K371" i="6"/>
  <c r="L371" i="6"/>
  <c r="N371" i="6" s="1"/>
  <c r="E370" i="6"/>
  <c r="G370" i="6"/>
  <c r="H370" i="6" s="1"/>
  <c r="I370" i="6"/>
  <c r="J370" i="6"/>
  <c r="K370" i="6"/>
  <c r="L370" i="6"/>
  <c r="N370" i="6" s="1"/>
  <c r="E369" i="6"/>
  <c r="G369" i="6"/>
  <c r="H369" i="6" s="1"/>
  <c r="I369" i="6"/>
  <c r="J369" i="6"/>
  <c r="K369" i="6"/>
  <c r="L369" i="6"/>
  <c r="N369" i="6" s="1"/>
  <c r="E368" i="6"/>
  <c r="G368" i="6"/>
  <c r="H368" i="6" s="1"/>
  <c r="I368" i="6"/>
  <c r="J368" i="6"/>
  <c r="K368" i="6"/>
  <c r="L368" i="6"/>
  <c r="N368" i="6" s="1"/>
  <c r="E367" i="6"/>
  <c r="G367" i="6"/>
  <c r="H367" i="6" s="1"/>
  <c r="I367" i="6"/>
  <c r="J367" i="6"/>
  <c r="K367" i="6"/>
  <c r="L367" i="6"/>
  <c r="N367" i="6" s="1"/>
  <c r="E366" i="6"/>
  <c r="G366" i="6"/>
  <c r="H366" i="6" s="1"/>
  <c r="I366" i="6"/>
  <c r="J366" i="6"/>
  <c r="K366" i="6"/>
  <c r="L366" i="6"/>
  <c r="N366" i="6" s="1"/>
  <c r="E365" i="6"/>
  <c r="G365" i="6"/>
  <c r="H365" i="6" s="1"/>
  <c r="I365" i="6"/>
  <c r="J365" i="6"/>
  <c r="K365" i="6"/>
  <c r="L365" i="6"/>
  <c r="N365" i="6" s="1"/>
  <c r="E364" i="6"/>
  <c r="G364" i="6"/>
  <c r="H364" i="6" s="1"/>
  <c r="I364" i="6"/>
  <c r="J364" i="6"/>
  <c r="K364" i="6"/>
  <c r="L364" i="6"/>
  <c r="N364" i="6" s="1"/>
  <c r="E363" i="6"/>
  <c r="G363" i="6"/>
  <c r="H363" i="6" s="1"/>
  <c r="I363" i="6"/>
  <c r="J363" i="6"/>
  <c r="K363" i="6"/>
  <c r="L363" i="6"/>
  <c r="N363" i="6" s="1"/>
  <c r="E362" i="6"/>
  <c r="G362" i="6"/>
  <c r="H362" i="6" s="1"/>
  <c r="I362" i="6"/>
  <c r="J362" i="6"/>
  <c r="K362" i="6"/>
  <c r="L362" i="6"/>
  <c r="N362" i="6" s="1"/>
  <c r="E361" i="6"/>
  <c r="G361" i="6"/>
  <c r="H361" i="6" s="1"/>
  <c r="I361" i="6"/>
  <c r="J361" i="6"/>
  <c r="K361" i="6"/>
  <c r="L361" i="6"/>
  <c r="N361" i="6" s="1"/>
  <c r="E360" i="6"/>
  <c r="G360" i="6"/>
  <c r="H360" i="6" s="1"/>
  <c r="I360" i="6"/>
  <c r="J360" i="6"/>
  <c r="K360" i="6"/>
  <c r="L360" i="6"/>
  <c r="N360" i="6" s="1"/>
  <c r="E359" i="6"/>
  <c r="G359" i="6"/>
  <c r="H359" i="6" s="1"/>
  <c r="I359" i="6"/>
  <c r="J359" i="6"/>
  <c r="K359" i="6"/>
  <c r="L359" i="6"/>
  <c r="N359" i="6" s="1"/>
  <c r="E358" i="6"/>
  <c r="G358" i="6"/>
  <c r="H358" i="6" s="1"/>
  <c r="I358" i="6"/>
  <c r="J358" i="6"/>
  <c r="K358" i="6"/>
  <c r="L358" i="6"/>
  <c r="N358" i="6" s="1"/>
  <c r="E357" i="6"/>
  <c r="G357" i="6"/>
  <c r="H357" i="6" s="1"/>
  <c r="I357" i="6"/>
  <c r="J357" i="6"/>
  <c r="K357" i="6"/>
  <c r="L357" i="6"/>
  <c r="N357" i="6" s="1"/>
  <c r="E356" i="6"/>
  <c r="G356" i="6"/>
  <c r="H356" i="6" s="1"/>
  <c r="I356" i="6"/>
  <c r="J356" i="6"/>
  <c r="K356" i="6"/>
  <c r="L356" i="6"/>
  <c r="N356" i="6" s="1"/>
  <c r="E355" i="6"/>
  <c r="G355" i="6"/>
  <c r="H355" i="6"/>
  <c r="I355" i="6"/>
  <c r="J355" i="6"/>
  <c r="K355" i="6"/>
  <c r="L355" i="6"/>
  <c r="N355" i="6" s="1"/>
  <c r="E354" i="6"/>
  <c r="G354" i="6"/>
  <c r="H354" i="6" s="1"/>
  <c r="I354" i="6"/>
  <c r="J354" i="6"/>
  <c r="K354" i="6"/>
  <c r="L354" i="6"/>
  <c r="N354" i="6" s="1"/>
  <c r="E353" i="6"/>
  <c r="G353" i="6"/>
  <c r="H353" i="6" s="1"/>
  <c r="I353" i="6"/>
  <c r="J353" i="6"/>
  <c r="K353" i="6"/>
  <c r="L353" i="6"/>
  <c r="N353" i="6" s="1"/>
  <c r="K137" i="6"/>
  <c r="G137" i="6"/>
  <c r="L137" i="6"/>
  <c r="N137" i="6" s="1"/>
  <c r="H137" i="6"/>
  <c r="E137" i="6"/>
  <c r="J137" i="6"/>
  <c r="I137" i="6"/>
  <c r="G136" i="6"/>
  <c r="H136" i="6" s="1"/>
  <c r="L136" i="6"/>
  <c r="N136" i="6" s="1"/>
  <c r="K136" i="6"/>
  <c r="J136" i="6"/>
  <c r="E136" i="6"/>
  <c r="I136" i="6"/>
  <c r="I130" i="6"/>
  <c r="K130" i="6"/>
  <c r="G130" i="6"/>
  <c r="L130" i="6"/>
  <c r="N130" i="6" s="1"/>
  <c r="E130" i="6"/>
  <c r="J130" i="6"/>
  <c r="H130" i="6"/>
  <c r="J126" i="6"/>
  <c r="G126" i="6"/>
  <c r="L126" i="6"/>
  <c r="N126" i="6" s="1"/>
  <c r="E126" i="6"/>
  <c r="I126" i="6"/>
  <c r="K126" i="6"/>
  <c r="H126" i="6"/>
  <c r="I123" i="6"/>
  <c r="E123" i="6"/>
  <c r="L123" i="6"/>
  <c r="N123" i="6" s="1"/>
  <c r="J123" i="6"/>
  <c r="G123" i="6"/>
  <c r="H123" i="6" s="1"/>
  <c r="K123" i="6"/>
  <c r="G105" i="6"/>
  <c r="H105" i="6" s="1"/>
  <c r="K105" i="6"/>
  <c r="L105" i="6"/>
  <c r="N105" i="6" s="1"/>
  <c r="E105" i="6"/>
  <c r="J105" i="6"/>
  <c r="I105" i="6"/>
  <c r="I95" i="6"/>
  <c r="G95" i="6"/>
  <c r="L95" i="6"/>
  <c r="N95" i="6" s="1"/>
  <c r="K95" i="6"/>
  <c r="E95" i="6"/>
  <c r="H95" i="6"/>
  <c r="J95" i="6"/>
  <c r="I86" i="6"/>
  <c r="E86" i="6"/>
  <c r="J86" i="6"/>
  <c r="G86" i="6"/>
  <c r="H86" i="6" s="1"/>
  <c r="K86" i="6"/>
  <c r="E84" i="6"/>
  <c r="J84" i="6"/>
  <c r="I84" i="6"/>
  <c r="G84" i="6"/>
  <c r="H84" i="6" s="1"/>
  <c r="K84" i="6"/>
  <c r="K83" i="6"/>
  <c r="I83" i="6"/>
  <c r="G83" i="6"/>
  <c r="H83" i="6" s="1"/>
  <c r="E83" i="6"/>
  <c r="J83" i="6"/>
  <c r="I80" i="6"/>
  <c r="E80" i="6"/>
  <c r="J80" i="6"/>
  <c r="G80" i="6"/>
  <c r="H80" i="6" s="1"/>
  <c r="K80" i="6"/>
  <c r="I72" i="6"/>
  <c r="E72" i="6"/>
  <c r="J72" i="6"/>
  <c r="G72" i="6"/>
  <c r="H72" i="6" s="1"/>
  <c r="K72" i="6"/>
  <c r="E70" i="6"/>
  <c r="I70" i="6"/>
  <c r="J70" i="6"/>
  <c r="G70" i="6"/>
  <c r="K70" i="6"/>
  <c r="H70" i="6"/>
  <c r="G68" i="6"/>
  <c r="H68" i="6" s="1"/>
  <c r="K68" i="6"/>
  <c r="E68" i="6"/>
  <c r="J68" i="6"/>
  <c r="I68" i="6"/>
  <c r="K66" i="6"/>
  <c r="G66" i="6"/>
  <c r="E66" i="6"/>
  <c r="J66" i="6"/>
  <c r="I66" i="6"/>
  <c r="H66" i="6"/>
  <c r="E62" i="6"/>
  <c r="J62" i="6"/>
  <c r="G62" i="6"/>
  <c r="H62" i="6" s="1"/>
  <c r="K62" i="6"/>
  <c r="I62" i="6"/>
  <c r="K38" i="6"/>
  <c r="G38" i="6"/>
  <c r="H38" i="6" s="1"/>
  <c r="E38" i="6"/>
  <c r="I38" i="6"/>
  <c r="J38" i="6"/>
  <c r="I35" i="6"/>
  <c r="E35" i="6"/>
  <c r="J35" i="6"/>
  <c r="G35" i="6"/>
  <c r="H35" i="6" s="1"/>
  <c r="K35" i="6"/>
  <c r="J32" i="6"/>
  <c r="E32" i="6"/>
  <c r="I32" i="6"/>
  <c r="G32" i="6"/>
  <c r="H32" i="6" s="1"/>
  <c r="K32" i="6"/>
  <c r="E352" i="6"/>
  <c r="G352" i="6"/>
  <c r="H352" i="6" s="1"/>
  <c r="I352" i="6"/>
  <c r="J352" i="6"/>
  <c r="K352" i="6"/>
  <c r="L352" i="6"/>
  <c r="N352" i="6" s="1"/>
  <c r="E351" i="6"/>
  <c r="G351" i="6"/>
  <c r="H351" i="6" s="1"/>
  <c r="I351" i="6"/>
  <c r="J351" i="6"/>
  <c r="K351" i="6"/>
  <c r="L351" i="6"/>
  <c r="N351" i="6" s="1"/>
  <c r="E350" i="6"/>
  <c r="G350" i="6"/>
  <c r="H350" i="6" s="1"/>
  <c r="I350" i="6"/>
  <c r="J350" i="6"/>
  <c r="K350" i="6"/>
  <c r="L350" i="6"/>
  <c r="N350" i="6" s="1"/>
  <c r="E349" i="6"/>
  <c r="G349" i="6"/>
  <c r="H349" i="6" s="1"/>
  <c r="I349" i="6"/>
  <c r="J349" i="6"/>
  <c r="K349" i="6"/>
  <c r="L349" i="6"/>
  <c r="N349" i="6" s="1"/>
  <c r="E348" i="6"/>
  <c r="G348" i="6"/>
  <c r="H348" i="6" s="1"/>
  <c r="I348" i="6"/>
  <c r="J348" i="6"/>
  <c r="K348" i="6"/>
  <c r="L348" i="6"/>
  <c r="N348" i="6" s="1"/>
  <c r="E347" i="6"/>
  <c r="G347" i="6"/>
  <c r="H347" i="6" s="1"/>
  <c r="I347" i="6"/>
  <c r="J347" i="6"/>
  <c r="K347" i="6"/>
  <c r="L347" i="6"/>
  <c r="N347" i="6" s="1"/>
  <c r="E346" i="6"/>
  <c r="G346" i="6"/>
  <c r="H346" i="6" s="1"/>
  <c r="I346" i="6"/>
  <c r="J346" i="6"/>
  <c r="K346" i="6"/>
  <c r="L346" i="6"/>
  <c r="N346" i="6" s="1"/>
  <c r="E345" i="6"/>
  <c r="G345" i="6"/>
  <c r="H345" i="6" s="1"/>
  <c r="I345" i="6"/>
  <c r="J345" i="6"/>
  <c r="K345" i="6"/>
  <c r="L345" i="6"/>
  <c r="N345" i="6" s="1"/>
  <c r="E344" i="6"/>
  <c r="G344" i="6"/>
  <c r="H344" i="6" s="1"/>
  <c r="I344" i="6"/>
  <c r="J344" i="6"/>
  <c r="K344" i="6"/>
  <c r="L344" i="6"/>
  <c r="N344" i="6" s="1"/>
  <c r="E343" i="6"/>
  <c r="G343" i="6"/>
  <c r="H343" i="6" s="1"/>
  <c r="I343" i="6"/>
  <c r="J343" i="6"/>
  <c r="K343" i="6"/>
  <c r="L343" i="6"/>
  <c r="N343" i="6" s="1"/>
  <c r="E342" i="6"/>
  <c r="G342" i="6"/>
  <c r="H342" i="6" s="1"/>
  <c r="I342" i="6"/>
  <c r="J342" i="6"/>
  <c r="K342" i="6"/>
  <c r="L342" i="6"/>
  <c r="N342" i="6" s="1"/>
  <c r="E341" i="6"/>
  <c r="G341" i="6"/>
  <c r="H341" i="6" s="1"/>
  <c r="I341" i="6"/>
  <c r="J341" i="6"/>
  <c r="K341" i="6"/>
  <c r="L341" i="6"/>
  <c r="N341" i="6" s="1"/>
  <c r="E340" i="6"/>
  <c r="G340" i="6"/>
  <c r="H340" i="6" s="1"/>
  <c r="I340" i="6"/>
  <c r="J340" i="6"/>
  <c r="K340" i="6"/>
  <c r="L340" i="6"/>
  <c r="N340" i="6" s="1"/>
  <c r="E339" i="6"/>
  <c r="G339" i="6"/>
  <c r="H339" i="6" s="1"/>
  <c r="I339" i="6"/>
  <c r="J339" i="6"/>
  <c r="K339" i="6"/>
  <c r="L339" i="6"/>
  <c r="N339" i="6" s="1"/>
  <c r="E338" i="6"/>
  <c r="G338" i="6"/>
  <c r="H338" i="6" s="1"/>
  <c r="I338" i="6"/>
  <c r="J338" i="6"/>
  <c r="K338" i="6"/>
  <c r="L338" i="6"/>
  <c r="N338" i="6" s="1"/>
  <c r="E337" i="6"/>
  <c r="G337" i="6"/>
  <c r="H337" i="6" s="1"/>
  <c r="I337" i="6"/>
  <c r="J337" i="6"/>
  <c r="K337" i="6"/>
  <c r="L337" i="6"/>
  <c r="N337" i="6" s="1"/>
  <c r="E336" i="6"/>
  <c r="G336" i="6"/>
  <c r="H336" i="6" s="1"/>
  <c r="I336" i="6"/>
  <c r="J336" i="6"/>
  <c r="K336" i="6"/>
  <c r="L336" i="6"/>
  <c r="N336" i="6" s="1"/>
  <c r="E335" i="6"/>
  <c r="G335" i="6"/>
  <c r="H335" i="6" s="1"/>
  <c r="I335" i="6"/>
  <c r="J335" i="6"/>
  <c r="K335" i="6"/>
  <c r="L335" i="6"/>
  <c r="N335" i="6" s="1"/>
  <c r="E334" i="6"/>
  <c r="G334" i="6"/>
  <c r="H334" i="6" s="1"/>
  <c r="I334" i="6"/>
  <c r="J334" i="6"/>
  <c r="K334" i="6"/>
  <c r="L334" i="6"/>
  <c r="N334" i="6" s="1"/>
  <c r="E333" i="6"/>
  <c r="G333" i="6"/>
  <c r="H333" i="6" s="1"/>
  <c r="I333" i="6"/>
  <c r="J333" i="6"/>
  <c r="K333" i="6"/>
  <c r="L333" i="6"/>
  <c r="N333" i="6" s="1"/>
  <c r="E332" i="6"/>
  <c r="G332" i="6"/>
  <c r="H332" i="6" s="1"/>
  <c r="I332" i="6"/>
  <c r="J332" i="6"/>
  <c r="K332" i="6"/>
  <c r="L332" i="6"/>
  <c r="N332" i="6" s="1"/>
  <c r="E331" i="6"/>
  <c r="G331" i="6"/>
  <c r="H331" i="6" s="1"/>
  <c r="I331" i="6"/>
  <c r="J331" i="6"/>
  <c r="K331" i="6"/>
  <c r="L331" i="6"/>
  <c r="N331" i="6" s="1"/>
  <c r="E330" i="6"/>
  <c r="G330" i="6"/>
  <c r="H330" i="6" s="1"/>
  <c r="I330" i="6"/>
  <c r="J330" i="6"/>
  <c r="K330" i="6"/>
  <c r="L330" i="6"/>
  <c r="N330" i="6" s="1"/>
  <c r="E329" i="6"/>
  <c r="G329" i="6"/>
  <c r="H329" i="6" s="1"/>
  <c r="I329" i="6"/>
  <c r="J329" i="6"/>
  <c r="K329" i="6"/>
  <c r="L329" i="6"/>
  <c r="N329" i="6" s="1"/>
  <c r="E328" i="6"/>
  <c r="G328" i="6"/>
  <c r="H328" i="6" s="1"/>
  <c r="I328" i="6"/>
  <c r="J328" i="6"/>
  <c r="K328" i="6"/>
  <c r="L328" i="6"/>
  <c r="N328" i="6" s="1"/>
  <c r="E327" i="6"/>
  <c r="G327" i="6"/>
  <c r="H327" i="6" s="1"/>
  <c r="I327" i="6"/>
  <c r="J327" i="6"/>
  <c r="K327" i="6"/>
  <c r="L327" i="6"/>
  <c r="N327" i="6" s="1"/>
  <c r="E326" i="6"/>
  <c r="G326" i="6"/>
  <c r="H326" i="6" s="1"/>
  <c r="I326" i="6"/>
  <c r="J326" i="6"/>
  <c r="K326" i="6"/>
  <c r="L326" i="6"/>
  <c r="N326" i="6" s="1"/>
  <c r="E325" i="6"/>
  <c r="G325" i="6"/>
  <c r="H325" i="6" s="1"/>
  <c r="I325" i="6"/>
  <c r="J325" i="6"/>
  <c r="K325" i="6"/>
  <c r="L325" i="6"/>
  <c r="N325" i="6" s="1"/>
  <c r="E324" i="6"/>
  <c r="G324" i="6"/>
  <c r="H324" i="6" s="1"/>
  <c r="I324" i="6"/>
  <c r="J324" i="6"/>
  <c r="K324" i="6"/>
  <c r="L324" i="6"/>
  <c r="N324" i="6" s="1"/>
  <c r="E323" i="6"/>
  <c r="G323" i="6"/>
  <c r="H323" i="6" s="1"/>
  <c r="I323" i="6"/>
  <c r="J323" i="6"/>
  <c r="K323" i="6"/>
  <c r="L323" i="6"/>
  <c r="N323" i="6" s="1"/>
  <c r="E322" i="6"/>
  <c r="G322" i="6"/>
  <c r="H322" i="6" s="1"/>
  <c r="I322" i="6"/>
  <c r="J322" i="6"/>
  <c r="K322" i="6"/>
  <c r="L322" i="6"/>
  <c r="N322" i="6" s="1"/>
  <c r="E321" i="6"/>
  <c r="G321" i="6"/>
  <c r="H321" i="6" s="1"/>
  <c r="I321" i="6"/>
  <c r="J321" i="6"/>
  <c r="K321" i="6"/>
  <c r="L321" i="6"/>
  <c r="N321" i="6" s="1"/>
  <c r="E320" i="6"/>
  <c r="G320" i="6"/>
  <c r="H320" i="6" s="1"/>
  <c r="I320" i="6"/>
  <c r="J320" i="6"/>
  <c r="K320" i="6"/>
  <c r="L320" i="6"/>
  <c r="N320" i="6" s="1"/>
  <c r="E319" i="6"/>
  <c r="G319" i="6"/>
  <c r="H319" i="6" s="1"/>
  <c r="I319" i="6"/>
  <c r="J319" i="6"/>
  <c r="K319" i="6"/>
  <c r="L319" i="6"/>
  <c r="N319" i="6" s="1"/>
  <c r="E318" i="6"/>
  <c r="G318" i="6"/>
  <c r="H318" i="6" s="1"/>
  <c r="I318" i="6"/>
  <c r="J318" i="6"/>
  <c r="K318" i="6"/>
  <c r="L318" i="6"/>
  <c r="N318" i="6" s="1"/>
  <c r="E317" i="6"/>
  <c r="G317" i="6"/>
  <c r="H317" i="6" s="1"/>
  <c r="I317" i="6"/>
  <c r="J317" i="6"/>
  <c r="K317" i="6"/>
  <c r="L317" i="6"/>
  <c r="N317" i="6" s="1"/>
  <c r="E281" i="6"/>
  <c r="G281" i="6"/>
  <c r="H281" i="6" s="1"/>
  <c r="I281" i="6"/>
  <c r="J281" i="6"/>
  <c r="K281" i="6"/>
  <c r="L281" i="6"/>
  <c r="N281" i="6" s="1"/>
  <c r="J207" i="6"/>
  <c r="E207" i="6"/>
  <c r="I207" i="6"/>
  <c r="G207" i="6"/>
  <c r="L207" i="6"/>
  <c r="N207" i="6" s="1"/>
  <c r="H207" i="6"/>
  <c r="K207" i="6"/>
  <c r="J205" i="6"/>
  <c r="K205" i="6"/>
  <c r="G205" i="6"/>
  <c r="H205" i="6" s="1"/>
  <c r="L205" i="6"/>
  <c r="N205" i="6" s="1"/>
  <c r="E205" i="6"/>
  <c r="I205" i="6"/>
  <c r="J203" i="6"/>
  <c r="E203" i="6"/>
  <c r="I203" i="6"/>
  <c r="K203" i="6"/>
  <c r="G203" i="6"/>
  <c r="H203" i="6" s="1"/>
  <c r="L203" i="6"/>
  <c r="N203" i="6" s="1"/>
  <c r="K199" i="6"/>
  <c r="E199" i="6"/>
  <c r="I199" i="6"/>
  <c r="J199" i="6"/>
  <c r="G199" i="6"/>
  <c r="H199" i="6" s="1"/>
  <c r="L199" i="6"/>
  <c r="N199" i="6" s="1"/>
  <c r="I197" i="6"/>
  <c r="K197" i="6"/>
  <c r="E197" i="6"/>
  <c r="L197" i="6"/>
  <c r="N197" i="6" s="1"/>
  <c r="G197" i="6"/>
  <c r="H197" i="6" s="1"/>
  <c r="J197" i="6"/>
  <c r="J188" i="6"/>
  <c r="G188" i="6"/>
  <c r="H188" i="6" s="1"/>
  <c r="L188" i="6"/>
  <c r="N188" i="6" s="1"/>
  <c r="K188" i="6"/>
  <c r="E188" i="6"/>
  <c r="I188" i="6"/>
  <c r="K185" i="6"/>
  <c r="E185" i="6"/>
  <c r="I185" i="6"/>
  <c r="G185" i="6"/>
  <c r="H185" i="6" s="1"/>
  <c r="L185" i="6"/>
  <c r="N185" i="6" s="1"/>
  <c r="J185" i="6"/>
  <c r="L184" i="6"/>
  <c r="N184" i="6" s="1"/>
  <c r="J184" i="6"/>
  <c r="G184" i="6"/>
  <c r="H184" i="6" s="1"/>
  <c r="K184" i="6"/>
  <c r="E184" i="6"/>
  <c r="I184" i="6"/>
  <c r="J181" i="6"/>
  <c r="E181" i="6"/>
  <c r="I181" i="6"/>
  <c r="K181" i="6"/>
  <c r="G181" i="6"/>
  <c r="H181" i="6" s="1"/>
  <c r="L181" i="6"/>
  <c r="N181" i="6" s="1"/>
  <c r="K180" i="6"/>
  <c r="I180" i="6"/>
  <c r="G180" i="6"/>
  <c r="H180" i="6" s="1"/>
  <c r="L180" i="6"/>
  <c r="N180" i="6" s="1"/>
  <c r="E180" i="6"/>
  <c r="J180" i="6"/>
  <c r="J178" i="6"/>
  <c r="G178" i="6"/>
  <c r="H178" i="6" s="1"/>
  <c r="L178" i="6"/>
  <c r="N178" i="6" s="1"/>
  <c r="K178" i="6"/>
  <c r="E178" i="6"/>
  <c r="I178" i="6"/>
  <c r="K177" i="6"/>
  <c r="G177" i="6"/>
  <c r="H177" i="6" s="1"/>
  <c r="L177" i="6"/>
  <c r="N177" i="6" s="1"/>
  <c r="E177" i="6"/>
  <c r="I177" i="6"/>
  <c r="J177" i="6"/>
  <c r="L161" i="6"/>
  <c r="N161" i="6" s="1"/>
  <c r="E161" i="6"/>
  <c r="J161" i="6"/>
  <c r="G161" i="6"/>
  <c r="H161" i="6" s="1"/>
  <c r="K161" i="6"/>
  <c r="I161" i="6"/>
  <c r="J158" i="6"/>
  <c r="E158" i="6"/>
  <c r="I158" i="6"/>
  <c r="G158" i="6"/>
  <c r="H158" i="6" s="1"/>
  <c r="L158" i="6"/>
  <c r="N158" i="6" s="1"/>
  <c r="K158" i="6"/>
  <c r="L156" i="6"/>
  <c r="N156" i="6" s="1"/>
  <c r="J156" i="6"/>
  <c r="E156" i="6"/>
  <c r="I156" i="6"/>
  <c r="G156" i="6"/>
  <c r="H156" i="6" s="1"/>
  <c r="K156" i="6"/>
  <c r="E150" i="6"/>
  <c r="G150" i="6"/>
  <c r="H150" i="6" s="1"/>
  <c r="I150" i="6"/>
  <c r="J150" i="6"/>
  <c r="K150" i="6"/>
  <c r="L150" i="6"/>
  <c r="N150" i="6" s="1"/>
  <c r="I145" i="6"/>
  <c r="E145" i="6"/>
  <c r="K145" i="6"/>
  <c r="L145" i="6"/>
  <c r="N145" i="6" s="1"/>
  <c r="G145" i="6"/>
  <c r="H145" i="6" s="1"/>
  <c r="J145" i="6"/>
  <c r="L142" i="6"/>
  <c r="N142" i="6" s="1"/>
  <c r="J142" i="6"/>
  <c r="G142" i="6"/>
  <c r="H142" i="6" s="1"/>
  <c r="K142" i="6"/>
  <c r="E142" i="6"/>
  <c r="I142" i="6"/>
  <c r="J141" i="6"/>
  <c r="E141" i="6"/>
  <c r="I141" i="6"/>
  <c r="G141" i="6"/>
  <c r="H141" i="6" s="1"/>
  <c r="L141" i="6"/>
  <c r="N141" i="6" s="1"/>
  <c r="K141" i="6"/>
  <c r="J140" i="6"/>
  <c r="G140" i="6"/>
  <c r="L140" i="6"/>
  <c r="N140" i="6" s="1"/>
  <c r="E140" i="6"/>
  <c r="I140" i="6"/>
  <c r="H140" i="6"/>
  <c r="K140" i="6"/>
  <c r="E134" i="6"/>
  <c r="J134" i="6"/>
  <c r="I134" i="6"/>
  <c r="G134" i="6"/>
  <c r="H134" i="6" s="1"/>
  <c r="K134" i="6"/>
  <c r="L134" i="6"/>
  <c r="N134" i="6" s="1"/>
  <c r="I133" i="6"/>
  <c r="E133" i="6"/>
  <c r="J133" i="6"/>
  <c r="K133" i="6"/>
  <c r="G133" i="6"/>
  <c r="H133" i="6" s="1"/>
  <c r="L133" i="6"/>
  <c r="N133" i="6" s="1"/>
  <c r="I132" i="6"/>
  <c r="E132" i="6"/>
  <c r="J132" i="6"/>
  <c r="L132" i="6"/>
  <c r="N132" i="6" s="1"/>
  <c r="G132" i="6"/>
  <c r="K132" i="6"/>
  <c r="H132" i="6"/>
  <c r="G131" i="6"/>
  <c r="H131" i="6" s="1"/>
  <c r="L131" i="6"/>
  <c r="N131" i="6" s="1"/>
  <c r="I131" i="6"/>
  <c r="E131" i="6"/>
  <c r="J131" i="6"/>
  <c r="K131" i="6"/>
  <c r="E127" i="6"/>
  <c r="L127" i="6"/>
  <c r="N127" i="6" s="1"/>
  <c r="I127" i="6"/>
  <c r="G127" i="6"/>
  <c r="H127" i="6" s="1"/>
  <c r="K127" i="6"/>
  <c r="J127" i="6"/>
  <c r="J120" i="6"/>
  <c r="L120" i="6"/>
  <c r="N120" i="6" s="1"/>
  <c r="G120" i="6"/>
  <c r="H120" i="6" s="1"/>
  <c r="K120" i="6"/>
  <c r="E120" i="6"/>
  <c r="I120" i="6"/>
  <c r="I117" i="6"/>
  <c r="G117" i="6"/>
  <c r="H117" i="6" s="1"/>
  <c r="L117" i="6"/>
  <c r="N117" i="6" s="1"/>
  <c r="K117" i="6"/>
  <c r="E117" i="6"/>
  <c r="J117" i="6"/>
  <c r="I116" i="6"/>
  <c r="E116" i="6"/>
  <c r="J116" i="6"/>
  <c r="G116" i="6"/>
  <c r="H116" i="6" s="1"/>
  <c r="L116" i="6"/>
  <c r="N116" i="6" s="1"/>
  <c r="K116" i="6"/>
  <c r="K108" i="6"/>
  <c r="E108" i="6"/>
  <c r="J108" i="6"/>
  <c r="I108" i="6"/>
  <c r="G108" i="6"/>
  <c r="H108" i="6" s="1"/>
  <c r="L108" i="6"/>
  <c r="N108" i="6" s="1"/>
  <c r="L103" i="6"/>
  <c r="N103" i="6" s="1"/>
  <c r="I103" i="6"/>
  <c r="E103" i="6"/>
  <c r="J103" i="6"/>
  <c r="G103" i="6"/>
  <c r="K103" i="6"/>
  <c r="H103" i="6"/>
  <c r="E102" i="6"/>
  <c r="J102" i="6"/>
  <c r="I102" i="6"/>
  <c r="L102" i="6"/>
  <c r="N102" i="6" s="1"/>
  <c r="G102" i="6"/>
  <c r="H102" i="6" s="1"/>
  <c r="K102" i="6"/>
  <c r="J97" i="6"/>
  <c r="E97" i="6"/>
  <c r="G97" i="6"/>
  <c r="H97" i="6" s="1"/>
  <c r="L97" i="6"/>
  <c r="N97" i="6" s="1"/>
  <c r="I97" i="6"/>
  <c r="K97" i="6"/>
  <c r="K96" i="6"/>
  <c r="E96" i="6"/>
  <c r="J96" i="6"/>
  <c r="I96" i="6"/>
  <c r="G96" i="6"/>
  <c r="H96" i="6" s="1"/>
  <c r="L96" i="6"/>
  <c r="N96" i="6" s="1"/>
  <c r="K94" i="6"/>
  <c r="E94" i="6"/>
  <c r="J94" i="6"/>
  <c r="G94" i="6"/>
  <c r="L94" i="6"/>
  <c r="N94" i="6" s="1"/>
  <c r="H94" i="6"/>
  <c r="I94" i="6"/>
  <c r="K93" i="6"/>
  <c r="E93" i="6"/>
  <c r="I93" i="6"/>
  <c r="J93" i="6"/>
  <c r="G93" i="6"/>
  <c r="H93" i="6" s="1"/>
  <c r="L93" i="6"/>
  <c r="N93" i="6" s="1"/>
  <c r="I88" i="6"/>
  <c r="G88" i="6"/>
  <c r="H88" i="6" s="1"/>
  <c r="K88" i="6"/>
  <c r="E88" i="6"/>
  <c r="J88" i="6"/>
  <c r="K79" i="6"/>
  <c r="I79" i="6"/>
  <c r="G79" i="6"/>
  <c r="H79" i="6" s="1"/>
  <c r="E79" i="6"/>
  <c r="J79" i="6"/>
  <c r="J77" i="6"/>
  <c r="E77" i="6"/>
  <c r="I77" i="6"/>
  <c r="G77" i="6"/>
  <c r="H77" i="6" s="1"/>
  <c r="K77" i="6"/>
  <c r="G76" i="6"/>
  <c r="H76" i="6" s="1"/>
  <c r="I76" i="6"/>
  <c r="E76" i="6"/>
  <c r="K76" i="6"/>
  <c r="J76" i="6"/>
  <c r="K65" i="6"/>
  <c r="I65" i="6"/>
  <c r="G65" i="6"/>
  <c r="H65" i="6" s="1"/>
  <c r="E65" i="6"/>
  <c r="J65" i="6"/>
  <c r="E55" i="6"/>
  <c r="J55" i="6"/>
  <c r="G55" i="6"/>
  <c r="H55" i="6" s="1"/>
  <c r="K55" i="6"/>
  <c r="I55" i="6"/>
  <c r="I53" i="6"/>
  <c r="K53" i="6"/>
  <c r="E53" i="6"/>
  <c r="J53" i="6"/>
  <c r="G53" i="6"/>
  <c r="H53" i="6" s="1"/>
  <c r="G51" i="6"/>
  <c r="H51" i="6" s="1"/>
  <c r="E51" i="6"/>
  <c r="I51" i="6"/>
  <c r="K51" i="6"/>
  <c r="J51" i="6"/>
  <c r="G49" i="6"/>
  <c r="H49" i="6" s="1"/>
  <c r="K49" i="6"/>
  <c r="J49" i="6"/>
  <c r="E49" i="6"/>
  <c r="I49" i="6"/>
  <c r="I45" i="6"/>
  <c r="K45" i="6"/>
  <c r="G45" i="6"/>
  <c r="H45" i="6" s="1"/>
  <c r="J45" i="6"/>
  <c r="E45" i="6"/>
  <c r="G44" i="6"/>
  <c r="H44" i="6" s="1"/>
  <c r="K44" i="6"/>
  <c r="E44" i="6"/>
  <c r="I44" i="6"/>
  <c r="J44" i="6"/>
  <c r="J41" i="6"/>
  <c r="G41" i="6"/>
  <c r="H41" i="6" s="1"/>
  <c r="E41" i="6"/>
  <c r="I41" i="6"/>
  <c r="K41" i="6"/>
  <c r="J36" i="6"/>
  <c r="K36" i="6"/>
  <c r="E36" i="6"/>
  <c r="I36" i="6"/>
  <c r="G36" i="6"/>
  <c r="H36" i="6" s="1"/>
  <c r="J34" i="6"/>
  <c r="G34" i="6"/>
  <c r="H34" i="6" s="1"/>
  <c r="K34" i="6"/>
  <c r="E34" i="6"/>
  <c r="I34" i="6"/>
  <c r="I33" i="6"/>
  <c r="G33" i="6"/>
  <c r="K33" i="6"/>
  <c r="J33" i="6"/>
  <c r="E33" i="6"/>
  <c r="H33" i="6"/>
  <c r="I31" i="6"/>
  <c r="E31" i="6"/>
  <c r="J31" i="6"/>
  <c r="G31" i="6"/>
  <c r="H31" i="6" s="1"/>
  <c r="K31" i="6"/>
  <c r="Q27" i="6"/>
  <c r="O28" i="6" s="1"/>
  <c r="N27" i="6"/>
  <c r="E316" i="6"/>
  <c r="G316" i="6"/>
  <c r="H316" i="6" s="1"/>
  <c r="I316" i="6"/>
  <c r="J316" i="6"/>
  <c r="K316" i="6"/>
  <c r="L316" i="6"/>
  <c r="N316" i="6" s="1"/>
  <c r="E315" i="6"/>
  <c r="G315" i="6"/>
  <c r="H315" i="6" s="1"/>
  <c r="I315" i="6"/>
  <c r="J315" i="6"/>
  <c r="K315" i="6"/>
  <c r="L315" i="6"/>
  <c r="N315" i="6" s="1"/>
  <c r="E314" i="6"/>
  <c r="G314" i="6"/>
  <c r="H314" i="6" s="1"/>
  <c r="I314" i="6"/>
  <c r="J314" i="6"/>
  <c r="K314" i="6"/>
  <c r="L314" i="6"/>
  <c r="N314" i="6" s="1"/>
  <c r="E313" i="6"/>
  <c r="G313" i="6"/>
  <c r="H313" i="6" s="1"/>
  <c r="I313" i="6"/>
  <c r="J313" i="6"/>
  <c r="K313" i="6"/>
  <c r="L313" i="6"/>
  <c r="N313" i="6" s="1"/>
  <c r="E312" i="6"/>
  <c r="G312" i="6"/>
  <c r="H312" i="6" s="1"/>
  <c r="I312" i="6"/>
  <c r="J312" i="6"/>
  <c r="K312" i="6"/>
  <c r="L312" i="6"/>
  <c r="N312" i="6" s="1"/>
  <c r="E311" i="6"/>
  <c r="G311" i="6"/>
  <c r="H311" i="6" s="1"/>
  <c r="I311" i="6"/>
  <c r="J311" i="6"/>
  <c r="K311" i="6"/>
  <c r="L311" i="6"/>
  <c r="N311" i="6" s="1"/>
  <c r="E310" i="6"/>
  <c r="G310" i="6"/>
  <c r="H310" i="6" s="1"/>
  <c r="I310" i="6"/>
  <c r="J310" i="6"/>
  <c r="K310" i="6"/>
  <c r="L310" i="6"/>
  <c r="N310" i="6" s="1"/>
  <c r="E309" i="6"/>
  <c r="G309" i="6"/>
  <c r="H309" i="6" s="1"/>
  <c r="I309" i="6"/>
  <c r="J309" i="6"/>
  <c r="K309" i="6"/>
  <c r="L309" i="6"/>
  <c r="N309" i="6" s="1"/>
  <c r="E308" i="6"/>
  <c r="G308" i="6"/>
  <c r="H308" i="6" s="1"/>
  <c r="I308" i="6"/>
  <c r="J308" i="6"/>
  <c r="K308" i="6"/>
  <c r="L308" i="6"/>
  <c r="N308" i="6" s="1"/>
  <c r="E307" i="6"/>
  <c r="G307" i="6"/>
  <c r="H307" i="6" s="1"/>
  <c r="I307" i="6"/>
  <c r="J307" i="6"/>
  <c r="K307" i="6"/>
  <c r="L307" i="6"/>
  <c r="N307" i="6" s="1"/>
  <c r="E306" i="6"/>
  <c r="G306" i="6"/>
  <c r="H306" i="6" s="1"/>
  <c r="I306" i="6"/>
  <c r="J306" i="6"/>
  <c r="K306" i="6"/>
  <c r="L306" i="6"/>
  <c r="N306" i="6" s="1"/>
  <c r="E305" i="6"/>
  <c r="G305" i="6"/>
  <c r="H305" i="6" s="1"/>
  <c r="I305" i="6"/>
  <c r="J305" i="6"/>
  <c r="K305" i="6"/>
  <c r="L305" i="6"/>
  <c r="N305" i="6" s="1"/>
  <c r="E304" i="6"/>
  <c r="G304" i="6"/>
  <c r="H304" i="6" s="1"/>
  <c r="I304" i="6"/>
  <c r="J304" i="6"/>
  <c r="K304" i="6"/>
  <c r="L304" i="6"/>
  <c r="N304" i="6" s="1"/>
  <c r="E303" i="6"/>
  <c r="G303" i="6"/>
  <c r="H303" i="6" s="1"/>
  <c r="I303" i="6"/>
  <c r="J303" i="6"/>
  <c r="K303" i="6"/>
  <c r="L303" i="6"/>
  <c r="N303" i="6" s="1"/>
  <c r="E302" i="6"/>
  <c r="G302" i="6"/>
  <c r="H302" i="6" s="1"/>
  <c r="I302" i="6"/>
  <c r="J302" i="6"/>
  <c r="K302" i="6"/>
  <c r="L302" i="6"/>
  <c r="N302" i="6" s="1"/>
  <c r="E301" i="6"/>
  <c r="G301" i="6"/>
  <c r="H301" i="6" s="1"/>
  <c r="I301" i="6"/>
  <c r="J301" i="6"/>
  <c r="K301" i="6"/>
  <c r="L301" i="6"/>
  <c r="N301" i="6" s="1"/>
  <c r="E300" i="6"/>
  <c r="G300" i="6"/>
  <c r="H300" i="6" s="1"/>
  <c r="I300" i="6"/>
  <c r="J300" i="6"/>
  <c r="K300" i="6"/>
  <c r="L300" i="6"/>
  <c r="N300" i="6" s="1"/>
  <c r="E299" i="6"/>
  <c r="G299" i="6"/>
  <c r="H299" i="6" s="1"/>
  <c r="I299" i="6"/>
  <c r="J299" i="6"/>
  <c r="K299" i="6"/>
  <c r="L299" i="6"/>
  <c r="N299" i="6" s="1"/>
  <c r="E298" i="6"/>
  <c r="G298" i="6"/>
  <c r="H298" i="6" s="1"/>
  <c r="I298" i="6"/>
  <c r="J298" i="6"/>
  <c r="K298" i="6"/>
  <c r="L298" i="6"/>
  <c r="N298" i="6" s="1"/>
  <c r="E297" i="6"/>
  <c r="G297" i="6"/>
  <c r="H297" i="6" s="1"/>
  <c r="I297" i="6"/>
  <c r="J297" i="6"/>
  <c r="K297" i="6"/>
  <c r="L297" i="6"/>
  <c r="N297" i="6" s="1"/>
  <c r="E296" i="6"/>
  <c r="G296" i="6"/>
  <c r="H296" i="6" s="1"/>
  <c r="I296" i="6"/>
  <c r="J296" i="6"/>
  <c r="K296" i="6"/>
  <c r="L296" i="6"/>
  <c r="N296" i="6" s="1"/>
  <c r="E295" i="6"/>
  <c r="G295" i="6"/>
  <c r="H295" i="6" s="1"/>
  <c r="I295" i="6"/>
  <c r="J295" i="6"/>
  <c r="K295" i="6"/>
  <c r="L295" i="6"/>
  <c r="N295" i="6" s="1"/>
  <c r="E294" i="6"/>
  <c r="G294" i="6"/>
  <c r="H294" i="6" s="1"/>
  <c r="I294" i="6"/>
  <c r="J294" i="6"/>
  <c r="K294" i="6"/>
  <c r="L294" i="6"/>
  <c r="N294" i="6" s="1"/>
  <c r="E293" i="6"/>
  <c r="G293" i="6"/>
  <c r="H293" i="6" s="1"/>
  <c r="I293" i="6"/>
  <c r="J293" i="6"/>
  <c r="K293" i="6"/>
  <c r="L293" i="6"/>
  <c r="N293" i="6" s="1"/>
  <c r="E292" i="6"/>
  <c r="G292" i="6"/>
  <c r="H292" i="6" s="1"/>
  <c r="I292" i="6"/>
  <c r="J292" i="6"/>
  <c r="K292" i="6"/>
  <c r="L292" i="6"/>
  <c r="N292" i="6" s="1"/>
  <c r="E291" i="6"/>
  <c r="G291" i="6"/>
  <c r="H291" i="6" s="1"/>
  <c r="I291" i="6"/>
  <c r="J291" i="6"/>
  <c r="K291" i="6"/>
  <c r="L291" i="6"/>
  <c r="N291" i="6" s="1"/>
  <c r="E290" i="6"/>
  <c r="G290" i="6"/>
  <c r="H290" i="6" s="1"/>
  <c r="I290" i="6"/>
  <c r="J290" i="6"/>
  <c r="K290" i="6"/>
  <c r="L290" i="6"/>
  <c r="N290" i="6" s="1"/>
  <c r="E289" i="6"/>
  <c r="G289" i="6"/>
  <c r="H289" i="6" s="1"/>
  <c r="I289" i="6"/>
  <c r="J289" i="6"/>
  <c r="K289" i="6"/>
  <c r="L289" i="6"/>
  <c r="N289" i="6" s="1"/>
  <c r="E288" i="6"/>
  <c r="G288" i="6"/>
  <c r="H288" i="6" s="1"/>
  <c r="I288" i="6"/>
  <c r="J288" i="6"/>
  <c r="K288" i="6"/>
  <c r="L288" i="6"/>
  <c r="N288" i="6" s="1"/>
  <c r="E287" i="6"/>
  <c r="G287" i="6"/>
  <c r="H287" i="6" s="1"/>
  <c r="I287" i="6"/>
  <c r="J287" i="6"/>
  <c r="K287" i="6"/>
  <c r="L287" i="6"/>
  <c r="N287" i="6" s="1"/>
  <c r="E286" i="6"/>
  <c r="G286" i="6"/>
  <c r="H286" i="6" s="1"/>
  <c r="I286" i="6"/>
  <c r="J286" i="6"/>
  <c r="K286" i="6"/>
  <c r="L286" i="6"/>
  <c r="N286" i="6" s="1"/>
  <c r="E285" i="6"/>
  <c r="G285" i="6"/>
  <c r="H285" i="6" s="1"/>
  <c r="I285" i="6"/>
  <c r="J285" i="6"/>
  <c r="K285" i="6"/>
  <c r="L285" i="6"/>
  <c r="N285" i="6" s="1"/>
  <c r="E284" i="6"/>
  <c r="G284" i="6"/>
  <c r="H284" i="6" s="1"/>
  <c r="I284" i="6"/>
  <c r="J284" i="6"/>
  <c r="K284" i="6"/>
  <c r="L284" i="6"/>
  <c r="N284" i="6" s="1"/>
  <c r="E283" i="6"/>
  <c r="G283" i="6"/>
  <c r="H283" i="6" s="1"/>
  <c r="I283" i="6"/>
  <c r="J283" i="6"/>
  <c r="K283" i="6"/>
  <c r="L283" i="6"/>
  <c r="N283" i="6" s="1"/>
  <c r="E282" i="6"/>
  <c r="G282" i="6"/>
  <c r="H282" i="6" s="1"/>
  <c r="I282" i="6"/>
  <c r="J282" i="6"/>
  <c r="K282" i="6"/>
  <c r="L282" i="6"/>
  <c r="N282" i="6" s="1"/>
  <c r="I244" i="6"/>
  <c r="K244" i="6"/>
  <c r="E244" i="6"/>
  <c r="L244" i="6"/>
  <c r="N244" i="6" s="1"/>
  <c r="G244" i="6"/>
  <c r="H244" i="6" s="1"/>
  <c r="J244" i="6"/>
  <c r="L200" i="6"/>
  <c r="N200" i="6" s="1"/>
  <c r="E200" i="6"/>
  <c r="I200" i="6"/>
  <c r="K200" i="6"/>
  <c r="G200" i="6"/>
  <c r="H200" i="6" s="1"/>
  <c r="J200" i="6"/>
  <c r="L196" i="6"/>
  <c r="N196" i="6" s="1"/>
  <c r="I196" i="6"/>
  <c r="G196" i="6"/>
  <c r="H196" i="6" s="1"/>
  <c r="J196" i="6"/>
  <c r="E196" i="6"/>
  <c r="K196" i="6"/>
  <c r="K194" i="6"/>
  <c r="E194" i="6"/>
  <c r="I194" i="6"/>
  <c r="G194" i="6"/>
  <c r="H194" i="6" s="1"/>
  <c r="J194" i="6"/>
  <c r="L194" i="6"/>
  <c r="N194" i="6" s="1"/>
  <c r="K193" i="6"/>
  <c r="G193" i="6"/>
  <c r="H193" i="6" s="1"/>
  <c r="L193" i="6"/>
  <c r="N193" i="6" s="1"/>
  <c r="I193" i="6"/>
  <c r="E193" i="6"/>
  <c r="J193" i="6"/>
  <c r="G186" i="6"/>
  <c r="J186" i="6"/>
  <c r="E186" i="6"/>
  <c r="I186" i="6"/>
  <c r="L186" i="6"/>
  <c r="N186" i="6" s="1"/>
  <c r="H186" i="6"/>
  <c r="K186" i="6"/>
  <c r="L183" i="6"/>
  <c r="N183" i="6" s="1"/>
  <c r="J183" i="6"/>
  <c r="G183" i="6"/>
  <c r="H183" i="6" s="1"/>
  <c r="K183" i="6"/>
  <c r="E183" i="6"/>
  <c r="I183" i="6"/>
  <c r="K182" i="6"/>
  <c r="J182" i="6"/>
  <c r="E182" i="6"/>
  <c r="I182" i="6"/>
  <c r="G182" i="6"/>
  <c r="H182" i="6" s="1"/>
  <c r="L182" i="6"/>
  <c r="N182" i="6" s="1"/>
  <c r="J176" i="6"/>
  <c r="E176" i="6"/>
  <c r="I176" i="6"/>
  <c r="K176" i="6"/>
  <c r="G176" i="6"/>
  <c r="H176" i="6" s="1"/>
  <c r="L176" i="6"/>
  <c r="N176" i="6" s="1"/>
  <c r="I175" i="6"/>
  <c r="L175" i="6"/>
  <c r="N175" i="6" s="1"/>
  <c r="G175" i="6"/>
  <c r="J175" i="6"/>
  <c r="E175" i="6"/>
  <c r="H175" i="6"/>
  <c r="K175" i="6"/>
  <c r="G174" i="6"/>
  <c r="J174" i="6"/>
  <c r="H174" i="6"/>
  <c r="K174" i="6"/>
  <c r="E174" i="6"/>
  <c r="I174" i="6"/>
  <c r="L174" i="6"/>
  <c r="N174" i="6" s="1"/>
  <c r="J173" i="6"/>
  <c r="E173" i="6"/>
  <c r="I173" i="6"/>
  <c r="G173" i="6"/>
  <c r="L173" i="6"/>
  <c r="N173" i="6" s="1"/>
  <c r="H173" i="6"/>
  <c r="K173" i="6"/>
  <c r="L170" i="6"/>
  <c r="N170" i="6" s="1"/>
  <c r="G170" i="6"/>
  <c r="H170" i="6" s="1"/>
  <c r="K170" i="6"/>
  <c r="I170" i="6"/>
  <c r="E170" i="6"/>
  <c r="J170" i="6"/>
  <c r="K167" i="6"/>
  <c r="E167" i="6"/>
  <c r="I167" i="6"/>
  <c r="J167" i="6"/>
  <c r="G167" i="6"/>
  <c r="H167" i="6" s="1"/>
  <c r="L167" i="6"/>
  <c r="N167" i="6" s="1"/>
  <c r="K165" i="6"/>
  <c r="I165" i="6"/>
  <c r="G165" i="6"/>
  <c r="H165" i="6" s="1"/>
  <c r="L165" i="6"/>
  <c r="N165" i="6" s="1"/>
  <c r="E165" i="6"/>
  <c r="J165" i="6"/>
  <c r="L162" i="6"/>
  <c r="N162" i="6" s="1"/>
  <c r="G162" i="6"/>
  <c r="H162" i="6" s="1"/>
  <c r="K162" i="6"/>
  <c r="E162" i="6"/>
  <c r="I162" i="6"/>
  <c r="J162" i="6"/>
  <c r="J160" i="6"/>
  <c r="G160" i="6"/>
  <c r="L160" i="6"/>
  <c r="N160" i="6" s="1"/>
  <c r="E160" i="6"/>
  <c r="I160" i="6"/>
  <c r="H160" i="6"/>
  <c r="K160" i="6"/>
  <c r="G152" i="6"/>
  <c r="J152" i="6"/>
  <c r="I152" i="6"/>
  <c r="L152" i="6"/>
  <c r="N152" i="6" s="1"/>
  <c r="E152" i="6"/>
  <c r="H152" i="6"/>
  <c r="K152" i="6"/>
  <c r="L144" i="6"/>
  <c r="N144" i="6" s="1"/>
  <c r="I144" i="6"/>
  <c r="G144" i="6"/>
  <c r="H144" i="6" s="1"/>
  <c r="K144" i="6"/>
  <c r="E144" i="6"/>
  <c r="J144" i="6"/>
  <c r="L139" i="6"/>
  <c r="N139" i="6" s="1"/>
  <c r="I139" i="6"/>
  <c r="G139" i="6"/>
  <c r="H139" i="6" s="1"/>
  <c r="J139" i="6"/>
  <c r="E139" i="6"/>
  <c r="K139" i="6"/>
  <c r="L138" i="6"/>
  <c r="N138" i="6" s="1"/>
  <c r="J138" i="6"/>
  <c r="G138" i="6"/>
  <c r="H138" i="6" s="1"/>
  <c r="K138" i="6"/>
  <c r="E138" i="6"/>
  <c r="I138" i="6"/>
  <c r="I135" i="6"/>
  <c r="E135" i="6"/>
  <c r="K135" i="6"/>
  <c r="J135" i="6"/>
  <c r="G135" i="6"/>
  <c r="H135" i="6" s="1"/>
  <c r="L135" i="6"/>
  <c r="N135" i="6" s="1"/>
  <c r="I129" i="6"/>
  <c r="E129" i="6"/>
  <c r="J129" i="6"/>
  <c r="G129" i="6"/>
  <c r="K129" i="6"/>
  <c r="L129" i="6"/>
  <c r="N129" i="6" s="1"/>
  <c r="H129" i="6"/>
  <c r="K128" i="6"/>
  <c r="E128" i="6"/>
  <c r="I128" i="6"/>
  <c r="J128" i="6"/>
  <c r="G128" i="6"/>
  <c r="H128" i="6" s="1"/>
  <c r="L128" i="6"/>
  <c r="N128" i="6" s="1"/>
  <c r="L125" i="6"/>
  <c r="N125" i="6" s="1"/>
  <c r="G125" i="6"/>
  <c r="K125" i="6"/>
  <c r="E125" i="6"/>
  <c r="J125" i="6"/>
  <c r="I125" i="6"/>
  <c r="H125" i="6"/>
  <c r="J124" i="6"/>
  <c r="G124" i="6"/>
  <c r="L124" i="6"/>
  <c r="N124" i="6" s="1"/>
  <c r="E124" i="6"/>
  <c r="I124" i="6"/>
  <c r="K124" i="6"/>
  <c r="H124" i="6"/>
  <c r="K114" i="6"/>
  <c r="E114" i="6"/>
  <c r="J114" i="6"/>
  <c r="I114" i="6"/>
  <c r="G114" i="6"/>
  <c r="H114" i="6" s="1"/>
  <c r="L114" i="6"/>
  <c r="N114" i="6" s="1"/>
  <c r="I111" i="6"/>
  <c r="E111" i="6"/>
  <c r="K111" i="6"/>
  <c r="G111" i="6"/>
  <c r="H111" i="6" s="1"/>
  <c r="L111" i="6"/>
  <c r="N111" i="6" s="1"/>
  <c r="J111" i="6"/>
  <c r="J107" i="6"/>
  <c r="G107" i="6"/>
  <c r="H107" i="6" s="1"/>
  <c r="K107" i="6"/>
  <c r="L107" i="6"/>
  <c r="N107" i="6" s="1"/>
  <c r="E107" i="6"/>
  <c r="I107" i="6"/>
  <c r="K104" i="6"/>
  <c r="I104" i="6"/>
  <c r="G104" i="6"/>
  <c r="H104" i="6" s="1"/>
  <c r="L104" i="6"/>
  <c r="N104" i="6" s="1"/>
  <c r="E104" i="6"/>
  <c r="J104" i="6"/>
  <c r="I99" i="6"/>
  <c r="G99" i="6"/>
  <c r="H99" i="6" s="1"/>
  <c r="L99" i="6"/>
  <c r="N99" i="6" s="1"/>
  <c r="E99" i="6"/>
  <c r="J99" i="6"/>
  <c r="K99" i="6"/>
  <c r="J98" i="6"/>
  <c r="I98" i="6"/>
  <c r="E98" i="6"/>
  <c r="K98" i="6"/>
  <c r="G98" i="6"/>
  <c r="H98" i="6" s="1"/>
  <c r="L98" i="6"/>
  <c r="N98" i="6" s="1"/>
  <c r="J87" i="6"/>
  <c r="I87" i="6"/>
  <c r="E87" i="6"/>
  <c r="K87" i="6"/>
  <c r="G87" i="6"/>
  <c r="H87" i="6" s="1"/>
  <c r="I82" i="6"/>
  <c r="J82" i="6"/>
  <c r="G82" i="6"/>
  <c r="H82" i="6" s="1"/>
  <c r="K82" i="6"/>
  <c r="E82" i="6"/>
  <c r="G78" i="6"/>
  <c r="H78" i="6" s="1"/>
  <c r="K78" i="6"/>
  <c r="I78" i="6"/>
  <c r="E78" i="6"/>
  <c r="J78" i="6"/>
  <c r="J74" i="6"/>
  <c r="I74" i="6"/>
  <c r="E74" i="6"/>
  <c r="K74" i="6"/>
  <c r="G74" i="6"/>
  <c r="H74" i="6" s="1"/>
  <c r="K64" i="6"/>
  <c r="G64" i="6"/>
  <c r="H64" i="6" s="1"/>
  <c r="J64" i="6"/>
  <c r="E64" i="6"/>
  <c r="I64" i="6"/>
  <c r="K54" i="6"/>
  <c r="I54" i="6"/>
  <c r="E54" i="6"/>
  <c r="J54" i="6"/>
  <c r="G54" i="6"/>
  <c r="H54" i="6" s="1"/>
  <c r="I52" i="6"/>
  <c r="E52" i="6"/>
  <c r="K52" i="6"/>
  <c r="G52" i="6"/>
  <c r="H52" i="6" s="1"/>
  <c r="J52" i="6"/>
  <c r="G47" i="6"/>
  <c r="H47" i="6" s="1"/>
  <c r="K47" i="6"/>
  <c r="E47" i="6"/>
  <c r="I47" i="6"/>
  <c r="J47" i="6"/>
  <c r="J46" i="6"/>
  <c r="K46" i="6"/>
  <c r="G46" i="6"/>
  <c r="H46" i="6" s="1"/>
  <c r="E46" i="6"/>
  <c r="I46" i="6"/>
  <c r="G43" i="6"/>
  <c r="H43" i="6" s="1"/>
  <c r="K43" i="6"/>
  <c r="I43" i="6"/>
  <c r="E43" i="6"/>
  <c r="J43" i="6"/>
  <c r="J42" i="6"/>
  <c r="E42" i="6"/>
  <c r="I42" i="6"/>
  <c r="G42" i="6"/>
  <c r="H42" i="6" s="1"/>
  <c r="K42" i="6"/>
  <c r="I40" i="6"/>
  <c r="J40" i="6"/>
  <c r="E40" i="6"/>
  <c r="K40" i="6"/>
  <c r="G40" i="6"/>
  <c r="H40" i="6" s="1"/>
  <c r="E280" i="6"/>
  <c r="J280" i="6"/>
  <c r="G280" i="6"/>
  <c r="H280" i="6" s="1"/>
  <c r="I280" i="6"/>
  <c r="K280" i="6"/>
  <c r="L280" i="6"/>
  <c r="N280" i="6" s="1"/>
  <c r="E279" i="6"/>
  <c r="G279" i="6"/>
  <c r="H279" i="6" s="1"/>
  <c r="I279" i="6"/>
  <c r="J279" i="6"/>
  <c r="K279" i="6"/>
  <c r="L279" i="6"/>
  <c r="N279" i="6" s="1"/>
  <c r="E278" i="6"/>
  <c r="G278" i="6"/>
  <c r="H278" i="6"/>
  <c r="I278" i="6"/>
  <c r="J278" i="6"/>
  <c r="K278" i="6"/>
  <c r="L278" i="6"/>
  <c r="N278" i="6" s="1"/>
  <c r="E277" i="6"/>
  <c r="G277" i="6"/>
  <c r="H277" i="6" s="1"/>
  <c r="I277" i="6"/>
  <c r="J277" i="6"/>
  <c r="K277" i="6"/>
  <c r="L277" i="6"/>
  <c r="N277" i="6" s="1"/>
  <c r="E276" i="6"/>
  <c r="G276" i="6"/>
  <c r="H276" i="6" s="1"/>
  <c r="I276" i="6"/>
  <c r="J276" i="6"/>
  <c r="K276" i="6"/>
  <c r="L276" i="6"/>
  <c r="N276" i="6" s="1"/>
  <c r="E275" i="6"/>
  <c r="G275" i="6"/>
  <c r="H275" i="6" s="1"/>
  <c r="I275" i="6"/>
  <c r="J275" i="6"/>
  <c r="K275" i="6"/>
  <c r="L275" i="6"/>
  <c r="N275" i="6" s="1"/>
  <c r="E274" i="6"/>
  <c r="G274" i="6"/>
  <c r="H274" i="6" s="1"/>
  <c r="I274" i="6"/>
  <c r="J274" i="6"/>
  <c r="K274" i="6"/>
  <c r="L274" i="6"/>
  <c r="N274" i="6" s="1"/>
  <c r="E273" i="6"/>
  <c r="G273" i="6"/>
  <c r="H273" i="6"/>
  <c r="I273" i="6"/>
  <c r="J273" i="6"/>
  <c r="K273" i="6"/>
  <c r="L273" i="6"/>
  <c r="N273" i="6" s="1"/>
  <c r="E272" i="6"/>
  <c r="G272" i="6"/>
  <c r="H272" i="6" s="1"/>
  <c r="I272" i="6"/>
  <c r="J272" i="6"/>
  <c r="K272" i="6"/>
  <c r="L272" i="6"/>
  <c r="N272" i="6" s="1"/>
  <c r="E271" i="6"/>
  <c r="G271" i="6"/>
  <c r="H271" i="6" s="1"/>
  <c r="I271" i="6"/>
  <c r="J271" i="6"/>
  <c r="K271" i="6"/>
  <c r="L271" i="6"/>
  <c r="N271" i="6" s="1"/>
  <c r="E270" i="6"/>
  <c r="G270" i="6"/>
  <c r="H270" i="6"/>
  <c r="I270" i="6"/>
  <c r="J270" i="6"/>
  <c r="K270" i="6"/>
  <c r="L270" i="6"/>
  <c r="N270" i="6" s="1"/>
  <c r="E269" i="6"/>
  <c r="G269" i="6"/>
  <c r="H269" i="6" s="1"/>
  <c r="I269" i="6"/>
  <c r="J269" i="6"/>
  <c r="K269" i="6"/>
  <c r="L269" i="6"/>
  <c r="N269" i="6" s="1"/>
  <c r="E268" i="6"/>
  <c r="G268" i="6"/>
  <c r="H268" i="6" s="1"/>
  <c r="I268" i="6"/>
  <c r="J268" i="6"/>
  <c r="K268" i="6"/>
  <c r="L268" i="6"/>
  <c r="N268" i="6" s="1"/>
  <c r="E267" i="6"/>
  <c r="G267" i="6"/>
  <c r="H267" i="6"/>
  <c r="I267" i="6"/>
  <c r="J267" i="6"/>
  <c r="K267" i="6"/>
  <c r="L267" i="6"/>
  <c r="N267" i="6" s="1"/>
  <c r="E266" i="6"/>
  <c r="G266" i="6"/>
  <c r="H266" i="6" s="1"/>
  <c r="I266" i="6"/>
  <c r="J266" i="6"/>
  <c r="K266" i="6"/>
  <c r="L266" i="6"/>
  <c r="N266" i="6" s="1"/>
  <c r="E265" i="6"/>
  <c r="G265" i="6"/>
  <c r="H265" i="6"/>
  <c r="I265" i="6"/>
  <c r="J265" i="6"/>
  <c r="K265" i="6"/>
  <c r="L265" i="6"/>
  <c r="N265" i="6" s="1"/>
  <c r="E264" i="6"/>
  <c r="G264" i="6"/>
  <c r="H264" i="6" s="1"/>
  <c r="I264" i="6"/>
  <c r="J264" i="6"/>
  <c r="K264" i="6"/>
  <c r="L264" i="6"/>
  <c r="N264" i="6" s="1"/>
  <c r="E263" i="6"/>
  <c r="G263" i="6"/>
  <c r="H263" i="6" s="1"/>
  <c r="I263" i="6"/>
  <c r="J263" i="6"/>
  <c r="K263" i="6"/>
  <c r="L263" i="6"/>
  <c r="N263" i="6" s="1"/>
  <c r="E262" i="6"/>
  <c r="G262" i="6"/>
  <c r="H262" i="6" s="1"/>
  <c r="I262" i="6"/>
  <c r="J262" i="6"/>
  <c r="K262" i="6"/>
  <c r="L262" i="6"/>
  <c r="N262" i="6" s="1"/>
  <c r="E261" i="6"/>
  <c r="G261" i="6"/>
  <c r="H261" i="6" s="1"/>
  <c r="I261" i="6"/>
  <c r="J261" i="6"/>
  <c r="K261" i="6"/>
  <c r="L261" i="6"/>
  <c r="N261" i="6" s="1"/>
  <c r="E260" i="6"/>
  <c r="G260" i="6"/>
  <c r="H260" i="6"/>
  <c r="I260" i="6"/>
  <c r="J260" i="6"/>
  <c r="K260" i="6"/>
  <c r="L260" i="6"/>
  <c r="N260" i="6" s="1"/>
  <c r="E259" i="6"/>
  <c r="G259" i="6"/>
  <c r="H259" i="6" s="1"/>
  <c r="I259" i="6"/>
  <c r="J259" i="6"/>
  <c r="K259" i="6"/>
  <c r="L259" i="6"/>
  <c r="N259" i="6" s="1"/>
  <c r="E258" i="6"/>
  <c r="G258" i="6"/>
  <c r="H258" i="6" s="1"/>
  <c r="I258" i="6"/>
  <c r="J258" i="6"/>
  <c r="K258" i="6"/>
  <c r="L258" i="6"/>
  <c r="N258" i="6" s="1"/>
  <c r="E257" i="6"/>
  <c r="G257" i="6"/>
  <c r="H257" i="6" s="1"/>
  <c r="I257" i="6"/>
  <c r="J257" i="6"/>
  <c r="K257" i="6"/>
  <c r="L257" i="6"/>
  <c r="N257" i="6" s="1"/>
  <c r="E256" i="6"/>
  <c r="G256" i="6"/>
  <c r="H256" i="6" s="1"/>
  <c r="I256" i="6"/>
  <c r="J256" i="6"/>
  <c r="K256" i="6"/>
  <c r="L256" i="6"/>
  <c r="N256" i="6" s="1"/>
  <c r="E255" i="6"/>
  <c r="G255" i="6"/>
  <c r="H255" i="6" s="1"/>
  <c r="I255" i="6"/>
  <c r="J255" i="6"/>
  <c r="K255" i="6"/>
  <c r="L255" i="6"/>
  <c r="N255" i="6" s="1"/>
  <c r="E254" i="6"/>
  <c r="G254" i="6"/>
  <c r="H254" i="6"/>
  <c r="I254" i="6"/>
  <c r="J254" i="6"/>
  <c r="K254" i="6"/>
  <c r="L254" i="6"/>
  <c r="N254" i="6" s="1"/>
  <c r="E253" i="6"/>
  <c r="G253" i="6"/>
  <c r="H253" i="6" s="1"/>
  <c r="I253" i="6"/>
  <c r="J253" i="6"/>
  <c r="K253" i="6"/>
  <c r="L253" i="6"/>
  <c r="N253" i="6" s="1"/>
  <c r="E252" i="6"/>
  <c r="G252" i="6"/>
  <c r="H252" i="6"/>
  <c r="I252" i="6"/>
  <c r="J252" i="6"/>
  <c r="K252" i="6"/>
  <c r="L252" i="6"/>
  <c r="N252" i="6" s="1"/>
  <c r="E251" i="6"/>
  <c r="G251" i="6"/>
  <c r="H251" i="6"/>
  <c r="I251" i="6"/>
  <c r="J251" i="6"/>
  <c r="K251" i="6"/>
  <c r="L251" i="6"/>
  <c r="N251" i="6" s="1"/>
  <c r="E250" i="6"/>
  <c r="G250" i="6"/>
  <c r="H250" i="6"/>
  <c r="I250" i="6"/>
  <c r="J250" i="6"/>
  <c r="K250" i="6"/>
  <c r="L250" i="6"/>
  <c r="N250" i="6" s="1"/>
  <c r="E249" i="6"/>
  <c r="G249" i="6"/>
  <c r="H249" i="6"/>
  <c r="I249" i="6"/>
  <c r="J249" i="6"/>
  <c r="K249" i="6"/>
  <c r="L249" i="6"/>
  <c r="N249" i="6" s="1"/>
  <c r="E248" i="6"/>
  <c r="G248" i="6"/>
  <c r="H248" i="6"/>
  <c r="I248" i="6"/>
  <c r="J248" i="6"/>
  <c r="K248" i="6"/>
  <c r="L248" i="6"/>
  <c r="N248" i="6" s="1"/>
  <c r="E247" i="6"/>
  <c r="G247" i="6"/>
  <c r="H247" i="6"/>
  <c r="I247" i="6"/>
  <c r="J247" i="6"/>
  <c r="K247" i="6"/>
  <c r="L247" i="6"/>
  <c r="N247" i="6" s="1"/>
  <c r="E246" i="6"/>
  <c r="G246" i="6"/>
  <c r="H246" i="6" s="1"/>
  <c r="I246" i="6"/>
  <c r="J246" i="6"/>
  <c r="K246" i="6"/>
  <c r="L246" i="6"/>
  <c r="N246" i="6" s="1"/>
  <c r="E245" i="6"/>
  <c r="G245" i="6"/>
  <c r="H245" i="6" s="1"/>
  <c r="I245" i="6"/>
  <c r="J245" i="6"/>
  <c r="K245" i="6"/>
  <c r="L245" i="6"/>
  <c r="N245" i="6" s="1"/>
  <c r="K195" i="6"/>
  <c r="G195" i="6"/>
  <c r="H195" i="6" s="1"/>
  <c r="L195" i="6"/>
  <c r="N195" i="6" s="1"/>
  <c r="E195" i="6"/>
  <c r="I195" i="6"/>
  <c r="J195" i="6"/>
  <c r="J191" i="6"/>
  <c r="E191" i="6"/>
  <c r="I191" i="6"/>
  <c r="K191" i="6"/>
  <c r="G191" i="6"/>
  <c r="H191" i="6" s="1"/>
  <c r="L191" i="6"/>
  <c r="N191" i="6" s="1"/>
  <c r="L190" i="6"/>
  <c r="N190" i="6" s="1"/>
  <c r="G190" i="6"/>
  <c r="H190" i="6" s="1"/>
  <c r="K190" i="6"/>
  <c r="J190" i="6"/>
  <c r="E190" i="6"/>
  <c r="I190" i="6"/>
  <c r="J189" i="6"/>
  <c r="G189" i="6"/>
  <c r="K189" i="6"/>
  <c r="E189" i="6"/>
  <c r="I189" i="6"/>
  <c r="H189" i="6"/>
  <c r="L189" i="6"/>
  <c r="N189" i="6" s="1"/>
  <c r="J187" i="6"/>
  <c r="E187" i="6"/>
  <c r="I187" i="6"/>
  <c r="L187" i="6"/>
  <c r="N187" i="6" s="1"/>
  <c r="G187" i="6"/>
  <c r="H187" i="6" s="1"/>
  <c r="K187" i="6"/>
  <c r="J179" i="6"/>
  <c r="E179" i="6"/>
  <c r="I179" i="6"/>
  <c r="K179" i="6"/>
  <c r="G179" i="6"/>
  <c r="H179" i="6" s="1"/>
  <c r="L179" i="6"/>
  <c r="N179" i="6" s="1"/>
  <c r="K171" i="6"/>
  <c r="E171" i="6"/>
  <c r="I171" i="6"/>
  <c r="G171" i="6"/>
  <c r="H171" i="6" s="1"/>
  <c r="L171" i="6"/>
  <c r="N171" i="6" s="1"/>
  <c r="J171" i="6"/>
  <c r="J157" i="6"/>
  <c r="E157" i="6"/>
  <c r="I157" i="6"/>
  <c r="K157" i="6"/>
  <c r="G157" i="6"/>
  <c r="H157" i="6" s="1"/>
  <c r="L157" i="6"/>
  <c r="N157" i="6" s="1"/>
  <c r="E151" i="6"/>
  <c r="G151" i="6"/>
  <c r="H151" i="6" s="1"/>
  <c r="I151" i="6"/>
  <c r="J151" i="6"/>
  <c r="K151" i="6"/>
  <c r="L151" i="6"/>
  <c r="N151" i="6" s="1"/>
  <c r="J147" i="6"/>
  <c r="E147" i="6"/>
  <c r="I147" i="6"/>
  <c r="G147" i="6"/>
  <c r="K147" i="6"/>
  <c r="H147" i="6"/>
  <c r="L147" i="6"/>
  <c r="N147" i="6" s="1"/>
  <c r="L146" i="6"/>
  <c r="N146" i="6" s="1"/>
  <c r="E146" i="6"/>
  <c r="I146" i="6"/>
  <c r="J146" i="6"/>
  <c r="G146" i="6"/>
  <c r="H146" i="6" s="1"/>
  <c r="K146" i="6"/>
  <c r="J143" i="6"/>
  <c r="E143" i="6"/>
  <c r="I143" i="6"/>
  <c r="G143" i="6"/>
  <c r="H143" i="6" s="1"/>
  <c r="K143" i="6"/>
  <c r="L143" i="6"/>
  <c r="N143" i="6" s="1"/>
  <c r="I121" i="6"/>
  <c r="G121" i="6"/>
  <c r="H121" i="6" s="1"/>
  <c r="L121" i="6"/>
  <c r="N121" i="6" s="1"/>
  <c r="K121" i="6"/>
  <c r="E121" i="6"/>
  <c r="J121" i="6"/>
  <c r="K119" i="6"/>
  <c r="E119" i="6"/>
  <c r="I119" i="6"/>
  <c r="G119" i="6"/>
  <c r="H119" i="6" s="1"/>
  <c r="L119" i="6"/>
  <c r="N119" i="6" s="1"/>
  <c r="J119" i="6"/>
  <c r="L112" i="6"/>
  <c r="N112" i="6" s="1"/>
  <c r="G112" i="6"/>
  <c r="K112" i="6"/>
  <c r="E112" i="6"/>
  <c r="I112" i="6"/>
  <c r="J112" i="6"/>
  <c r="H112" i="6"/>
  <c r="K106" i="6"/>
  <c r="G106" i="6"/>
  <c r="L106" i="6"/>
  <c r="N106" i="6" s="1"/>
  <c r="E106" i="6"/>
  <c r="J106" i="6"/>
  <c r="H106" i="6"/>
  <c r="I106" i="6"/>
  <c r="E92" i="6"/>
  <c r="L92" i="6"/>
  <c r="N92" i="6" s="1"/>
  <c r="G92" i="6"/>
  <c r="H92" i="6" s="1"/>
  <c r="K92" i="6"/>
  <c r="I92" i="6"/>
  <c r="J92" i="6"/>
  <c r="J89" i="6"/>
  <c r="G89" i="6"/>
  <c r="H89" i="6" s="1"/>
  <c r="L89" i="6"/>
  <c r="N89" i="6" s="1"/>
  <c r="K89" i="6"/>
  <c r="E89" i="6"/>
  <c r="I89" i="6"/>
  <c r="J85" i="6"/>
  <c r="G85" i="6"/>
  <c r="K85" i="6"/>
  <c r="E85" i="6"/>
  <c r="H85" i="6"/>
  <c r="I85" i="6"/>
  <c r="G71" i="6"/>
  <c r="H71" i="6" s="1"/>
  <c r="K71" i="6"/>
  <c r="E71" i="6"/>
  <c r="I71" i="6"/>
  <c r="J71" i="6"/>
  <c r="K67" i="6"/>
  <c r="E67" i="6"/>
  <c r="J67" i="6"/>
  <c r="G67" i="6"/>
  <c r="H67" i="6"/>
  <c r="I67" i="6"/>
  <c r="I63" i="6"/>
  <c r="G63" i="6"/>
  <c r="K63" i="6"/>
  <c r="H63" i="6"/>
  <c r="E63" i="6"/>
  <c r="J63" i="6"/>
  <c r="K60" i="6"/>
  <c r="I60" i="6"/>
  <c r="G60" i="6"/>
  <c r="H60" i="6" s="1"/>
  <c r="E60" i="6"/>
  <c r="J60" i="6"/>
  <c r="I59" i="6"/>
  <c r="G59" i="6"/>
  <c r="H59" i="6" s="1"/>
  <c r="K59" i="6"/>
  <c r="E59" i="6"/>
  <c r="J59" i="6"/>
  <c r="G39" i="6"/>
  <c r="H39" i="6" s="1"/>
  <c r="K39" i="6"/>
  <c r="J39" i="6"/>
  <c r="E39" i="6"/>
  <c r="I39" i="6"/>
  <c r="I37" i="6"/>
  <c r="J37" i="6"/>
  <c r="G37" i="6"/>
  <c r="K37" i="6"/>
  <c r="E37" i="6"/>
  <c r="H37" i="6"/>
  <c r="J30" i="6"/>
  <c r="E30" i="6"/>
  <c r="I30" i="6"/>
  <c r="G30" i="6"/>
  <c r="H30" i="6" s="1"/>
  <c r="K30" i="6"/>
  <c r="J29" i="6"/>
  <c r="E29" i="6"/>
  <c r="I29" i="6"/>
  <c r="G29" i="6"/>
  <c r="K29" i="6"/>
  <c r="H29" i="6"/>
  <c r="L28" i="6"/>
  <c r="G28" i="6"/>
  <c r="H28" i="6" s="1"/>
  <c r="K28" i="6"/>
  <c r="R28" i="6"/>
  <c r="E28" i="6"/>
  <c r="F28" i="6" s="1"/>
  <c r="L29" i="6" s="1"/>
  <c r="N29" i="6" s="1"/>
  <c r="I28" i="6"/>
  <c r="T28" i="6"/>
  <c r="J28" i="6"/>
  <c r="S28" i="6"/>
  <c r="E243" i="6"/>
  <c r="G243" i="6"/>
  <c r="H243" i="6"/>
  <c r="I243" i="6"/>
  <c r="J243" i="6"/>
  <c r="K243" i="6"/>
  <c r="L243" i="6"/>
  <c r="N243" i="6" s="1"/>
  <c r="E242" i="6"/>
  <c r="G242" i="6"/>
  <c r="H242" i="6"/>
  <c r="I242" i="6"/>
  <c r="J242" i="6"/>
  <c r="K242" i="6"/>
  <c r="L242" i="6"/>
  <c r="N242" i="6" s="1"/>
  <c r="E241" i="6"/>
  <c r="G241" i="6"/>
  <c r="H241" i="6"/>
  <c r="I241" i="6"/>
  <c r="J241" i="6"/>
  <c r="K241" i="6"/>
  <c r="L241" i="6"/>
  <c r="N241" i="6" s="1"/>
  <c r="E240" i="6"/>
  <c r="G240" i="6"/>
  <c r="H240" i="6"/>
  <c r="I240" i="6"/>
  <c r="J240" i="6"/>
  <c r="K240" i="6"/>
  <c r="L240" i="6"/>
  <c r="N240" i="6" s="1"/>
  <c r="E239" i="6"/>
  <c r="G239" i="6"/>
  <c r="H239" i="6"/>
  <c r="I239" i="6"/>
  <c r="J239" i="6"/>
  <c r="K239" i="6"/>
  <c r="L239" i="6"/>
  <c r="N239" i="6" s="1"/>
  <c r="E238" i="6"/>
  <c r="G238" i="6"/>
  <c r="H238" i="6"/>
  <c r="I238" i="6"/>
  <c r="J238" i="6"/>
  <c r="K238" i="6"/>
  <c r="L238" i="6"/>
  <c r="N238" i="6" s="1"/>
  <c r="E237" i="6"/>
  <c r="G237" i="6"/>
  <c r="H237" i="6"/>
  <c r="I237" i="6"/>
  <c r="J237" i="6"/>
  <c r="K237" i="6"/>
  <c r="L237" i="6"/>
  <c r="N237" i="6" s="1"/>
  <c r="E236" i="6"/>
  <c r="G236" i="6"/>
  <c r="H236" i="6"/>
  <c r="I236" i="6"/>
  <c r="J236" i="6"/>
  <c r="K236" i="6"/>
  <c r="L236" i="6"/>
  <c r="N236" i="6" s="1"/>
  <c r="E235" i="6"/>
  <c r="G235" i="6"/>
  <c r="H235" i="6"/>
  <c r="I235" i="6"/>
  <c r="J235" i="6"/>
  <c r="K235" i="6"/>
  <c r="L235" i="6"/>
  <c r="N235" i="6" s="1"/>
  <c r="E234" i="6"/>
  <c r="G234" i="6"/>
  <c r="H234" i="6"/>
  <c r="I234" i="6"/>
  <c r="J234" i="6"/>
  <c r="K234" i="6"/>
  <c r="L234" i="6"/>
  <c r="N234" i="6" s="1"/>
  <c r="E233" i="6"/>
  <c r="G233" i="6"/>
  <c r="H233" i="6"/>
  <c r="I233" i="6"/>
  <c r="J233" i="6"/>
  <c r="K233" i="6"/>
  <c r="L233" i="6"/>
  <c r="N233" i="6" s="1"/>
  <c r="E232" i="6"/>
  <c r="G232" i="6"/>
  <c r="H232" i="6"/>
  <c r="I232" i="6"/>
  <c r="J232" i="6"/>
  <c r="K232" i="6"/>
  <c r="L232" i="6"/>
  <c r="N232" i="6" s="1"/>
  <c r="E231" i="6"/>
  <c r="G231" i="6"/>
  <c r="H231" i="6"/>
  <c r="I231" i="6"/>
  <c r="J231" i="6"/>
  <c r="K231" i="6"/>
  <c r="L231" i="6"/>
  <c r="N231" i="6" s="1"/>
  <c r="E230" i="6"/>
  <c r="G230" i="6"/>
  <c r="H230" i="6"/>
  <c r="I230" i="6"/>
  <c r="J230" i="6"/>
  <c r="K230" i="6"/>
  <c r="L230" i="6"/>
  <c r="N230" i="6" s="1"/>
  <c r="E229" i="6"/>
  <c r="G229" i="6"/>
  <c r="H229" i="6" s="1"/>
  <c r="I229" i="6"/>
  <c r="J229" i="6"/>
  <c r="K229" i="6"/>
  <c r="L229" i="6"/>
  <c r="N229" i="6" s="1"/>
  <c r="E228" i="6"/>
  <c r="G228" i="6"/>
  <c r="H228" i="6"/>
  <c r="I228" i="6"/>
  <c r="J228" i="6"/>
  <c r="K228" i="6"/>
  <c r="L228" i="6"/>
  <c r="N228" i="6" s="1"/>
  <c r="E227" i="6"/>
  <c r="G227" i="6"/>
  <c r="H227" i="6" s="1"/>
  <c r="I227" i="6"/>
  <c r="J227" i="6"/>
  <c r="K227" i="6"/>
  <c r="L227" i="6"/>
  <c r="N227" i="6" s="1"/>
  <c r="E226" i="6"/>
  <c r="G226" i="6"/>
  <c r="H226" i="6" s="1"/>
  <c r="I226" i="6"/>
  <c r="J226" i="6"/>
  <c r="K226" i="6"/>
  <c r="L226" i="6"/>
  <c r="N226" i="6" s="1"/>
  <c r="E225" i="6"/>
  <c r="G225" i="6"/>
  <c r="H225" i="6" s="1"/>
  <c r="I225" i="6"/>
  <c r="J225" i="6"/>
  <c r="K225" i="6"/>
  <c r="L225" i="6"/>
  <c r="N225" i="6" s="1"/>
  <c r="E224" i="6"/>
  <c r="G224" i="6"/>
  <c r="H224" i="6" s="1"/>
  <c r="I224" i="6"/>
  <c r="J224" i="6"/>
  <c r="K224" i="6"/>
  <c r="L224" i="6"/>
  <c r="N224" i="6" s="1"/>
  <c r="E223" i="6"/>
  <c r="G223" i="6"/>
  <c r="H223" i="6" s="1"/>
  <c r="I223" i="6"/>
  <c r="J223" i="6"/>
  <c r="K223" i="6"/>
  <c r="L223" i="6"/>
  <c r="N223" i="6" s="1"/>
  <c r="E222" i="6"/>
  <c r="G222" i="6"/>
  <c r="H222" i="6" s="1"/>
  <c r="I222" i="6"/>
  <c r="J222" i="6"/>
  <c r="K222" i="6"/>
  <c r="L222" i="6"/>
  <c r="N222" i="6" s="1"/>
  <c r="E221" i="6"/>
  <c r="G221" i="6"/>
  <c r="H221" i="6" s="1"/>
  <c r="I221" i="6"/>
  <c r="J221" i="6"/>
  <c r="K221" i="6"/>
  <c r="L221" i="6"/>
  <c r="N221" i="6" s="1"/>
  <c r="E220" i="6"/>
  <c r="G220" i="6"/>
  <c r="H220" i="6" s="1"/>
  <c r="I220" i="6"/>
  <c r="J220" i="6"/>
  <c r="K220" i="6"/>
  <c r="L220" i="6"/>
  <c r="N220" i="6" s="1"/>
  <c r="E219" i="6"/>
  <c r="G219" i="6"/>
  <c r="H219" i="6" s="1"/>
  <c r="I219" i="6"/>
  <c r="J219" i="6"/>
  <c r="K219" i="6"/>
  <c r="L219" i="6"/>
  <c r="N219" i="6" s="1"/>
  <c r="E218" i="6"/>
  <c r="G218" i="6"/>
  <c r="H218" i="6" s="1"/>
  <c r="I218" i="6"/>
  <c r="J218" i="6"/>
  <c r="K218" i="6"/>
  <c r="L218" i="6"/>
  <c r="N218" i="6" s="1"/>
  <c r="E217" i="6"/>
  <c r="G217" i="6"/>
  <c r="H217" i="6" s="1"/>
  <c r="I217" i="6"/>
  <c r="J217" i="6"/>
  <c r="K217" i="6"/>
  <c r="L217" i="6"/>
  <c r="N217" i="6" s="1"/>
  <c r="E216" i="6"/>
  <c r="G216" i="6"/>
  <c r="H216" i="6" s="1"/>
  <c r="I216" i="6"/>
  <c r="J216" i="6"/>
  <c r="K216" i="6"/>
  <c r="L216" i="6"/>
  <c r="N216" i="6" s="1"/>
  <c r="E215" i="6"/>
  <c r="G215" i="6"/>
  <c r="H215" i="6" s="1"/>
  <c r="I215" i="6"/>
  <c r="J215" i="6"/>
  <c r="K215" i="6"/>
  <c r="L215" i="6"/>
  <c r="N215" i="6" s="1"/>
  <c r="E214" i="6"/>
  <c r="G214" i="6"/>
  <c r="H214" i="6" s="1"/>
  <c r="I214" i="6"/>
  <c r="J214" i="6"/>
  <c r="K214" i="6"/>
  <c r="L214" i="6"/>
  <c r="N214" i="6" s="1"/>
  <c r="E213" i="6"/>
  <c r="G213" i="6"/>
  <c r="H213" i="6" s="1"/>
  <c r="I213" i="6"/>
  <c r="J213" i="6"/>
  <c r="K213" i="6"/>
  <c r="L213" i="6"/>
  <c r="N213" i="6" s="1"/>
  <c r="E211" i="6"/>
  <c r="G211" i="6"/>
  <c r="H211" i="6" s="1"/>
  <c r="I211" i="6"/>
  <c r="J211" i="6"/>
  <c r="K211" i="6"/>
  <c r="L211" i="6"/>
  <c r="N211" i="6" s="1"/>
  <c r="E210" i="6"/>
  <c r="G210" i="6"/>
  <c r="H210" i="6" s="1"/>
  <c r="I210" i="6"/>
  <c r="J210" i="6"/>
  <c r="K210" i="6"/>
  <c r="L210" i="6"/>
  <c r="N210" i="6" s="1"/>
  <c r="E209" i="6"/>
  <c r="G209" i="6"/>
  <c r="H209" i="6" s="1"/>
  <c r="I209" i="6"/>
  <c r="J209" i="6"/>
  <c r="K209" i="6"/>
  <c r="L209" i="6"/>
  <c r="N209" i="6" s="1"/>
  <c r="E208" i="6"/>
  <c r="G208" i="6"/>
  <c r="H208" i="6" s="1"/>
  <c r="I208" i="6"/>
  <c r="J208" i="6"/>
  <c r="K208" i="6"/>
  <c r="L208" i="6"/>
  <c r="N208" i="6" s="1"/>
  <c r="K206" i="6"/>
  <c r="G206" i="6"/>
  <c r="L206" i="6"/>
  <c r="N206" i="6" s="1"/>
  <c r="E206" i="6"/>
  <c r="I206" i="6"/>
  <c r="H206" i="6"/>
  <c r="J206" i="6"/>
  <c r="L204" i="6"/>
  <c r="N204" i="6" s="1"/>
  <c r="G204" i="6"/>
  <c r="H204" i="6" s="1"/>
  <c r="K204" i="6"/>
  <c r="J204" i="6"/>
  <c r="E204" i="6"/>
  <c r="I204" i="6"/>
  <c r="J202" i="6"/>
  <c r="L202" i="6"/>
  <c r="N202" i="6" s="1"/>
  <c r="G202" i="6"/>
  <c r="H202" i="6" s="1"/>
  <c r="K202" i="6"/>
  <c r="E202" i="6"/>
  <c r="I202" i="6"/>
  <c r="J201" i="6"/>
  <c r="G201" i="6"/>
  <c r="L201" i="6"/>
  <c r="N201" i="6" s="1"/>
  <c r="E201" i="6"/>
  <c r="I201" i="6"/>
  <c r="H201" i="6"/>
  <c r="K201" i="6"/>
  <c r="K198" i="6"/>
  <c r="J198" i="6"/>
  <c r="G198" i="6"/>
  <c r="H198" i="6" s="1"/>
  <c r="L198" i="6"/>
  <c r="N198" i="6" s="1"/>
  <c r="E198" i="6"/>
  <c r="I198" i="6"/>
  <c r="L192" i="6"/>
  <c r="N192" i="6" s="1"/>
  <c r="G192" i="6"/>
  <c r="H192" i="6" s="1"/>
  <c r="K192" i="6"/>
  <c r="E192" i="6"/>
  <c r="I192" i="6"/>
  <c r="J192" i="6"/>
  <c r="I172" i="6"/>
  <c r="L172" i="6"/>
  <c r="N172" i="6" s="1"/>
  <c r="E172" i="6"/>
  <c r="K172" i="6"/>
  <c r="G172" i="6"/>
  <c r="H172" i="6" s="1"/>
  <c r="J172" i="6"/>
  <c r="I169" i="6"/>
  <c r="E169" i="6"/>
  <c r="L169" i="6"/>
  <c r="N169" i="6" s="1"/>
  <c r="J169" i="6"/>
  <c r="G169" i="6"/>
  <c r="H169" i="6" s="1"/>
  <c r="K169" i="6"/>
  <c r="J168" i="6"/>
  <c r="G168" i="6"/>
  <c r="H168" i="6" s="1"/>
  <c r="L168" i="6"/>
  <c r="N168" i="6" s="1"/>
  <c r="K168" i="6"/>
  <c r="E168" i="6"/>
  <c r="I168" i="6"/>
  <c r="J166" i="6"/>
  <c r="L166" i="6"/>
  <c r="N166" i="6" s="1"/>
  <c r="E166" i="6"/>
  <c r="I166" i="6"/>
  <c r="G166" i="6"/>
  <c r="H166" i="6" s="1"/>
  <c r="K166" i="6"/>
  <c r="L164" i="6"/>
  <c r="N164" i="6" s="1"/>
  <c r="I164" i="6"/>
  <c r="E164" i="6"/>
  <c r="K164" i="6"/>
  <c r="G164" i="6"/>
  <c r="H164" i="6" s="1"/>
  <c r="J164" i="6"/>
  <c r="J163" i="6"/>
  <c r="L163" i="6"/>
  <c r="N163" i="6" s="1"/>
  <c r="G163" i="6"/>
  <c r="H163" i="6" s="1"/>
  <c r="K163" i="6"/>
  <c r="E163" i="6"/>
  <c r="I163" i="6"/>
  <c r="L159" i="6"/>
  <c r="N159" i="6" s="1"/>
  <c r="E159" i="6"/>
  <c r="I159" i="6"/>
  <c r="G159" i="6"/>
  <c r="H159" i="6" s="1"/>
  <c r="K159" i="6"/>
  <c r="J159" i="6"/>
  <c r="K155" i="6"/>
  <c r="G155" i="6"/>
  <c r="H155" i="6" s="1"/>
  <c r="J155" i="6"/>
  <c r="E155" i="6"/>
  <c r="I155" i="6"/>
  <c r="L155" i="6"/>
  <c r="N155" i="6" s="1"/>
  <c r="G154" i="6"/>
  <c r="J154" i="6"/>
  <c r="E154" i="6"/>
  <c r="I154" i="6"/>
  <c r="K154" i="6"/>
  <c r="H154" i="6"/>
  <c r="L154" i="6"/>
  <c r="N154" i="6" s="1"/>
  <c r="I153" i="6"/>
  <c r="L153" i="6"/>
  <c r="N153" i="6" s="1"/>
  <c r="E153" i="6"/>
  <c r="K153" i="6"/>
  <c r="G153" i="6"/>
  <c r="H153" i="6" s="1"/>
  <c r="J153" i="6"/>
  <c r="G149" i="6"/>
  <c r="I149" i="6"/>
  <c r="L149" i="6"/>
  <c r="N149" i="6" s="1"/>
  <c r="E149" i="6"/>
  <c r="H149" i="6"/>
  <c r="J149" i="6"/>
  <c r="K149" i="6"/>
  <c r="G148" i="6"/>
  <c r="I148" i="6"/>
  <c r="K148" i="6"/>
  <c r="E148" i="6"/>
  <c r="H148" i="6"/>
  <c r="J148" i="6"/>
  <c r="L148" i="6"/>
  <c r="N148" i="6" s="1"/>
  <c r="K122" i="6"/>
  <c r="I122" i="6"/>
  <c r="G122" i="6"/>
  <c r="L122" i="6"/>
  <c r="N122" i="6" s="1"/>
  <c r="E122" i="6"/>
  <c r="J122" i="6"/>
  <c r="H122" i="6"/>
  <c r="I118" i="6"/>
  <c r="E118" i="6"/>
  <c r="J118" i="6"/>
  <c r="G118" i="6"/>
  <c r="H118" i="6" s="1"/>
  <c r="K118" i="6"/>
  <c r="L118" i="6"/>
  <c r="N118" i="6" s="1"/>
  <c r="E115" i="6"/>
  <c r="J115" i="6"/>
  <c r="G115" i="6"/>
  <c r="H115" i="6" s="1"/>
  <c r="K115" i="6"/>
  <c r="I115" i="6"/>
  <c r="L115" i="6"/>
  <c r="N115" i="6" s="1"/>
  <c r="I113" i="6"/>
  <c r="J113" i="6"/>
  <c r="E113" i="6"/>
  <c r="L113" i="6"/>
  <c r="N113" i="6" s="1"/>
  <c r="G113" i="6"/>
  <c r="K113" i="6"/>
  <c r="H113" i="6"/>
  <c r="J110" i="6"/>
  <c r="G110" i="6"/>
  <c r="H110" i="6" s="1"/>
  <c r="L110" i="6"/>
  <c r="N110" i="6" s="1"/>
  <c r="E110" i="6"/>
  <c r="I110" i="6"/>
  <c r="K110" i="6"/>
  <c r="J109" i="6"/>
  <c r="G109" i="6"/>
  <c r="H109" i="6" s="1"/>
  <c r="L109" i="6"/>
  <c r="N109" i="6" s="1"/>
  <c r="E109" i="6"/>
  <c r="I109" i="6"/>
  <c r="K109" i="6"/>
  <c r="I101" i="6"/>
  <c r="L101" i="6"/>
  <c r="N101" i="6" s="1"/>
  <c r="G101" i="6"/>
  <c r="H101" i="6" s="1"/>
  <c r="K101" i="6"/>
  <c r="E101" i="6"/>
  <c r="J101" i="6"/>
  <c r="J100" i="6"/>
  <c r="G100" i="6"/>
  <c r="K100" i="6"/>
  <c r="E100" i="6"/>
  <c r="I100" i="6"/>
  <c r="H100" i="6"/>
  <c r="L100" i="6"/>
  <c r="N100" i="6" s="1"/>
  <c r="L91" i="6"/>
  <c r="N91" i="6" s="1"/>
  <c r="I91" i="6"/>
  <c r="G91" i="6"/>
  <c r="H91" i="6" s="1"/>
  <c r="K91" i="6"/>
  <c r="J91" i="6"/>
  <c r="E91" i="6"/>
  <c r="K90" i="6"/>
  <c r="I90" i="6"/>
  <c r="E90" i="6"/>
  <c r="J90" i="6"/>
  <c r="G90" i="6"/>
  <c r="H90" i="6" s="1"/>
  <c r="L90" i="6"/>
  <c r="N90" i="6" s="1"/>
  <c r="J81" i="6"/>
  <c r="G81" i="6"/>
  <c r="H81" i="6" s="1"/>
  <c r="K81" i="6"/>
  <c r="E81" i="6"/>
  <c r="I81" i="6"/>
  <c r="J75" i="6"/>
  <c r="K75" i="6"/>
  <c r="E75" i="6"/>
  <c r="I75" i="6"/>
  <c r="G75" i="6"/>
  <c r="H75" i="6" s="1"/>
  <c r="K73" i="6"/>
  <c r="E73" i="6"/>
  <c r="J73" i="6"/>
  <c r="I73" i="6"/>
  <c r="G73" i="6"/>
  <c r="H73" i="6" s="1"/>
  <c r="J69" i="6"/>
  <c r="G69" i="6"/>
  <c r="H69" i="6" s="1"/>
  <c r="K69" i="6"/>
  <c r="E69" i="6"/>
  <c r="I69" i="6"/>
  <c r="I61" i="6"/>
  <c r="G61" i="6"/>
  <c r="H61" i="6" s="1"/>
  <c r="E61" i="6"/>
  <c r="J61" i="6"/>
  <c r="K61" i="6"/>
  <c r="I58" i="6"/>
  <c r="G58" i="6"/>
  <c r="H58" i="6" s="1"/>
  <c r="K58" i="6"/>
  <c r="E58" i="6"/>
  <c r="J58" i="6"/>
  <c r="J57" i="6"/>
  <c r="E57" i="6"/>
  <c r="K57" i="6"/>
  <c r="I57" i="6"/>
  <c r="G57" i="6"/>
  <c r="H57" i="6" s="1"/>
  <c r="K56" i="6"/>
  <c r="G56" i="6"/>
  <c r="H56" i="6" s="1"/>
  <c r="J56" i="6"/>
  <c r="E56" i="6"/>
  <c r="I56" i="6"/>
  <c r="J50" i="6"/>
  <c r="G50" i="6"/>
  <c r="H50" i="6" s="1"/>
  <c r="K50" i="6"/>
  <c r="I50" i="6"/>
  <c r="E50" i="6"/>
  <c r="K48" i="6"/>
  <c r="G48" i="6"/>
  <c r="H48" i="6" s="1"/>
  <c r="I48" i="6"/>
  <c r="E48" i="6"/>
  <c r="J48" i="6"/>
  <c r="E212" i="6"/>
  <c r="G212" i="6"/>
  <c r="H212" i="6" s="1"/>
  <c r="I212" i="6"/>
  <c r="J212" i="6"/>
  <c r="K212" i="6"/>
  <c r="L212" i="6"/>
  <c r="N212" i="6" s="1"/>
  <c r="U28" i="6" l="1"/>
  <c r="N28" i="6"/>
  <c r="F29" i="6"/>
  <c r="W28" i="6"/>
  <c r="Z28" i="6" s="1"/>
  <c r="X28" i="6"/>
  <c r="V28" i="6"/>
  <c r="P28" i="6" s="1"/>
  <c r="Q28" i="6" s="1"/>
  <c r="O29" i="6" s="1"/>
  <c r="Y28" i="6"/>
  <c r="L30" i="6" l="1"/>
  <c r="F30" i="6"/>
  <c r="T29" i="6"/>
  <c r="AA28" i="6"/>
  <c r="AB28" i="6" s="1"/>
  <c r="S29" i="6"/>
  <c r="R29" i="6"/>
  <c r="N30" i="6" l="1"/>
  <c r="L31" i="6"/>
  <c r="F31" i="6"/>
  <c r="W29" i="6"/>
  <c r="Z29" i="6" s="1"/>
  <c r="V29" i="6"/>
  <c r="Y29" i="6" s="1"/>
  <c r="U29" i="6"/>
  <c r="X29" i="6"/>
  <c r="L32" i="6" l="1"/>
  <c r="F32" i="6"/>
  <c r="S30" i="6"/>
  <c r="T30" i="6"/>
  <c r="R30" i="6"/>
  <c r="AA29" i="6"/>
  <c r="AB29" i="6" s="1"/>
  <c r="P29" i="6"/>
  <c r="Q29" i="6" s="1"/>
  <c r="O30" i="6" s="1"/>
  <c r="N31" i="6"/>
  <c r="L33" i="6" l="1"/>
  <c r="N33" i="6" s="1"/>
  <c r="F33" i="6"/>
  <c r="V30" i="6"/>
  <c r="Y30" i="6" s="1"/>
  <c r="W30" i="6"/>
  <c r="Z30" i="6" s="1"/>
  <c r="U30" i="6"/>
  <c r="N32" i="6"/>
  <c r="L34" i="6" l="1"/>
  <c r="N34" i="6" s="1"/>
  <c r="F34" i="6"/>
  <c r="P30" i="6"/>
  <c r="Q30" i="6" s="1"/>
  <c r="O31" i="6" s="1"/>
  <c r="X30" i="6"/>
  <c r="L35" i="6" l="1"/>
  <c r="N35" i="6" s="1"/>
  <c r="F35" i="6"/>
  <c r="AA30" i="6"/>
  <c r="AB30" i="6" s="1"/>
  <c r="S31" i="6"/>
  <c r="T31" i="6"/>
  <c r="R31" i="6"/>
  <c r="L36" i="6" l="1"/>
  <c r="N36" i="6" s="1"/>
  <c r="F36" i="6"/>
  <c r="V31" i="6"/>
  <c r="Y31" i="6" s="1"/>
  <c r="W31" i="6"/>
  <c r="Z31" i="6" s="1"/>
  <c r="U31" i="6"/>
  <c r="L37" i="6" l="1"/>
  <c r="N37" i="6" s="1"/>
  <c r="F37" i="6"/>
  <c r="P31" i="6"/>
  <c r="Q31" i="6" s="1"/>
  <c r="O32" i="6" s="1"/>
  <c r="X31" i="6"/>
  <c r="L38" i="6" l="1"/>
  <c r="N38" i="6" s="1"/>
  <c r="F38" i="6"/>
  <c r="AA31" i="6"/>
  <c r="AB31" i="6" s="1"/>
  <c r="T32" i="6"/>
  <c r="R32" i="6"/>
  <c r="S32" i="6"/>
  <c r="L39" i="6" l="1"/>
  <c r="N39" i="6" s="1"/>
  <c r="F39" i="6"/>
  <c r="W32" i="6"/>
  <c r="Z32" i="6" s="1"/>
  <c r="U32" i="6"/>
  <c r="V32" i="6"/>
  <c r="Y32" i="6" s="1"/>
  <c r="L40" i="6" l="1"/>
  <c r="N40" i="6" s="1"/>
  <c r="F40" i="6"/>
  <c r="P32" i="6"/>
  <c r="Q32" i="6" s="1"/>
  <c r="O33" i="6" s="1"/>
  <c r="X32" i="6"/>
  <c r="L41" i="6" l="1"/>
  <c r="N41" i="6" s="1"/>
  <c r="F41" i="6"/>
  <c r="AA32" i="6"/>
  <c r="AB32" i="6" s="1"/>
  <c r="S33" i="6"/>
  <c r="R33" i="6"/>
  <c r="T33" i="6"/>
  <c r="L42" i="6" l="1"/>
  <c r="N42" i="6" s="1"/>
  <c r="F42" i="6"/>
  <c r="V33" i="6"/>
  <c r="Y33" i="6" s="1"/>
  <c r="U33" i="6"/>
  <c r="W33" i="6"/>
  <c r="Z33" i="6" s="1"/>
  <c r="L43" i="6" l="1"/>
  <c r="N43" i="6" s="1"/>
  <c r="F43" i="6"/>
  <c r="P33" i="6"/>
  <c r="Q33" i="6" s="1"/>
  <c r="O34" i="6" s="1"/>
  <c r="X33" i="6"/>
  <c r="L44" i="6" l="1"/>
  <c r="N44" i="6" s="1"/>
  <c r="F44" i="6"/>
  <c r="AA33" i="6"/>
  <c r="AB33" i="6" s="1"/>
  <c r="R34" i="6"/>
  <c r="S34" i="6"/>
  <c r="T34" i="6"/>
  <c r="L45" i="6" l="1"/>
  <c r="N45" i="6" s="1"/>
  <c r="F45" i="6"/>
  <c r="U34" i="6"/>
  <c r="V34" i="6"/>
  <c r="Y34" i="6" s="1"/>
  <c r="W34" i="6"/>
  <c r="Z34" i="6" s="1"/>
  <c r="L46" i="6" l="1"/>
  <c r="N46" i="6" s="1"/>
  <c r="F46" i="6"/>
  <c r="P34" i="6"/>
  <c r="Q34" i="6" s="1"/>
  <c r="O35" i="6" s="1"/>
  <c r="X34" i="6"/>
  <c r="L47" i="6" l="1"/>
  <c r="N47" i="6" s="1"/>
  <c r="F47" i="6"/>
  <c r="AA34" i="6"/>
  <c r="AB34" i="6" s="1"/>
  <c r="R35" i="6"/>
  <c r="S35" i="6"/>
  <c r="T35" i="6"/>
  <c r="L48" i="6" l="1"/>
  <c r="N48" i="6" s="1"/>
  <c r="F48" i="6"/>
  <c r="U35" i="6"/>
  <c r="V35" i="6"/>
  <c r="Y35" i="6" s="1"/>
  <c r="W35" i="6"/>
  <c r="Z35" i="6" s="1"/>
  <c r="L49" i="6" l="1"/>
  <c r="N49" i="6" s="1"/>
  <c r="F49" i="6"/>
  <c r="P35" i="6"/>
  <c r="Q35" i="6" s="1"/>
  <c r="O36" i="6" s="1"/>
  <c r="X35" i="6"/>
  <c r="L50" i="6" l="1"/>
  <c r="N50" i="6" s="1"/>
  <c r="F50" i="6"/>
  <c r="AA35" i="6"/>
  <c r="AB35" i="6" s="1"/>
  <c r="T36" i="6"/>
  <c r="R36" i="6"/>
  <c r="S36" i="6"/>
  <c r="L51" i="6" l="1"/>
  <c r="N51" i="6" s="1"/>
  <c r="F51" i="6"/>
  <c r="W36" i="6"/>
  <c r="Z36" i="6" s="1"/>
  <c r="U36" i="6"/>
  <c r="V36" i="6"/>
  <c r="Y36" i="6" s="1"/>
  <c r="L52" i="6" l="1"/>
  <c r="N52" i="6" s="1"/>
  <c r="F52" i="6"/>
  <c r="P36" i="6"/>
  <c r="Q36" i="6" s="1"/>
  <c r="O37" i="6" s="1"/>
  <c r="X36" i="6"/>
  <c r="L53" i="6" l="1"/>
  <c r="N53" i="6" s="1"/>
  <c r="F53" i="6"/>
  <c r="AA36" i="6"/>
  <c r="AB36" i="6" s="1"/>
  <c r="T37" i="6"/>
  <c r="R37" i="6"/>
  <c r="S37" i="6"/>
  <c r="L54" i="6" l="1"/>
  <c r="N54" i="6" s="1"/>
  <c r="F54" i="6"/>
  <c r="W37" i="6"/>
  <c r="Z37" i="6" s="1"/>
  <c r="U37" i="6"/>
  <c r="V37" i="6"/>
  <c r="Y37" i="6" s="1"/>
  <c r="L55" i="6" l="1"/>
  <c r="N55" i="6" s="1"/>
  <c r="F55" i="6"/>
  <c r="P37" i="6"/>
  <c r="Q37" i="6" s="1"/>
  <c r="O38" i="6" s="1"/>
  <c r="X37" i="6"/>
  <c r="L56" i="6" l="1"/>
  <c r="N56" i="6" s="1"/>
  <c r="F56" i="6"/>
  <c r="AA37" i="6"/>
  <c r="AB37" i="6" s="1"/>
  <c r="S38" i="6"/>
  <c r="T38" i="6"/>
  <c r="R38" i="6"/>
  <c r="L57" i="6" l="1"/>
  <c r="N57" i="6" s="1"/>
  <c r="F57" i="6"/>
  <c r="V38" i="6"/>
  <c r="Y38" i="6" s="1"/>
  <c r="W38" i="6"/>
  <c r="Z38" i="6" s="1"/>
  <c r="U38" i="6"/>
  <c r="L58" i="6" l="1"/>
  <c r="N58" i="6" s="1"/>
  <c r="F58" i="6"/>
  <c r="P38" i="6"/>
  <c r="Q38" i="6" s="1"/>
  <c r="O39" i="6" s="1"/>
  <c r="X38" i="6"/>
  <c r="L59" i="6" l="1"/>
  <c r="N59" i="6" s="1"/>
  <c r="F59" i="6"/>
  <c r="AA38" i="6"/>
  <c r="AB38" i="6" s="1"/>
  <c r="T39" i="6"/>
  <c r="S39" i="6"/>
  <c r="R39" i="6"/>
  <c r="L60" i="6" l="1"/>
  <c r="N60" i="6" s="1"/>
  <c r="F60" i="6"/>
  <c r="W39" i="6"/>
  <c r="Z39" i="6" s="1"/>
  <c r="V39" i="6"/>
  <c r="Y39" i="6" s="1"/>
  <c r="U39" i="6"/>
  <c r="X39" i="6" s="1"/>
  <c r="L61" i="6" l="1"/>
  <c r="N61" i="6" s="1"/>
  <c r="F61" i="6"/>
  <c r="R40" i="6"/>
  <c r="S40" i="6"/>
  <c r="T40" i="6"/>
  <c r="AA39" i="6"/>
  <c r="AB39" i="6" s="1"/>
  <c r="P39" i="6"/>
  <c r="Q39" i="6" s="1"/>
  <c r="O40" i="6" s="1"/>
  <c r="L62" i="6" l="1"/>
  <c r="N62" i="6" s="1"/>
  <c r="F62" i="6"/>
  <c r="U40" i="6"/>
  <c r="X40" i="6" s="1"/>
  <c r="V40" i="6"/>
  <c r="Y40" i="6" s="1"/>
  <c r="W40" i="6"/>
  <c r="Z40" i="6" s="1"/>
  <c r="L63" i="6" l="1"/>
  <c r="N63" i="6" s="1"/>
  <c r="F63" i="6"/>
  <c r="R41" i="6"/>
  <c r="T41" i="6"/>
  <c r="S41" i="6"/>
  <c r="AA40" i="6"/>
  <c r="AB40" i="6" s="1"/>
  <c r="P40" i="6"/>
  <c r="Q40" i="6" s="1"/>
  <c r="O41" i="6" s="1"/>
  <c r="L64" i="6" l="1"/>
  <c r="N64" i="6" s="1"/>
  <c r="F64" i="6"/>
  <c r="U41" i="6"/>
  <c r="X41" i="6" s="1"/>
  <c r="W41" i="6"/>
  <c r="Z41" i="6" s="1"/>
  <c r="V41" i="6"/>
  <c r="Y41" i="6" s="1"/>
  <c r="L65" i="6" l="1"/>
  <c r="N65" i="6" s="1"/>
  <c r="F65" i="6"/>
  <c r="T42" i="6"/>
  <c r="S42" i="6"/>
  <c r="R42" i="6"/>
  <c r="AA41" i="6"/>
  <c r="AB41" i="6" s="1"/>
  <c r="P41" i="6"/>
  <c r="Q41" i="6" s="1"/>
  <c r="O42" i="6" s="1"/>
  <c r="L66" i="6" l="1"/>
  <c r="N66" i="6" s="1"/>
  <c r="F66" i="6"/>
  <c r="W42" i="6"/>
  <c r="Z42" i="6"/>
  <c r="V42" i="6"/>
  <c r="Y42" i="6" s="1"/>
  <c r="U42" i="6"/>
  <c r="P42" i="6" l="1"/>
  <c r="Q42" i="6" s="1"/>
  <c r="O43" i="6" s="1"/>
  <c r="X42" i="6"/>
  <c r="AA42" i="6" s="1"/>
  <c r="AB42" i="6" s="1"/>
  <c r="L67" i="6"/>
  <c r="N67" i="6" s="1"/>
  <c r="F67" i="6"/>
  <c r="R43" i="6"/>
  <c r="S43" i="6"/>
  <c r="T43" i="6"/>
  <c r="L68" i="6" l="1"/>
  <c r="N68" i="6" s="1"/>
  <c r="F68" i="6"/>
  <c r="U43" i="6"/>
  <c r="V43" i="6"/>
  <c r="Y43" i="6" s="1"/>
  <c r="W43" i="6"/>
  <c r="Z43" i="6" s="1"/>
  <c r="L69" i="6" l="1"/>
  <c r="N69" i="6" s="1"/>
  <c r="F69" i="6"/>
  <c r="P43" i="6"/>
  <c r="Q43" i="6" s="1"/>
  <c r="O44" i="6" s="1"/>
  <c r="X43" i="6"/>
  <c r="L70" i="6" l="1"/>
  <c r="N70" i="6" s="1"/>
  <c r="F70" i="6"/>
  <c r="AA43" i="6"/>
  <c r="AB43" i="6" s="1"/>
  <c r="S44" i="6"/>
  <c r="R44" i="6"/>
  <c r="T44" i="6"/>
  <c r="L71" i="6" l="1"/>
  <c r="N71" i="6" s="1"/>
  <c r="F71" i="6"/>
  <c r="V44" i="6"/>
  <c r="Y44" i="6" s="1"/>
  <c r="U44" i="6"/>
  <c r="W44" i="6"/>
  <c r="Z44" i="6" s="1"/>
  <c r="L72" i="6" l="1"/>
  <c r="N72" i="6" s="1"/>
  <c r="F72" i="6"/>
  <c r="P44" i="6"/>
  <c r="Q44" i="6" s="1"/>
  <c r="O45" i="6" s="1"/>
  <c r="X44" i="6"/>
  <c r="L73" i="6" l="1"/>
  <c r="N73" i="6" s="1"/>
  <c r="F73" i="6"/>
  <c r="AA44" i="6"/>
  <c r="AB44" i="6" s="1"/>
  <c r="T45" i="6"/>
  <c r="S45" i="6"/>
  <c r="R45" i="6"/>
  <c r="L74" i="6" l="1"/>
  <c r="N74" i="6" s="1"/>
  <c r="F74" i="6"/>
  <c r="W45" i="6"/>
  <c r="Z45" i="6" s="1"/>
  <c r="V45" i="6"/>
  <c r="Y45" i="6" s="1"/>
  <c r="U45" i="6"/>
  <c r="L75" i="6" l="1"/>
  <c r="N75" i="6" s="1"/>
  <c r="F75" i="6"/>
  <c r="P45" i="6"/>
  <c r="Q45" i="6" s="1"/>
  <c r="O46" i="6" s="1"/>
  <c r="X45" i="6"/>
  <c r="L76" i="6" l="1"/>
  <c r="N76" i="6" s="1"/>
  <c r="F76" i="6"/>
  <c r="AA45" i="6"/>
  <c r="AB45" i="6" s="1"/>
  <c r="T46" i="6"/>
  <c r="S46" i="6"/>
  <c r="R46" i="6"/>
  <c r="L77" i="6" l="1"/>
  <c r="N77" i="6" s="1"/>
  <c r="F77" i="6"/>
  <c r="W46" i="6"/>
  <c r="Z46" i="6" s="1"/>
  <c r="V46" i="6"/>
  <c r="Y46" i="6" s="1"/>
  <c r="U46" i="6"/>
  <c r="L78" i="6" l="1"/>
  <c r="N78" i="6" s="1"/>
  <c r="F78" i="6"/>
  <c r="P46" i="6"/>
  <c r="Q46" i="6" s="1"/>
  <c r="O47" i="6" s="1"/>
  <c r="X46" i="6"/>
  <c r="L79" i="6" l="1"/>
  <c r="N79" i="6" s="1"/>
  <c r="F79" i="6"/>
  <c r="AA46" i="6"/>
  <c r="AB46" i="6" s="1"/>
  <c r="S47" i="6"/>
  <c r="R47" i="6"/>
  <c r="T47" i="6"/>
  <c r="L80" i="6" l="1"/>
  <c r="N80" i="6" s="1"/>
  <c r="F80" i="6"/>
  <c r="V47" i="6"/>
  <c r="Y47" i="6" s="1"/>
  <c r="U47" i="6"/>
  <c r="X47" i="6" s="1"/>
  <c r="W47" i="6"/>
  <c r="Z47" i="6" s="1"/>
  <c r="L81" i="6" l="1"/>
  <c r="N81" i="6" s="1"/>
  <c r="F81" i="6"/>
  <c r="R48" i="6"/>
  <c r="T48" i="6"/>
  <c r="S48" i="6"/>
  <c r="AA47" i="6"/>
  <c r="AB47" i="6" s="1"/>
  <c r="P47" i="6"/>
  <c r="Q47" i="6" s="1"/>
  <c r="O48" i="6" s="1"/>
  <c r="L82" i="6" l="1"/>
  <c r="N82" i="6" s="1"/>
  <c r="F82" i="6"/>
  <c r="U48" i="6"/>
  <c r="W48" i="6"/>
  <c r="Z48" i="6" s="1"/>
  <c r="V48" i="6"/>
  <c r="Y48" i="6" s="1"/>
  <c r="P48" i="6" l="1"/>
  <c r="Q48" i="6" s="1"/>
  <c r="O49" i="6" s="1"/>
  <c r="X48" i="6"/>
  <c r="L83" i="6"/>
  <c r="N83" i="6" s="1"/>
  <c r="F83" i="6"/>
  <c r="R49" i="6" l="1"/>
  <c r="U49" i="6" s="1"/>
  <c r="S49" i="6"/>
  <c r="V49" i="6" s="1"/>
  <c r="Y49" i="6" s="1"/>
  <c r="T49" i="6"/>
  <c r="W49" i="6" s="1"/>
  <c r="Z49" i="6" s="1"/>
  <c r="AA48" i="6"/>
  <c r="AB48" i="6" s="1"/>
  <c r="L84" i="6"/>
  <c r="N84" i="6" s="1"/>
  <c r="F84" i="6"/>
  <c r="L85" i="6" l="1"/>
  <c r="N85" i="6" s="1"/>
  <c r="F85" i="6"/>
  <c r="P49" i="6"/>
  <c r="Q49" i="6" s="1"/>
  <c r="O50" i="6" s="1"/>
  <c r="X49" i="6"/>
  <c r="L86" i="6" l="1"/>
  <c r="N86" i="6" s="1"/>
  <c r="F86" i="6"/>
  <c r="AA49" i="6"/>
  <c r="AB49" i="6" s="1"/>
  <c r="T50" i="6"/>
  <c r="R50" i="6"/>
  <c r="S50" i="6"/>
  <c r="L87" i="6" l="1"/>
  <c r="F87" i="6"/>
  <c r="W50" i="6"/>
  <c r="Z50" i="6" s="1"/>
  <c r="U50" i="6"/>
  <c r="V50" i="6"/>
  <c r="Y50" i="6"/>
  <c r="L88" i="6" l="1"/>
  <c r="P50" i="6"/>
  <c r="Q50" i="6" s="1"/>
  <c r="O51" i="6" s="1"/>
  <c r="X50" i="6"/>
  <c r="N11" i="6" l="1"/>
  <c r="N88" i="6"/>
  <c r="AA50" i="6"/>
  <c r="AB50" i="6" s="1"/>
  <c r="R51" i="6"/>
  <c r="T51" i="6"/>
  <c r="S51" i="6"/>
  <c r="U51" i="6" l="1"/>
  <c r="W51" i="6"/>
  <c r="Z51" i="6" s="1"/>
  <c r="V51" i="6"/>
  <c r="Y51" i="6" s="1"/>
  <c r="P51" i="6" l="1"/>
  <c r="Q51" i="6" s="1"/>
  <c r="O52" i="6" s="1"/>
  <c r="X51" i="6"/>
  <c r="AA51" i="6" l="1"/>
  <c r="AB51" i="6" s="1"/>
  <c r="T52" i="6"/>
  <c r="S52" i="6"/>
  <c r="R52" i="6"/>
  <c r="W52" i="6" l="1"/>
  <c r="Z52" i="6" s="1"/>
  <c r="V52" i="6"/>
  <c r="Y52" i="6" s="1"/>
  <c r="U52" i="6"/>
  <c r="X52" i="6" s="1"/>
  <c r="T53" i="6" l="1"/>
  <c r="S53" i="6"/>
  <c r="R53" i="6"/>
  <c r="AA52" i="6"/>
  <c r="AB52" i="6" s="1"/>
  <c r="P52" i="6"/>
  <c r="Q52" i="6" s="1"/>
  <c r="O53" i="6" s="1"/>
  <c r="W53" i="6" l="1"/>
  <c r="Z53" i="6" s="1"/>
  <c r="V53" i="6"/>
  <c r="Y53" i="6" s="1"/>
  <c r="U53" i="6"/>
  <c r="P53" i="6" l="1"/>
  <c r="Q53" i="6" s="1"/>
  <c r="O54" i="6" s="1"/>
  <c r="X53" i="6"/>
  <c r="AA53" i="6" l="1"/>
  <c r="AB53" i="6" s="1"/>
  <c r="R54" i="6"/>
  <c r="S54" i="6"/>
  <c r="T54" i="6"/>
  <c r="U54" i="6" l="1"/>
  <c r="V54" i="6"/>
  <c r="Y54" i="6" s="1"/>
  <c r="W54" i="6"/>
  <c r="Z54" i="6" s="1"/>
  <c r="P54" i="6" l="1"/>
  <c r="Q54" i="6" s="1"/>
  <c r="O55" i="6" s="1"/>
  <c r="X54" i="6"/>
  <c r="AA54" i="6" l="1"/>
  <c r="AB54" i="6" s="1"/>
  <c r="T55" i="6"/>
  <c r="S55" i="6"/>
  <c r="R55" i="6"/>
  <c r="W55" i="6" l="1"/>
  <c r="Z55" i="6" s="1"/>
  <c r="V55" i="6"/>
  <c r="Y55" i="6" s="1"/>
  <c r="U55" i="6"/>
  <c r="P55" i="6" l="1"/>
  <c r="Q55" i="6" s="1"/>
  <c r="O56" i="6" s="1"/>
  <c r="X55" i="6"/>
  <c r="AA55" i="6" l="1"/>
  <c r="AB55" i="6" s="1"/>
  <c r="T56" i="6"/>
  <c r="R56" i="6"/>
  <c r="S56" i="6"/>
  <c r="W56" i="6" l="1"/>
  <c r="Z56" i="6" s="1"/>
  <c r="U56" i="6"/>
  <c r="V56" i="6"/>
  <c r="Y56" i="6" s="1"/>
  <c r="P56" i="6" l="1"/>
  <c r="Q56" i="6" s="1"/>
  <c r="O57" i="6" s="1"/>
  <c r="X56" i="6"/>
  <c r="AA56" i="6" l="1"/>
  <c r="AB56" i="6" s="1"/>
  <c r="S57" i="6"/>
  <c r="R57" i="6"/>
  <c r="T57" i="6"/>
  <c r="V57" i="6" l="1"/>
  <c r="Y57" i="6" s="1"/>
  <c r="U57" i="6"/>
  <c r="W57" i="6"/>
  <c r="Z57" i="6" s="1"/>
  <c r="P57" i="6" l="1"/>
  <c r="Q57" i="6" s="1"/>
  <c r="O58" i="6" s="1"/>
  <c r="X57" i="6"/>
  <c r="AA57" i="6" l="1"/>
  <c r="AB57" i="6" s="1"/>
  <c r="T58" i="6"/>
  <c r="R58" i="6"/>
  <c r="S58" i="6"/>
  <c r="W58" i="6" l="1"/>
  <c r="Z58" i="6" s="1"/>
  <c r="U58" i="6"/>
  <c r="V58" i="6"/>
  <c r="Y58" i="6" s="1"/>
  <c r="P58" i="6" l="1"/>
  <c r="Q58" i="6" s="1"/>
  <c r="O59" i="6" s="1"/>
  <c r="X58" i="6"/>
  <c r="AA58" i="6" l="1"/>
  <c r="AB58" i="6" s="1"/>
  <c r="R59" i="6"/>
  <c r="T59" i="6"/>
  <c r="S59" i="6"/>
  <c r="U59" i="6" l="1"/>
  <c r="W59" i="6"/>
  <c r="Z59" i="6" s="1"/>
  <c r="V59" i="6"/>
  <c r="Y59" i="6" s="1"/>
  <c r="P59" i="6" l="1"/>
  <c r="Q59" i="6" s="1"/>
  <c r="O60" i="6" s="1"/>
  <c r="X59" i="6"/>
  <c r="AA59" i="6" l="1"/>
  <c r="AB59" i="6" s="1"/>
  <c r="T60" i="6"/>
  <c r="R60" i="6"/>
  <c r="S60" i="6"/>
  <c r="W60" i="6" l="1"/>
  <c r="Z60" i="6" s="1"/>
  <c r="U60" i="6"/>
  <c r="V60" i="6"/>
  <c r="Y60" i="6" s="1"/>
  <c r="P60" i="6" l="1"/>
  <c r="Q60" i="6" s="1"/>
  <c r="O61" i="6" s="1"/>
  <c r="X60" i="6"/>
  <c r="AA60" i="6" l="1"/>
  <c r="AB60" i="6" s="1"/>
  <c r="T61" i="6"/>
  <c r="R61" i="6"/>
  <c r="S61" i="6"/>
  <c r="W61" i="6" l="1"/>
  <c r="Z61" i="6"/>
  <c r="U61" i="6"/>
  <c r="V61" i="6"/>
  <c r="Y61" i="6"/>
  <c r="P61" i="6" l="1"/>
  <c r="Q61" i="6" s="1"/>
  <c r="O62" i="6" s="1"/>
  <c r="X61" i="6"/>
  <c r="AA61" i="6" l="1"/>
  <c r="AB61" i="6" s="1"/>
  <c r="S62" i="6"/>
  <c r="R62" i="6"/>
  <c r="T62" i="6"/>
  <c r="V62" i="6" l="1"/>
  <c r="Y62" i="6" s="1"/>
  <c r="U62" i="6"/>
  <c r="X62" i="6"/>
  <c r="W62" i="6"/>
  <c r="Z62" i="6" s="1"/>
  <c r="R63" i="6" l="1"/>
  <c r="T63" i="6"/>
  <c r="S63" i="6"/>
  <c r="AA62" i="6"/>
  <c r="AB62" i="6" s="1"/>
  <c r="P62" i="6"/>
  <c r="Q62" i="6" s="1"/>
  <c r="O63" i="6" s="1"/>
  <c r="U63" i="6" l="1"/>
  <c r="W63" i="6"/>
  <c r="Z63" i="6" s="1"/>
  <c r="V63" i="6"/>
  <c r="Y63" i="6" s="1"/>
  <c r="P63" i="6" l="1"/>
  <c r="Q63" i="6" s="1"/>
  <c r="O64" i="6" s="1"/>
  <c r="X63" i="6"/>
  <c r="AA63" i="6" l="1"/>
  <c r="AB63" i="6" s="1"/>
  <c r="S64" i="6"/>
  <c r="T64" i="6"/>
  <c r="R64" i="6"/>
  <c r="V64" i="6" l="1"/>
  <c r="Y64" i="6" s="1"/>
  <c r="W64" i="6"/>
  <c r="Z64" i="6" s="1"/>
  <c r="U64" i="6"/>
  <c r="P64" i="6" l="1"/>
  <c r="Q64" i="6" s="1"/>
  <c r="O65" i="6" s="1"/>
  <c r="X64" i="6"/>
  <c r="AA64" i="6" l="1"/>
  <c r="AB64" i="6" s="1"/>
  <c r="T65" i="6"/>
  <c r="S65" i="6"/>
  <c r="R65" i="6"/>
  <c r="W65" i="6" l="1"/>
  <c r="Z65" i="6" s="1"/>
  <c r="V65" i="6"/>
  <c r="Y65" i="6" s="1"/>
  <c r="U65" i="6"/>
  <c r="P65" i="6" l="1"/>
  <c r="Q65" i="6" s="1"/>
  <c r="O66" i="6" s="1"/>
  <c r="X65" i="6"/>
  <c r="AA65" i="6" l="1"/>
  <c r="AB65" i="6" s="1"/>
  <c r="S66" i="6"/>
  <c r="R66" i="6"/>
  <c r="T66" i="6"/>
  <c r="V66" i="6" l="1"/>
  <c r="Y66" i="6" s="1"/>
  <c r="U66" i="6"/>
  <c r="W66" i="6"/>
  <c r="Z66" i="6" s="1"/>
  <c r="P66" i="6" l="1"/>
  <c r="Q66" i="6" s="1"/>
  <c r="O67" i="6" s="1"/>
  <c r="X66" i="6"/>
  <c r="AA66" i="6" l="1"/>
  <c r="AB66" i="6" s="1"/>
  <c r="R67" i="6"/>
  <c r="T67" i="6"/>
  <c r="S67" i="6"/>
  <c r="U67" i="6" l="1"/>
  <c r="W67" i="6"/>
  <c r="Z67" i="6" s="1"/>
  <c r="V67" i="6"/>
  <c r="Y67" i="6" s="1"/>
  <c r="P67" i="6" l="1"/>
  <c r="Q67" i="6" s="1"/>
  <c r="O68" i="6" s="1"/>
  <c r="X67" i="6"/>
  <c r="AA67" i="6" l="1"/>
  <c r="AB67" i="6" s="1"/>
  <c r="T68" i="6"/>
  <c r="S68" i="6"/>
  <c r="R68" i="6"/>
  <c r="W68" i="6" l="1"/>
  <c r="Z68" i="6" s="1"/>
  <c r="V68" i="6"/>
  <c r="Y68" i="6" s="1"/>
  <c r="U68" i="6"/>
  <c r="P68" i="6" l="1"/>
  <c r="Q68" i="6" s="1"/>
  <c r="O69" i="6" s="1"/>
  <c r="X68" i="6"/>
  <c r="AA68" i="6" l="1"/>
  <c r="AB68" i="6" s="1"/>
  <c r="S69" i="6"/>
  <c r="R69" i="6"/>
  <c r="T69" i="6"/>
  <c r="V69" i="6" l="1"/>
  <c r="Y69" i="6" s="1"/>
  <c r="U69" i="6"/>
  <c r="W69" i="6"/>
  <c r="Z69" i="6" s="1"/>
  <c r="P69" i="6" l="1"/>
  <c r="Q69" i="6" s="1"/>
  <c r="O70" i="6" s="1"/>
  <c r="X69" i="6"/>
  <c r="AA69" i="6" l="1"/>
  <c r="AB69" i="6" s="1"/>
  <c r="S70" i="6"/>
  <c r="R70" i="6"/>
  <c r="T70" i="6"/>
  <c r="V70" i="6" l="1"/>
  <c r="Y70" i="6" s="1"/>
  <c r="U70" i="6"/>
  <c r="W70" i="6"/>
  <c r="Z70" i="6"/>
  <c r="P70" i="6" l="1"/>
  <c r="Q70" i="6" s="1"/>
  <c r="O71" i="6" s="1"/>
  <c r="X70" i="6"/>
  <c r="AA70" i="6" l="1"/>
  <c r="AB70" i="6" s="1"/>
  <c r="T71" i="6"/>
  <c r="R71" i="6"/>
  <c r="S71" i="6"/>
  <c r="W71" i="6" l="1"/>
  <c r="Z71" i="6" s="1"/>
  <c r="U71" i="6"/>
  <c r="V71" i="6"/>
  <c r="Y71" i="6" s="1"/>
  <c r="P71" i="6" l="1"/>
  <c r="Q71" i="6" s="1"/>
  <c r="O72" i="6" s="1"/>
  <c r="X71" i="6"/>
  <c r="AA71" i="6" l="1"/>
  <c r="AB71" i="6" s="1"/>
  <c r="T72" i="6"/>
  <c r="S72" i="6"/>
  <c r="R72" i="6"/>
  <c r="W72" i="6" l="1"/>
  <c r="Z72" i="6" s="1"/>
  <c r="V72" i="6"/>
  <c r="Y72" i="6" s="1"/>
  <c r="U72" i="6"/>
  <c r="P72" i="6" l="1"/>
  <c r="Q72" i="6" s="1"/>
  <c r="O73" i="6" s="1"/>
  <c r="X72" i="6"/>
  <c r="AA72" i="6" l="1"/>
  <c r="AB72" i="6" s="1"/>
  <c r="R73" i="6"/>
  <c r="S73" i="6"/>
  <c r="T73" i="6"/>
  <c r="U73" i="6" l="1"/>
  <c r="V73" i="6"/>
  <c r="Y73" i="6" s="1"/>
  <c r="W73" i="6"/>
  <c r="Z73" i="6" s="1"/>
  <c r="P73" i="6" l="1"/>
  <c r="Q73" i="6" s="1"/>
  <c r="O74" i="6" s="1"/>
  <c r="X73" i="6"/>
  <c r="AA73" i="6" l="1"/>
  <c r="AB73" i="6" s="1"/>
  <c r="T74" i="6"/>
  <c r="S74" i="6"/>
  <c r="R74" i="6"/>
  <c r="W74" i="6" l="1"/>
  <c r="Z74" i="6" s="1"/>
  <c r="V74" i="6"/>
  <c r="Y74" i="6" s="1"/>
  <c r="U74" i="6"/>
  <c r="P74" i="6" l="1"/>
  <c r="Q74" i="6" s="1"/>
  <c r="O75" i="6" s="1"/>
  <c r="X74" i="6"/>
  <c r="AA74" i="6" l="1"/>
  <c r="AB74" i="6" s="1"/>
  <c r="R75" i="6"/>
  <c r="T75" i="6"/>
  <c r="S75" i="6"/>
  <c r="U75" i="6" l="1"/>
  <c r="W75" i="6"/>
  <c r="Z75" i="6" s="1"/>
  <c r="V75" i="6"/>
  <c r="Y75" i="6"/>
  <c r="P75" i="6" l="1"/>
  <c r="Q75" i="6" s="1"/>
  <c r="O76" i="6" s="1"/>
  <c r="X75" i="6"/>
  <c r="AA75" i="6" l="1"/>
  <c r="AB75" i="6" s="1"/>
  <c r="S76" i="6"/>
  <c r="T76" i="6"/>
  <c r="R76" i="6"/>
  <c r="V76" i="6" l="1"/>
  <c r="Y76" i="6" s="1"/>
  <c r="W76" i="6"/>
  <c r="Z76" i="6" s="1"/>
  <c r="U76" i="6"/>
  <c r="P76" i="6" l="1"/>
  <c r="Q76" i="6" s="1"/>
  <c r="O77" i="6" s="1"/>
  <c r="X76" i="6"/>
  <c r="AA76" i="6" l="1"/>
  <c r="AB76" i="6" s="1"/>
  <c r="S77" i="6"/>
  <c r="T77" i="6"/>
  <c r="R77" i="6"/>
  <c r="V77" i="6" l="1"/>
  <c r="Y77" i="6" s="1"/>
  <c r="W77" i="6"/>
  <c r="Z77" i="6" s="1"/>
  <c r="U77" i="6"/>
  <c r="P77" i="6" l="1"/>
  <c r="Q77" i="6" s="1"/>
  <c r="O78" i="6" s="1"/>
  <c r="X77" i="6"/>
  <c r="AA77" i="6" l="1"/>
  <c r="AB77" i="6" s="1"/>
  <c r="R78" i="6"/>
  <c r="T78" i="6"/>
  <c r="S78" i="6"/>
  <c r="U78" i="6" l="1"/>
  <c r="W78" i="6"/>
  <c r="Z78" i="6" s="1"/>
  <c r="V78" i="6"/>
  <c r="Y78" i="6" s="1"/>
  <c r="P78" i="6" l="1"/>
  <c r="Q78" i="6" s="1"/>
  <c r="O79" i="6" s="1"/>
  <c r="X78" i="6"/>
  <c r="AA78" i="6" l="1"/>
  <c r="AB78" i="6" s="1"/>
  <c r="R79" i="6"/>
  <c r="T79" i="6"/>
  <c r="S79" i="6"/>
  <c r="U79" i="6" l="1"/>
  <c r="X79" i="6" s="1"/>
  <c r="W79" i="6"/>
  <c r="Z79" i="6" s="1"/>
  <c r="V79" i="6"/>
  <c r="Y79" i="6"/>
  <c r="T80" i="6" l="1"/>
  <c r="R80" i="6"/>
  <c r="S80" i="6"/>
  <c r="AA79" i="6"/>
  <c r="AB79" i="6" s="1"/>
  <c r="P79" i="6"/>
  <c r="Q79" i="6" s="1"/>
  <c r="O80" i="6" s="1"/>
  <c r="W80" i="6" l="1"/>
  <c r="Z80" i="6" s="1"/>
  <c r="U80" i="6"/>
  <c r="V80" i="6"/>
  <c r="Y80" i="6"/>
  <c r="P80" i="6" l="1"/>
  <c r="Q80" i="6" s="1"/>
  <c r="O81" i="6" s="1"/>
  <c r="X80" i="6"/>
  <c r="AA80" i="6" l="1"/>
  <c r="AB80" i="6" s="1"/>
  <c r="T81" i="6"/>
  <c r="R81" i="6"/>
  <c r="S81" i="6"/>
  <c r="W81" i="6" l="1"/>
  <c r="Z81" i="6" s="1"/>
  <c r="U81" i="6"/>
  <c r="V81" i="6"/>
  <c r="Y81" i="6" s="1"/>
  <c r="P81" i="6" l="1"/>
  <c r="Q81" i="6" s="1"/>
  <c r="O82" i="6" s="1"/>
  <c r="X81" i="6"/>
  <c r="AA81" i="6" l="1"/>
  <c r="AB81" i="6" s="1"/>
  <c r="T82" i="6"/>
  <c r="S82" i="6"/>
  <c r="R82" i="6"/>
  <c r="W82" i="6" l="1"/>
  <c r="Z82" i="6" s="1"/>
  <c r="V82" i="6"/>
  <c r="Y82" i="6" s="1"/>
  <c r="U82" i="6"/>
  <c r="P82" i="6" l="1"/>
  <c r="Q82" i="6" s="1"/>
  <c r="O83" i="6" s="1"/>
  <c r="X82" i="6"/>
  <c r="AA82" i="6" l="1"/>
  <c r="AB82" i="6" s="1"/>
  <c r="S83" i="6"/>
  <c r="T83" i="6"/>
  <c r="R83" i="6"/>
  <c r="V83" i="6" l="1"/>
  <c r="Y83" i="6" s="1"/>
  <c r="W83" i="6"/>
  <c r="Z83" i="6" s="1"/>
  <c r="U83" i="6"/>
  <c r="P83" i="6" l="1"/>
  <c r="Q83" i="6" s="1"/>
  <c r="O84" i="6" s="1"/>
  <c r="X83" i="6"/>
  <c r="AA83" i="6" l="1"/>
  <c r="AB83" i="6" s="1"/>
  <c r="S84" i="6"/>
  <c r="R84" i="6"/>
  <c r="T84" i="6"/>
  <c r="V84" i="6" l="1"/>
  <c r="Y84" i="6" s="1"/>
  <c r="U84" i="6"/>
  <c r="W84" i="6"/>
  <c r="Z84" i="6" s="1"/>
  <c r="P84" i="6" l="1"/>
  <c r="Q84" i="6" s="1"/>
  <c r="O85" i="6" s="1"/>
  <c r="X84" i="6"/>
  <c r="AA84" i="6" l="1"/>
  <c r="AB84" i="6" s="1"/>
  <c r="T85" i="6"/>
  <c r="S85" i="6"/>
  <c r="R85" i="6"/>
  <c r="W85" i="6" l="1"/>
  <c r="Z85" i="6" s="1"/>
  <c r="V85" i="6"/>
  <c r="Y85" i="6" s="1"/>
  <c r="U85" i="6"/>
  <c r="P85" i="6" l="1"/>
  <c r="Q85" i="6" s="1"/>
  <c r="O86" i="6" s="1"/>
  <c r="X85" i="6"/>
  <c r="AA85" i="6" l="1"/>
  <c r="AB85" i="6" s="1"/>
  <c r="T86" i="6"/>
  <c r="R86" i="6"/>
  <c r="S86" i="6"/>
  <c r="W86" i="6" l="1"/>
  <c r="Z86" i="6"/>
  <c r="U86" i="6"/>
  <c r="V86" i="6"/>
  <c r="Y86" i="6" s="1"/>
  <c r="P86" i="6" l="1"/>
  <c r="Q86" i="6" s="1"/>
  <c r="O87" i="6" s="1"/>
  <c r="X86" i="6"/>
  <c r="AA86" i="6" l="1"/>
  <c r="AB86" i="6" s="1"/>
  <c r="T87" i="6"/>
  <c r="S87" i="6"/>
  <c r="R87" i="6"/>
  <c r="W87" i="6" l="1"/>
  <c r="Z87" i="6" s="1"/>
  <c r="T88" i="6" s="1"/>
  <c r="V87" i="6"/>
  <c r="Y87" i="6" s="1"/>
  <c r="S88" i="6" s="1"/>
  <c r="U87" i="6"/>
  <c r="W88" i="6" l="1"/>
  <c r="Z88" i="6" s="1"/>
  <c r="T89" i="6" s="1"/>
  <c r="V88" i="6"/>
  <c r="Y88" i="6" s="1"/>
  <c r="S89" i="6" s="1"/>
  <c r="P87" i="6"/>
  <c r="X87" i="6"/>
  <c r="W89" i="6" l="1"/>
  <c r="Z89" i="6" s="1"/>
  <c r="T90" i="6" s="1"/>
  <c r="V89" i="6"/>
  <c r="Y89" i="6" s="1"/>
  <c r="S90" i="6" s="1"/>
  <c r="AA87" i="6"/>
  <c r="R88" i="6"/>
  <c r="W90" i="6" l="1"/>
  <c r="Z90" i="6" s="1"/>
  <c r="T91" i="6" s="1"/>
  <c r="V90" i="6"/>
  <c r="Y90" i="6" s="1"/>
  <c r="S91" i="6" s="1"/>
  <c r="AB87" i="6"/>
  <c r="N8" i="6" s="1"/>
  <c r="N7" i="6"/>
  <c r="M87" i="6"/>
  <c r="U88" i="6"/>
  <c r="P88" i="6" l="1"/>
  <c r="X88" i="6"/>
  <c r="W91" i="6"/>
  <c r="Z91" i="6" s="1"/>
  <c r="T92" i="6" s="1"/>
  <c r="V91" i="6"/>
  <c r="Y91" i="6" s="1"/>
  <c r="S92" i="6" s="1"/>
  <c r="Q87" i="6"/>
  <c r="O88" i="6" s="1"/>
  <c r="Q88" i="6" s="1"/>
  <c r="O89" i="6" s="1"/>
  <c r="N87" i="6"/>
  <c r="R89" i="6" l="1"/>
  <c r="U89" i="6" s="1"/>
  <c r="AA88" i="6"/>
  <c r="W92" i="6"/>
  <c r="Z92" i="6" s="1"/>
  <c r="T93" i="6" s="1"/>
  <c r="V92" i="6"/>
  <c r="Y92" i="6" s="1"/>
  <c r="S93" i="6" s="1"/>
  <c r="G17" i="6"/>
  <c r="W93" i="6" l="1"/>
  <c r="Z93" i="6" s="1"/>
  <c r="T94" i="6" s="1"/>
  <c r="V93" i="6"/>
  <c r="Y93" i="6" s="1"/>
  <c r="S94" i="6" s="1"/>
  <c r="AC315" i="6"/>
  <c r="AD315" i="6" s="1"/>
  <c r="AC314" i="6"/>
  <c r="AD314" i="6" s="1"/>
  <c r="AC313" i="6"/>
  <c r="AD313" i="6" s="1"/>
  <c r="AC312" i="6"/>
  <c r="AD312" i="6" s="1"/>
  <c r="AC311" i="6"/>
  <c r="AD311" i="6" s="1"/>
  <c r="AC310" i="6"/>
  <c r="AD310" i="6" s="1"/>
  <c r="AC309" i="6"/>
  <c r="AD309" i="6" s="1"/>
  <c r="AC308" i="6"/>
  <c r="AD308" i="6" s="1"/>
  <c r="AC307" i="6"/>
  <c r="AD307" i="6" s="1"/>
  <c r="AC306" i="6"/>
  <c r="AD306" i="6" s="1"/>
  <c r="AC305" i="6"/>
  <c r="AD305" i="6" s="1"/>
  <c r="AC304" i="6"/>
  <c r="AD304" i="6" s="1"/>
  <c r="AC303" i="6"/>
  <c r="AD303" i="6" s="1"/>
  <c r="AC302" i="6"/>
  <c r="AD302" i="6" s="1"/>
  <c r="AC301" i="6"/>
  <c r="AD301" i="6" s="1"/>
  <c r="AC300" i="6"/>
  <c r="AD300" i="6" s="1"/>
  <c r="AC299" i="6"/>
  <c r="AD299" i="6" s="1"/>
  <c r="AC298" i="6"/>
  <c r="AD298" i="6" s="1"/>
  <c r="AC297" i="6"/>
  <c r="AD297" i="6" s="1"/>
  <c r="AC296" i="6"/>
  <c r="AD296" i="6" s="1"/>
  <c r="AC295" i="6"/>
  <c r="AD295" i="6" s="1"/>
  <c r="AC294" i="6"/>
  <c r="AD294" i="6" s="1"/>
  <c r="AC293" i="6"/>
  <c r="AD293" i="6" s="1"/>
  <c r="AC292" i="6"/>
  <c r="AD292" i="6" s="1"/>
  <c r="AC291" i="6"/>
  <c r="AD291" i="6" s="1"/>
  <c r="AC290" i="6"/>
  <c r="AD290" i="6" s="1"/>
  <c r="AC289" i="6"/>
  <c r="AD289" i="6" s="1"/>
  <c r="AC288" i="6"/>
  <c r="AD288" i="6" s="1"/>
  <c r="AC287" i="6"/>
  <c r="AD287" i="6" s="1"/>
  <c r="AC286" i="6"/>
  <c r="AD286" i="6" s="1"/>
  <c r="AC285" i="6"/>
  <c r="AD285" i="6" s="1"/>
  <c r="AC284" i="6"/>
  <c r="AD284" i="6" s="1"/>
  <c r="AC283" i="6"/>
  <c r="AD283" i="6" s="1"/>
  <c r="AC282" i="6"/>
  <c r="AD282" i="6" s="1"/>
  <c r="AC281" i="6"/>
  <c r="AD281" i="6" s="1"/>
  <c r="AC243" i="6"/>
  <c r="AD243" i="6" s="1"/>
  <c r="AC207" i="6"/>
  <c r="AD207" i="6" s="1"/>
  <c r="AC205" i="6"/>
  <c r="AD205" i="6" s="1"/>
  <c r="AC202" i="6"/>
  <c r="AD202" i="6" s="1"/>
  <c r="AC201" i="6"/>
  <c r="AD201" i="6" s="1"/>
  <c r="AC198" i="6"/>
  <c r="AD198" i="6" s="1"/>
  <c r="AC197" i="6"/>
  <c r="AD197" i="6" s="1"/>
  <c r="AC194" i="6"/>
  <c r="AD194" i="6" s="1"/>
  <c r="AC189" i="6"/>
  <c r="AD189" i="6" s="1"/>
  <c r="AC188" i="6"/>
  <c r="AD188" i="6" s="1"/>
  <c r="AC185" i="6"/>
  <c r="AD185" i="6" s="1"/>
  <c r="AC178" i="6"/>
  <c r="AD178" i="6" s="1"/>
  <c r="AC173" i="6"/>
  <c r="AD173" i="6" s="1"/>
  <c r="AC162" i="6"/>
  <c r="AD162" i="6" s="1"/>
  <c r="AC156" i="6"/>
  <c r="AD156" i="6" s="1"/>
  <c r="AC155" i="6"/>
  <c r="AD155" i="6" s="1"/>
  <c r="AC154" i="6"/>
  <c r="AD154" i="6" s="1"/>
  <c r="AC144" i="6"/>
  <c r="AD144" i="6" s="1"/>
  <c r="AC143" i="6"/>
  <c r="AD143" i="6" s="1"/>
  <c r="AC142" i="6"/>
  <c r="AD142" i="6" s="1"/>
  <c r="AC134" i="6"/>
  <c r="AD134" i="6" s="1"/>
  <c r="AC128" i="6"/>
  <c r="AD128" i="6" s="1"/>
  <c r="AC123" i="6"/>
  <c r="AD123" i="6" s="1"/>
  <c r="AC113" i="6"/>
  <c r="AD113" i="6" s="1"/>
  <c r="AC110" i="6"/>
  <c r="AD110" i="6" s="1"/>
  <c r="AC106" i="6"/>
  <c r="AD106" i="6" s="1"/>
  <c r="AC103" i="6"/>
  <c r="AD103" i="6" s="1"/>
  <c r="AC98" i="6"/>
  <c r="AD98" i="6" s="1"/>
  <c r="AC97" i="6"/>
  <c r="AD97" i="6" s="1"/>
  <c r="AC90" i="6"/>
  <c r="AD90" i="6" s="1"/>
  <c r="AC86" i="6"/>
  <c r="AD86" i="6" s="1"/>
  <c r="AC81" i="6"/>
  <c r="AD81" i="6" s="1"/>
  <c r="AC77" i="6"/>
  <c r="AD77" i="6" s="1"/>
  <c r="AC73" i="6"/>
  <c r="AD73" i="6" s="1"/>
  <c r="AC72" i="6"/>
  <c r="AD72" i="6" s="1"/>
  <c r="AC69" i="6"/>
  <c r="AD69" i="6" s="1"/>
  <c r="AC63" i="6"/>
  <c r="AD63" i="6" s="1"/>
  <c r="AC53" i="6"/>
  <c r="AD53" i="6" s="1"/>
  <c r="AC51" i="6"/>
  <c r="AD51" i="6" s="1"/>
  <c r="AC50" i="6"/>
  <c r="AD50" i="6" s="1"/>
  <c r="AC44" i="6"/>
  <c r="AD44" i="6" s="1"/>
  <c r="AC42" i="6"/>
  <c r="AD42" i="6" s="1"/>
  <c r="AC41" i="6"/>
  <c r="AD41" i="6" s="1"/>
  <c r="AC39" i="6"/>
  <c r="AD39" i="6" s="1"/>
  <c r="AC38" i="6"/>
  <c r="AD38" i="6" s="1"/>
  <c r="AC279" i="6"/>
  <c r="AD279" i="6" s="1"/>
  <c r="AC278" i="6"/>
  <c r="AD278" i="6" s="1"/>
  <c r="AC277" i="6"/>
  <c r="AD277" i="6" s="1"/>
  <c r="AC276" i="6"/>
  <c r="AD276" i="6" s="1"/>
  <c r="AC275" i="6"/>
  <c r="AD275" i="6" s="1"/>
  <c r="AC274" i="6"/>
  <c r="AD274" i="6" s="1"/>
  <c r="AC273" i="6"/>
  <c r="AD273" i="6" s="1"/>
  <c r="AC272" i="6"/>
  <c r="AD272" i="6" s="1"/>
  <c r="AC271" i="6"/>
  <c r="AD271" i="6" s="1"/>
  <c r="AC270" i="6"/>
  <c r="AD270" i="6" s="1"/>
  <c r="AC269" i="6"/>
  <c r="AD269" i="6" s="1"/>
  <c r="AC268" i="6"/>
  <c r="AD268" i="6" s="1"/>
  <c r="AC267" i="6"/>
  <c r="AD267" i="6" s="1"/>
  <c r="AC266" i="6"/>
  <c r="AD266" i="6" s="1"/>
  <c r="AC265" i="6"/>
  <c r="AD265" i="6" s="1"/>
  <c r="AC264" i="6"/>
  <c r="AD264" i="6" s="1"/>
  <c r="AC263" i="6"/>
  <c r="AD263" i="6" s="1"/>
  <c r="AC262" i="6"/>
  <c r="AD262" i="6" s="1"/>
  <c r="AC261" i="6"/>
  <c r="AD261" i="6" s="1"/>
  <c r="AC260" i="6"/>
  <c r="AD260" i="6" s="1"/>
  <c r="AC259" i="6"/>
  <c r="AD259" i="6" s="1"/>
  <c r="AC258" i="6"/>
  <c r="AD258" i="6" s="1"/>
  <c r="AC257" i="6"/>
  <c r="AD257" i="6" s="1"/>
  <c r="AC256" i="6"/>
  <c r="AD256" i="6" s="1"/>
  <c r="AC255" i="6"/>
  <c r="AD255" i="6" s="1"/>
  <c r="AC254" i="6"/>
  <c r="AD254" i="6" s="1"/>
  <c r="AC253" i="6"/>
  <c r="AD253" i="6" s="1"/>
  <c r="AC252" i="6"/>
  <c r="AD252" i="6" s="1"/>
  <c r="AC251" i="6"/>
  <c r="AD251" i="6" s="1"/>
  <c r="AC250" i="6"/>
  <c r="AD250" i="6" s="1"/>
  <c r="AC249" i="6"/>
  <c r="AD249" i="6" s="1"/>
  <c r="AC248" i="6"/>
  <c r="AD248" i="6" s="1"/>
  <c r="AC247" i="6"/>
  <c r="AD247" i="6" s="1"/>
  <c r="AC246" i="6"/>
  <c r="AD246" i="6" s="1"/>
  <c r="AC245" i="6"/>
  <c r="AD245" i="6" s="1"/>
  <c r="AC244" i="6"/>
  <c r="AD244" i="6" s="1"/>
  <c r="AC206" i="6"/>
  <c r="AD206" i="6" s="1"/>
  <c r="AC204" i="6"/>
  <c r="AD204" i="6" s="1"/>
  <c r="AC203" i="6"/>
  <c r="AD203" i="6" s="1"/>
  <c r="AC200" i="6"/>
  <c r="AD200" i="6" s="1"/>
  <c r="AC184" i="6"/>
  <c r="AD184" i="6" s="1"/>
  <c r="AC183" i="6"/>
  <c r="AD183" i="6" s="1"/>
  <c r="AC181" i="6"/>
  <c r="AD181" i="6" s="1"/>
  <c r="AC179" i="6"/>
  <c r="AD179" i="6" s="1"/>
  <c r="AC175" i="6"/>
  <c r="AD175" i="6" s="1"/>
  <c r="AC174" i="6"/>
  <c r="AD174" i="6" s="1"/>
  <c r="AC168" i="6"/>
  <c r="AD168" i="6" s="1"/>
  <c r="AC160" i="6"/>
  <c r="AD160" i="6" s="1"/>
  <c r="AC153" i="6"/>
  <c r="AD153" i="6" s="1"/>
  <c r="AC152" i="6"/>
  <c r="AD152" i="6" s="1"/>
  <c r="AC151" i="6"/>
  <c r="AD151" i="6" s="1"/>
  <c r="AC150" i="6"/>
  <c r="AD150" i="6" s="1"/>
  <c r="AC146" i="6"/>
  <c r="AD146" i="6" s="1"/>
  <c r="AC141" i="6"/>
  <c r="AD141" i="6" s="1"/>
  <c r="AC140" i="6"/>
  <c r="AD140" i="6" s="1"/>
  <c r="AC136" i="6"/>
  <c r="AD136" i="6" s="1"/>
  <c r="AC129" i="6"/>
  <c r="AD129" i="6" s="1"/>
  <c r="AC127" i="6"/>
  <c r="AD127" i="6" s="1"/>
  <c r="AC124" i="6"/>
  <c r="AD124" i="6" s="1"/>
  <c r="AC111" i="6"/>
  <c r="AD111" i="6" s="1"/>
  <c r="AC105" i="6"/>
  <c r="AD105" i="6" s="1"/>
  <c r="AC84" i="6"/>
  <c r="AD84" i="6" s="1"/>
  <c r="AC82" i="6"/>
  <c r="AD82" i="6" s="1"/>
  <c r="AC78" i="6"/>
  <c r="AD78" i="6" s="1"/>
  <c r="AC70" i="6"/>
  <c r="AD70" i="6" s="1"/>
  <c r="AC66" i="6"/>
  <c r="AD66" i="6" s="1"/>
  <c r="AC62" i="6"/>
  <c r="AD62" i="6" s="1"/>
  <c r="AC59" i="6"/>
  <c r="AD59" i="6" s="1"/>
  <c r="AC242" i="6"/>
  <c r="AD242" i="6" s="1"/>
  <c r="AC241" i="6"/>
  <c r="AD241" i="6" s="1"/>
  <c r="AC240" i="6"/>
  <c r="AD240" i="6" s="1"/>
  <c r="AC239" i="6"/>
  <c r="AD239" i="6" s="1"/>
  <c r="AC238" i="6"/>
  <c r="AD238" i="6" s="1"/>
  <c r="AC237" i="6"/>
  <c r="AD237" i="6" s="1"/>
  <c r="AC236" i="6"/>
  <c r="AD236" i="6" s="1"/>
  <c r="AC235" i="6"/>
  <c r="AD235" i="6" s="1"/>
  <c r="AC234" i="6"/>
  <c r="AD234" i="6" s="1"/>
  <c r="AC233" i="6"/>
  <c r="AD233" i="6" s="1"/>
  <c r="AC232" i="6"/>
  <c r="AD232" i="6" s="1"/>
  <c r="AC231" i="6"/>
  <c r="AD231" i="6" s="1"/>
  <c r="AC230" i="6"/>
  <c r="AD230" i="6" s="1"/>
  <c r="AC229" i="6"/>
  <c r="AD229" i="6" s="1"/>
  <c r="AC228" i="6"/>
  <c r="AD228" i="6" s="1"/>
  <c r="AC227" i="6"/>
  <c r="AD227" i="6" s="1"/>
  <c r="AC226" i="6"/>
  <c r="AD226" i="6" s="1"/>
  <c r="AC225" i="6"/>
  <c r="AD225" i="6" s="1"/>
  <c r="AC224" i="6"/>
  <c r="AD224" i="6" s="1"/>
  <c r="AC223" i="6"/>
  <c r="AD223" i="6" s="1"/>
  <c r="AC222" i="6"/>
  <c r="AD222" i="6" s="1"/>
  <c r="AC221" i="6"/>
  <c r="AD221" i="6" s="1"/>
  <c r="AC220" i="6"/>
  <c r="AD220" i="6" s="1"/>
  <c r="AC219" i="6"/>
  <c r="AD219" i="6" s="1"/>
  <c r="AC218" i="6"/>
  <c r="AD218" i="6" s="1"/>
  <c r="AC217" i="6"/>
  <c r="AD217" i="6" s="1"/>
  <c r="AC216" i="6"/>
  <c r="AD216" i="6" s="1"/>
  <c r="AC215" i="6"/>
  <c r="AD215" i="6" s="1"/>
  <c r="AC214" i="6"/>
  <c r="AD214" i="6" s="1"/>
  <c r="AC213" i="6"/>
  <c r="AD213" i="6" s="1"/>
  <c r="AC212" i="6"/>
  <c r="AD212" i="6" s="1"/>
  <c r="AC211" i="6"/>
  <c r="AD211" i="6" s="1"/>
  <c r="AC210" i="6"/>
  <c r="AD210" i="6" s="1"/>
  <c r="AC209" i="6"/>
  <c r="AD209" i="6" s="1"/>
  <c r="AC208" i="6"/>
  <c r="AD208" i="6" s="1"/>
  <c r="AC195" i="6"/>
  <c r="AD195" i="6" s="1"/>
  <c r="AC193" i="6"/>
  <c r="AD193" i="6" s="1"/>
  <c r="AC191" i="6"/>
  <c r="AD191" i="6" s="1"/>
  <c r="AC190" i="6"/>
  <c r="AD190" i="6" s="1"/>
  <c r="AC187" i="6"/>
  <c r="AD187" i="6" s="1"/>
  <c r="AC186" i="6"/>
  <c r="AD186" i="6" s="1"/>
  <c r="AC182" i="6"/>
  <c r="AD182" i="6" s="1"/>
  <c r="AC180" i="6"/>
  <c r="AD180" i="6" s="1"/>
  <c r="AC177" i="6"/>
  <c r="AD177" i="6" s="1"/>
  <c r="AC176" i="6"/>
  <c r="AD176" i="6" s="1"/>
  <c r="AC164" i="6"/>
  <c r="AD164" i="6" s="1"/>
  <c r="AC161" i="6"/>
  <c r="AD161" i="6" s="1"/>
  <c r="AC159" i="6"/>
  <c r="AD159" i="6" s="1"/>
  <c r="AC158" i="6"/>
  <c r="AD158" i="6" s="1"/>
  <c r="AC157" i="6"/>
  <c r="AD157" i="6" s="1"/>
  <c r="AC145" i="6"/>
  <c r="AD145" i="6" s="1"/>
  <c r="AC139" i="6"/>
  <c r="AD139" i="6" s="1"/>
  <c r="AC138" i="6"/>
  <c r="AD138" i="6" s="1"/>
  <c r="AC137" i="6"/>
  <c r="AD137" i="6" s="1"/>
  <c r="AC121" i="6"/>
  <c r="AD121" i="6" s="1"/>
  <c r="AC117" i="6"/>
  <c r="AD117" i="6" s="1"/>
  <c r="AC114" i="6"/>
  <c r="AD114" i="6" s="1"/>
  <c r="AC112" i="6"/>
  <c r="AD112" i="6" s="1"/>
  <c r="AC109" i="6"/>
  <c r="AD109" i="6" s="1"/>
  <c r="AC108" i="6"/>
  <c r="AD108" i="6" s="1"/>
  <c r="AC100" i="6"/>
  <c r="AD100" i="6" s="1"/>
  <c r="AC99" i="6"/>
  <c r="AD99" i="6" s="1"/>
  <c r="AC96" i="6"/>
  <c r="AD96" i="6" s="1"/>
  <c r="AC94" i="6"/>
  <c r="AD94" i="6" s="1"/>
  <c r="AC89" i="6"/>
  <c r="AD89" i="6" s="1"/>
  <c r="AC80" i="6"/>
  <c r="AD80" i="6" s="1"/>
  <c r="AC74" i="6"/>
  <c r="AD74" i="6" s="1"/>
  <c r="AC65" i="6"/>
  <c r="AD65" i="6" s="1"/>
  <c r="AC60" i="6"/>
  <c r="AD60" i="6" s="1"/>
  <c r="AC58" i="6"/>
  <c r="AD58" i="6" s="1"/>
  <c r="AC57" i="6"/>
  <c r="AD57" i="6" s="1"/>
  <c r="AC56" i="6"/>
  <c r="AD56" i="6" s="1"/>
  <c r="AC55" i="6"/>
  <c r="AD55" i="6" s="1"/>
  <c r="AC49" i="6"/>
  <c r="AD49" i="6" s="1"/>
  <c r="AC47" i="6"/>
  <c r="AD47" i="6" s="1"/>
  <c r="AC30" i="6"/>
  <c r="AD30" i="6" s="1"/>
  <c r="AC29" i="6"/>
  <c r="AD29" i="6" s="1"/>
  <c r="G15" i="6"/>
  <c r="G16" i="6" s="1"/>
  <c r="AC387" i="6"/>
  <c r="AD387" i="6" s="1"/>
  <c r="AC386" i="6"/>
  <c r="AD386" i="6" s="1"/>
  <c r="AC385" i="6"/>
  <c r="AD385" i="6" s="1"/>
  <c r="AC384" i="6"/>
  <c r="AD384" i="6" s="1"/>
  <c r="AC383" i="6"/>
  <c r="AD383" i="6" s="1"/>
  <c r="AC382" i="6"/>
  <c r="AD382" i="6" s="1"/>
  <c r="AC381" i="6"/>
  <c r="AD381" i="6" s="1"/>
  <c r="AC380" i="6"/>
  <c r="AD380" i="6" s="1"/>
  <c r="AC379" i="6"/>
  <c r="AD379" i="6" s="1"/>
  <c r="AC378" i="6"/>
  <c r="AD378" i="6" s="1"/>
  <c r="AC377" i="6"/>
  <c r="AD377" i="6" s="1"/>
  <c r="AC376" i="6"/>
  <c r="AD376" i="6" s="1"/>
  <c r="AC375" i="6"/>
  <c r="AD375" i="6" s="1"/>
  <c r="AC374" i="6"/>
  <c r="AD374" i="6" s="1"/>
  <c r="AC373" i="6"/>
  <c r="AD373" i="6" s="1"/>
  <c r="AC372" i="6"/>
  <c r="AD372" i="6" s="1"/>
  <c r="AC371" i="6"/>
  <c r="AD371" i="6" s="1"/>
  <c r="AC370" i="6"/>
  <c r="AD370" i="6" s="1"/>
  <c r="AC369" i="6"/>
  <c r="AD369" i="6" s="1"/>
  <c r="AC368" i="6"/>
  <c r="AD368" i="6" s="1"/>
  <c r="AC367" i="6"/>
  <c r="AD367" i="6" s="1"/>
  <c r="AC366" i="6"/>
  <c r="AD366" i="6" s="1"/>
  <c r="AC365" i="6"/>
  <c r="AD365" i="6" s="1"/>
  <c r="AC364" i="6"/>
  <c r="AD364" i="6" s="1"/>
  <c r="AC363" i="6"/>
  <c r="AD363" i="6" s="1"/>
  <c r="AC362" i="6"/>
  <c r="AD362" i="6" s="1"/>
  <c r="AC361" i="6"/>
  <c r="AD361" i="6" s="1"/>
  <c r="AC360" i="6"/>
  <c r="AD360" i="6" s="1"/>
  <c r="AC359" i="6"/>
  <c r="AD359" i="6" s="1"/>
  <c r="AC358" i="6"/>
  <c r="AD358" i="6" s="1"/>
  <c r="AC357" i="6"/>
  <c r="AD357" i="6" s="1"/>
  <c r="AC356" i="6"/>
  <c r="AD356" i="6" s="1"/>
  <c r="AC355" i="6"/>
  <c r="AD355" i="6" s="1"/>
  <c r="AC354" i="6"/>
  <c r="AD354" i="6" s="1"/>
  <c r="AC353" i="6"/>
  <c r="AD353" i="6" s="1"/>
  <c r="AC352" i="6"/>
  <c r="AD352" i="6" s="1"/>
  <c r="AC135" i="6"/>
  <c r="AD135" i="6" s="1"/>
  <c r="AC125" i="6"/>
  <c r="AD125" i="6" s="1"/>
  <c r="AC119" i="6"/>
  <c r="AD119" i="6" s="1"/>
  <c r="AC118" i="6"/>
  <c r="AD118" i="6" s="1"/>
  <c r="AC116" i="6"/>
  <c r="AD116" i="6" s="1"/>
  <c r="AC104" i="6"/>
  <c r="AD104" i="6" s="1"/>
  <c r="AC85" i="6"/>
  <c r="AD85" i="6" s="1"/>
  <c r="AC83" i="6"/>
  <c r="AD83" i="6" s="1"/>
  <c r="AC79" i="6"/>
  <c r="AD79" i="6" s="1"/>
  <c r="AC71" i="6"/>
  <c r="AD71" i="6" s="1"/>
  <c r="AC67" i="6"/>
  <c r="AD67" i="6" s="1"/>
  <c r="AC61" i="6"/>
  <c r="AD61" i="6" s="1"/>
  <c r="AC45" i="6"/>
  <c r="AD45" i="6" s="1"/>
  <c r="AC37" i="6"/>
  <c r="AD37" i="6" s="1"/>
  <c r="AC36" i="6"/>
  <c r="AD36" i="6" s="1"/>
  <c r="AC34" i="6"/>
  <c r="AD34" i="6" s="1"/>
  <c r="AC351" i="6"/>
  <c r="AD351" i="6" s="1"/>
  <c r="AC350" i="6"/>
  <c r="AD350" i="6" s="1"/>
  <c r="AC349" i="6"/>
  <c r="AD349" i="6" s="1"/>
  <c r="AC348" i="6"/>
  <c r="AD348" i="6" s="1"/>
  <c r="AC347" i="6"/>
  <c r="AD347" i="6" s="1"/>
  <c r="AC346" i="6"/>
  <c r="AD346" i="6" s="1"/>
  <c r="AC345" i="6"/>
  <c r="AD345" i="6" s="1"/>
  <c r="AC344" i="6"/>
  <c r="AD344" i="6" s="1"/>
  <c r="AC343" i="6"/>
  <c r="AD343" i="6" s="1"/>
  <c r="AC342" i="6"/>
  <c r="AD342" i="6" s="1"/>
  <c r="AC341" i="6"/>
  <c r="AD341" i="6" s="1"/>
  <c r="AC340" i="6"/>
  <c r="AD340" i="6" s="1"/>
  <c r="AC339" i="6"/>
  <c r="AD339" i="6" s="1"/>
  <c r="AC338" i="6"/>
  <c r="AD338" i="6" s="1"/>
  <c r="AC337" i="6"/>
  <c r="AD337" i="6" s="1"/>
  <c r="AC336" i="6"/>
  <c r="AD336" i="6" s="1"/>
  <c r="AC335" i="6"/>
  <c r="AD335" i="6" s="1"/>
  <c r="AC334" i="6"/>
  <c r="AD334" i="6" s="1"/>
  <c r="AC333" i="6"/>
  <c r="AD333" i="6" s="1"/>
  <c r="AC332" i="6"/>
  <c r="AD332" i="6" s="1"/>
  <c r="AC331" i="6"/>
  <c r="AD331" i="6" s="1"/>
  <c r="AC330" i="6"/>
  <c r="AD330" i="6" s="1"/>
  <c r="AC329" i="6"/>
  <c r="AD329" i="6" s="1"/>
  <c r="AC328" i="6"/>
  <c r="AD328" i="6" s="1"/>
  <c r="AC327" i="6"/>
  <c r="AD327" i="6" s="1"/>
  <c r="AC326" i="6"/>
  <c r="AD326" i="6" s="1"/>
  <c r="AC325" i="6"/>
  <c r="AD325" i="6" s="1"/>
  <c r="AC324" i="6"/>
  <c r="AD324" i="6" s="1"/>
  <c r="AC323" i="6"/>
  <c r="AD323" i="6" s="1"/>
  <c r="AC322" i="6"/>
  <c r="AD322" i="6" s="1"/>
  <c r="AC321" i="6"/>
  <c r="AD321" i="6" s="1"/>
  <c r="AC320" i="6"/>
  <c r="AD320" i="6" s="1"/>
  <c r="AC319" i="6"/>
  <c r="AD319" i="6" s="1"/>
  <c r="AC318" i="6"/>
  <c r="AD318" i="6" s="1"/>
  <c r="AC317" i="6"/>
  <c r="AD317" i="6" s="1"/>
  <c r="AC316" i="6"/>
  <c r="AD316" i="6" s="1"/>
  <c r="AC280" i="6"/>
  <c r="AD280" i="6" s="1"/>
  <c r="AC199" i="6"/>
  <c r="AD199" i="6" s="1"/>
  <c r="AC196" i="6"/>
  <c r="AD196" i="6" s="1"/>
  <c r="AC192" i="6"/>
  <c r="AD192" i="6" s="1"/>
  <c r="AC172" i="6"/>
  <c r="AD172" i="6" s="1"/>
  <c r="AC171" i="6"/>
  <c r="AD171" i="6" s="1"/>
  <c r="AC170" i="6"/>
  <c r="AD170" i="6" s="1"/>
  <c r="AC169" i="6"/>
  <c r="AD169" i="6" s="1"/>
  <c r="AC167" i="6"/>
  <c r="AD167" i="6" s="1"/>
  <c r="AC166" i="6"/>
  <c r="AD166" i="6" s="1"/>
  <c r="AC165" i="6"/>
  <c r="AD165" i="6" s="1"/>
  <c r="AC163" i="6"/>
  <c r="AD163" i="6" s="1"/>
  <c r="AC149" i="6"/>
  <c r="AD149" i="6" s="1"/>
  <c r="AC148" i="6"/>
  <c r="AD148" i="6" s="1"/>
  <c r="AC147" i="6"/>
  <c r="AD147" i="6" s="1"/>
  <c r="AC133" i="6"/>
  <c r="AD133" i="6" s="1"/>
  <c r="AC132" i="6"/>
  <c r="AD132" i="6" s="1"/>
  <c r="AC131" i="6"/>
  <c r="AD131" i="6" s="1"/>
  <c r="AC130" i="6"/>
  <c r="AD130" i="6" s="1"/>
  <c r="AC126" i="6"/>
  <c r="AD126" i="6" s="1"/>
  <c r="AC122" i="6"/>
  <c r="AD122" i="6" s="1"/>
  <c r="AC120" i="6"/>
  <c r="AD120" i="6" s="1"/>
  <c r="AC115" i="6"/>
  <c r="AD115" i="6" s="1"/>
  <c r="AC107" i="6"/>
  <c r="AD107" i="6" s="1"/>
  <c r="AC102" i="6"/>
  <c r="AD102" i="6" s="1"/>
  <c r="AC101" i="6"/>
  <c r="AD101" i="6" s="1"/>
  <c r="AC95" i="6"/>
  <c r="AD95" i="6" s="1"/>
  <c r="AC93" i="6"/>
  <c r="AD93" i="6" s="1"/>
  <c r="AC92" i="6"/>
  <c r="AD92" i="6" s="1"/>
  <c r="AC91" i="6"/>
  <c r="AD91" i="6" s="1"/>
  <c r="AC88" i="6"/>
  <c r="AD88" i="6" s="1"/>
  <c r="AC87" i="6"/>
  <c r="AD87" i="6" s="1"/>
  <c r="AC76" i="6"/>
  <c r="AD76" i="6" s="1"/>
  <c r="AC75" i="6"/>
  <c r="AD75" i="6" s="1"/>
  <c r="AC68" i="6"/>
  <c r="AD68" i="6" s="1"/>
  <c r="AC64" i="6"/>
  <c r="AD64" i="6" s="1"/>
  <c r="AC54" i="6"/>
  <c r="AD54" i="6" s="1"/>
  <c r="AC52" i="6"/>
  <c r="AD52" i="6" s="1"/>
  <c r="AC48" i="6"/>
  <c r="AD48" i="6" s="1"/>
  <c r="AC46" i="6"/>
  <c r="AD46" i="6" s="1"/>
  <c r="AC43" i="6"/>
  <c r="AD43" i="6" s="1"/>
  <c r="AC40" i="6"/>
  <c r="AD40" i="6" s="1"/>
  <c r="AC35" i="6"/>
  <c r="AD35" i="6" s="1"/>
  <c r="AC33" i="6"/>
  <c r="AD33" i="6" s="1"/>
  <c r="AC32" i="6"/>
  <c r="AD32" i="6" s="1"/>
  <c r="AC31" i="6"/>
  <c r="AD31" i="6" s="1"/>
  <c r="AC28" i="6"/>
  <c r="AD28" i="6" s="1"/>
  <c r="AC27" i="6"/>
  <c r="P89" i="6"/>
  <c r="Q89" i="6" s="1"/>
  <c r="O90" i="6" s="1"/>
  <c r="X89" i="6"/>
  <c r="W94" i="6" l="1"/>
  <c r="Z94" i="6" s="1"/>
  <c r="T95" i="6" s="1"/>
  <c r="V94" i="6"/>
  <c r="Y94" i="6" s="1"/>
  <c r="S95" i="6" s="1"/>
  <c r="AD27" i="6"/>
  <c r="N10" i="6" s="1"/>
  <c r="D7" i="2" s="1"/>
  <c r="AA89" i="6"/>
  <c r="R90" i="6"/>
  <c r="W95" i="6" l="1"/>
  <c r="Z95" i="6" s="1"/>
  <c r="T96" i="6" s="1"/>
  <c r="V95" i="6"/>
  <c r="Y95" i="6" s="1"/>
  <c r="S96" i="6" s="1"/>
  <c r="U90" i="6"/>
  <c r="P90" i="6" l="1"/>
  <c r="Q90" i="6" s="1"/>
  <c r="O91" i="6" s="1"/>
  <c r="X90" i="6"/>
  <c r="W96" i="6"/>
  <c r="Z96" i="6" s="1"/>
  <c r="T97" i="6" s="1"/>
  <c r="V96" i="6"/>
  <c r="Y96" i="6" s="1"/>
  <c r="S97" i="6" s="1"/>
  <c r="R91" i="6" l="1"/>
  <c r="U91" i="6" s="1"/>
  <c r="AA90" i="6"/>
  <c r="W97" i="6"/>
  <c r="Z97" i="6"/>
  <c r="T98" i="6" s="1"/>
  <c r="V97" i="6"/>
  <c r="Y97" i="6"/>
  <c r="S98" i="6" s="1"/>
  <c r="W98" i="6" l="1"/>
  <c r="Z98" i="6" s="1"/>
  <c r="T99" i="6" s="1"/>
  <c r="V98" i="6"/>
  <c r="Y98" i="6" s="1"/>
  <c r="S99" i="6" s="1"/>
  <c r="P91" i="6"/>
  <c r="X91" i="6"/>
  <c r="W99" i="6" l="1"/>
  <c r="Z99" i="6" s="1"/>
  <c r="T100" i="6" s="1"/>
  <c r="V99" i="6"/>
  <c r="Y99" i="6" s="1"/>
  <c r="S100" i="6" s="1"/>
  <c r="Q91" i="6"/>
  <c r="O92" i="6" s="1"/>
  <c r="AA91" i="6"/>
  <c r="R92" i="6"/>
  <c r="W100" i="6" l="1"/>
  <c r="Z100" i="6" s="1"/>
  <c r="T101" i="6" s="1"/>
  <c r="V100" i="6"/>
  <c r="Y100" i="6" s="1"/>
  <c r="S101" i="6" s="1"/>
  <c r="U92" i="6"/>
  <c r="W101" i="6" l="1"/>
  <c r="Z101" i="6"/>
  <c r="T102" i="6" s="1"/>
  <c r="V101" i="6"/>
  <c r="Y101" i="6" s="1"/>
  <c r="S102" i="6" s="1"/>
  <c r="P92" i="6"/>
  <c r="X92" i="6"/>
  <c r="W102" i="6" l="1"/>
  <c r="Z102" i="6" s="1"/>
  <c r="T103" i="6" s="1"/>
  <c r="V102" i="6"/>
  <c r="Y102" i="6" s="1"/>
  <c r="S103" i="6" s="1"/>
  <c r="Q92" i="6"/>
  <c r="O93" i="6" s="1"/>
  <c r="AA92" i="6"/>
  <c r="R93" i="6"/>
  <c r="W103" i="6" l="1"/>
  <c r="Z103" i="6"/>
  <c r="T104" i="6" s="1"/>
  <c r="V103" i="6"/>
  <c r="Y103" i="6" s="1"/>
  <c r="S104" i="6" s="1"/>
  <c r="U93" i="6"/>
  <c r="W104" i="6" l="1"/>
  <c r="Z104" i="6"/>
  <c r="T105" i="6" s="1"/>
  <c r="V104" i="6"/>
  <c r="Y104" i="6" s="1"/>
  <c r="S105" i="6" s="1"/>
  <c r="P93" i="6"/>
  <c r="X93" i="6"/>
  <c r="W105" i="6" l="1"/>
  <c r="Z105" i="6" s="1"/>
  <c r="T106" i="6" s="1"/>
  <c r="V105" i="6"/>
  <c r="Y105" i="6" s="1"/>
  <c r="S106" i="6" s="1"/>
  <c r="Q93" i="6"/>
  <c r="O94" i="6" s="1"/>
  <c r="AA93" i="6"/>
  <c r="R94" i="6"/>
  <c r="W106" i="6" l="1"/>
  <c r="Z106" i="6" s="1"/>
  <c r="T107" i="6" s="1"/>
  <c r="V106" i="6"/>
  <c r="Y106" i="6" s="1"/>
  <c r="S107" i="6" s="1"/>
  <c r="U94" i="6"/>
  <c r="W107" i="6" l="1"/>
  <c r="Z107" i="6" s="1"/>
  <c r="T108" i="6" s="1"/>
  <c r="V107" i="6"/>
  <c r="Y107" i="6" s="1"/>
  <c r="S108" i="6" s="1"/>
  <c r="P94" i="6"/>
  <c r="X94" i="6"/>
  <c r="W108" i="6" l="1"/>
  <c r="Z108" i="6" s="1"/>
  <c r="T109" i="6" s="1"/>
  <c r="V108" i="6"/>
  <c r="Y108" i="6" s="1"/>
  <c r="S109" i="6" s="1"/>
  <c r="Q94" i="6"/>
  <c r="O95" i="6" s="1"/>
  <c r="AA94" i="6"/>
  <c r="R95" i="6"/>
  <c r="W109" i="6" l="1"/>
  <c r="Z109" i="6" s="1"/>
  <c r="T110" i="6" s="1"/>
  <c r="V109" i="6"/>
  <c r="Y109" i="6" s="1"/>
  <c r="S110" i="6" s="1"/>
  <c r="U95" i="6"/>
  <c r="W110" i="6" l="1"/>
  <c r="Z110" i="6" s="1"/>
  <c r="T111" i="6" s="1"/>
  <c r="V110" i="6"/>
  <c r="Y110" i="6" s="1"/>
  <c r="S111" i="6" s="1"/>
  <c r="P95" i="6"/>
  <c r="X95" i="6"/>
  <c r="W111" i="6" l="1"/>
  <c r="Z111" i="6" s="1"/>
  <c r="T112" i="6" s="1"/>
  <c r="V111" i="6"/>
  <c r="Y111" i="6"/>
  <c r="S112" i="6" s="1"/>
  <c r="Q95" i="6"/>
  <c r="O96" i="6" s="1"/>
  <c r="AA95" i="6"/>
  <c r="R96" i="6"/>
  <c r="W112" i="6" l="1"/>
  <c r="Z112" i="6" s="1"/>
  <c r="T113" i="6" s="1"/>
  <c r="V112" i="6"/>
  <c r="Y112" i="6" s="1"/>
  <c r="S113" i="6" s="1"/>
  <c r="U96" i="6"/>
  <c r="W113" i="6" l="1"/>
  <c r="Z113" i="6" s="1"/>
  <c r="T114" i="6" s="1"/>
  <c r="V113" i="6"/>
  <c r="Y113" i="6" s="1"/>
  <c r="S114" i="6" s="1"/>
  <c r="P96" i="6"/>
  <c r="X96" i="6"/>
  <c r="W114" i="6" l="1"/>
  <c r="Z114" i="6" s="1"/>
  <c r="T115" i="6" s="1"/>
  <c r="V114" i="6"/>
  <c r="Y114" i="6" s="1"/>
  <c r="S115" i="6" s="1"/>
  <c r="Q96" i="6"/>
  <c r="O97" i="6" s="1"/>
  <c r="AA96" i="6"/>
  <c r="R97" i="6"/>
  <c r="W115" i="6" l="1"/>
  <c r="Z115" i="6" s="1"/>
  <c r="T116" i="6" s="1"/>
  <c r="V115" i="6"/>
  <c r="Y115" i="6"/>
  <c r="S116" i="6" s="1"/>
  <c r="U97" i="6"/>
  <c r="P97" i="6" s="1"/>
  <c r="X97" i="6"/>
  <c r="W116" i="6" l="1"/>
  <c r="Z116" i="6"/>
  <c r="T117" i="6" s="1"/>
  <c r="V116" i="6"/>
  <c r="Y116" i="6" s="1"/>
  <c r="S117" i="6" s="1"/>
  <c r="Q97" i="6"/>
  <c r="O98" i="6" s="1"/>
  <c r="R98" i="6"/>
  <c r="AA97" i="6"/>
  <c r="W117" i="6" l="1"/>
  <c r="Z117" i="6" s="1"/>
  <c r="T118" i="6" s="1"/>
  <c r="V117" i="6"/>
  <c r="Y117" i="6"/>
  <c r="S118" i="6" s="1"/>
  <c r="U98" i="6"/>
  <c r="P98" i="6" s="1"/>
  <c r="X98" i="6"/>
  <c r="W118" i="6" l="1"/>
  <c r="Z118" i="6" s="1"/>
  <c r="T119" i="6" s="1"/>
  <c r="V118" i="6"/>
  <c r="Y118" i="6" s="1"/>
  <c r="S119" i="6" s="1"/>
  <c r="Q98" i="6"/>
  <c r="O99" i="6" s="1"/>
  <c r="R99" i="6"/>
  <c r="AA98" i="6"/>
  <c r="W119" i="6" l="1"/>
  <c r="Z119" i="6" s="1"/>
  <c r="T120" i="6" s="1"/>
  <c r="V119" i="6"/>
  <c r="Y119" i="6" s="1"/>
  <c r="S120" i="6" s="1"/>
  <c r="U99" i="6"/>
  <c r="W120" i="6" l="1"/>
  <c r="Z120" i="6" s="1"/>
  <c r="T121" i="6" s="1"/>
  <c r="V120" i="6"/>
  <c r="Y120" i="6" s="1"/>
  <c r="S121" i="6" s="1"/>
  <c r="P99" i="6"/>
  <c r="X99" i="6"/>
  <c r="W121" i="6" l="1"/>
  <c r="Z121" i="6" s="1"/>
  <c r="T122" i="6" s="1"/>
  <c r="V121" i="6"/>
  <c r="Y121" i="6"/>
  <c r="S122" i="6" s="1"/>
  <c r="Q99" i="6"/>
  <c r="O100" i="6" s="1"/>
  <c r="AA99" i="6"/>
  <c r="R100" i="6"/>
  <c r="W122" i="6" l="1"/>
  <c r="Z122" i="6" s="1"/>
  <c r="T123" i="6" s="1"/>
  <c r="V122" i="6"/>
  <c r="Y122" i="6" s="1"/>
  <c r="S123" i="6" s="1"/>
  <c r="U100" i="6"/>
  <c r="W123" i="6" l="1"/>
  <c r="Z123" i="6" s="1"/>
  <c r="T124" i="6" s="1"/>
  <c r="V123" i="6"/>
  <c r="Y123" i="6"/>
  <c r="S124" i="6" s="1"/>
  <c r="P100" i="6"/>
  <c r="X100" i="6"/>
  <c r="W124" i="6" l="1"/>
  <c r="Z124" i="6" s="1"/>
  <c r="T125" i="6" s="1"/>
  <c r="V124" i="6"/>
  <c r="Y124" i="6" s="1"/>
  <c r="S125" i="6" s="1"/>
  <c r="Q100" i="6"/>
  <c r="O101" i="6" s="1"/>
  <c r="AA100" i="6"/>
  <c r="R101" i="6"/>
  <c r="W125" i="6" l="1"/>
  <c r="Z125" i="6"/>
  <c r="T126" i="6" s="1"/>
  <c r="V125" i="6"/>
  <c r="Y125" i="6" s="1"/>
  <c r="S126" i="6" s="1"/>
  <c r="U101" i="6"/>
  <c r="P101" i="6" l="1"/>
  <c r="X101" i="6"/>
  <c r="W126" i="6"/>
  <c r="Z126" i="6" s="1"/>
  <c r="T127" i="6" s="1"/>
  <c r="V126" i="6"/>
  <c r="Y126" i="6" s="1"/>
  <c r="S127" i="6" s="1"/>
  <c r="Q101" i="6"/>
  <c r="O102" i="6" s="1"/>
  <c r="R102" i="6" l="1"/>
  <c r="AA101" i="6"/>
  <c r="W127" i="6"/>
  <c r="Z127" i="6" s="1"/>
  <c r="T128" i="6" s="1"/>
  <c r="V127" i="6"/>
  <c r="Y127" i="6" s="1"/>
  <c r="S128" i="6" s="1"/>
  <c r="U102" i="6"/>
  <c r="P102" i="6" l="1"/>
  <c r="Q102" i="6" s="1"/>
  <c r="O103" i="6" s="1"/>
  <c r="X102" i="6"/>
  <c r="W128" i="6"/>
  <c r="Z128" i="6" s="1"/>
  <c r="T129" i="6" s="1"/>
  <c r="V128" i="6"/>
  <c r="Y128" i="6" s="1"/>
  <c r="S129" i="6" s="1"/>
  <c r="R103" i="6" l="1"/>
  <c r="U103" i="6" s="1"/>
  <c r="AA102" i="6"/>
  <c r="W129" i="6"/>
  <c r="Z129" i="6" s="1"/>
  <c r="T130" i="6" s="1"/>
  <c r="V129" i="6"/>
  <c r="Y129" i="6" s="1"/>
  <c r="S130" i="6" s="1"/>
  <c r="W130" i="6" l="1"/>
  <c r="Z130" i="6" s="1"/>
  <c r="T131" i="6" s="1"/>
  <c r="V130" i="6"/>
  <c r="Y130" i="6" s="1"/>
  <c r="S131" i="6" s="1"/>
  <c r="P103" i="6"/>
  <c r="X103" i="6"/>
  <c r="W131" i="6" l="1"/>
  <c r="Z131" i="6" s="1"/>
  <c r="T132" i="6" s="1"/>
  <c r="V131" i="6"/>
  <c r="Y131" i="6" s="1"/>
  <c r="S132" i="6" s="1"/>
  <c r="Q103" i="6"/>
  <c r="O104" i="6" s="1"/>
  <c r="AA103" i="6"/>
  <c r="R104" i="6"/>
  <c r="W132" i="6" l="1"/>
  <c r="Z132" i="6" s="1"/>
  <c r="T133" i="6" s="1"/>
  <c r="V132" i="6"/>
  <c r="Y132" i="6" s="1"/>
  <c r="S133" i="6" s="1"/>
  <c r="U104" i="6"/>
  <c r="W133" i="6" l="1"/>
  <c r="Z133" i="6" s="1"/>
  <c r="T134" i="6" s="1"/>
  <c r="V133" i="6"/>
  <c r="Y133" i="6" s="1"/>
  <c r="S134" i="6" s="1"/>
  <c r="P104" i="6"/>
  <c r="X104" i="6"/>
  <c r="W134" i="6" l="1"/>
  <c r="Z134" i="6"/>
  <c r="T135" i="6" s="1"/>
  <c r="V134" i="6"/>
  <c r="Y134" i="6" s="1"/>
  <c r="S135" i="6" s="1"/>
  <c r="Q104" i="6"/>
  <c r="O105" i="6" s="1"/>
  <c r="AA104" i="6"/>
  <c r="R105" i="6"/>
  <c r="W135" i="6" l="1"/>
  <c r="Z135" i="6" s="1"/>
  <c r="T136" i="6" s="1"/>
  <c r="V135" i="6"/>
  <c r="Y135" i="6" s="1"/>
  <c r="S136" i="6" s="1"/>
  <c r="U105" i="6"/>
  <c r="W136" i="6" l="1"/>
  <c r="Z136" i="6" s="1"/>
  <c r="T137" i="6" s="1"/>
  <c r="V136" i="6"/>
  <c r="Y136" i="6" s="1"/>
  <c r="S137" i="6" s="1"/>
  <c r="P105" i="6"/>
  <c r="X105" i="6"/>
  <c r="W137" i="6" l="1"/>
  <c r="Z137" i="6" s="1"/>
  <c r="T138" i="6" s="1"/>
  <c r="V137" i="6"/>
  <c r="Y137" i="6" s="1"/>
  <c r="S138" i="6" s="1"/>
  <c r="Q105" i="6"/>
  <c r="O106" i="6" s="1"/>
  <c r="AA105" i="6"/>
  <c r="R106" i="6"/>
  <c r="W138" i="6" l="1"/>
  <c r="Z138" i="6" s="1"/>
  <c r="T139" i="6" s="1"/>
  <c r="V138" i="6"/>
  <c r="Y138" i="6"/>
  <c r="S139" i="6" s="1"/>
  <c r="U106" i="6"/>
  <c r="W139" i="6" l="1"/>
  <c r="Z139" i="6"/>
  <c r="T140" i="6" s="1"/>
  <c r="V139" i="6"/>
  <c r="Y139" i="6" s="1"/>
  <c r="S140" i="6" s="1"/>
  <c r="P106" i="6"/>
  <c r="X106" i="6"/>
  <c r="W140" i="6" l="1"/>
  <c r="Z140" i="6" s="1"/>
  <c r="T141" i="6" s="1"/>
  <c r="V140" i="6"/>
  <c r="Y140" i="6" s="1"/>
  <c r="S141" i="6" s="1"/>
  <c r="Q106" i="6"/>
  <c r="O107" i="6" s="1"/>
  <c r="AA106" i="6"/>
  <c r="R107" i="6"/>
  <c r="W141" i="6" l="1"/>
  <c r="Z141" i="6" s="1"/>
  <c r="T142" i="6" s="1"/>
  <c r="V141" i="6"/>
  <c r="Y141" i="6"/>
  <c r="S142" i="6" s="1"/>
  <c r="U107" i="6"/>
  <c r="P107" i="6" l="1"/>
  <c r="X107" i="6"/>
  <c r="W142" i="6"/>
  <c r="Z142" i="6" s="1"/>
  <c r="T143" i="6" s="1"/>
  <c r="V142" i="6"/>
  <c r="Y142" i="6" s="1"/>
  <c r="S143" i="6" s="1"/>
  <c r="Q107" i="6"/>
  <c r="O108" i="6" s="1"/>
  <c r="R108" i="6" l="1"/>
  <c r="U108" i="6" s="1"/>
  <c r="AA107" i="6"/>
  <c r="W143" i="6"/>
  <c r="Z143" i="6" s="1"/>
  <c r="T144" i="6" s="1"/>
  <c r="V143" i="6"/>
  <c r="Y143" i="6" s="1"/>
  <c r="S144" i="6" s="1"/>
  <c r="P108" i="6" l="1"/>
  <c r="Q108" i="6" s="1"/>
  <c r="O109" i="6" s="1"/>
  <c r="X108" i="6"/>
  <c r="W144" i="6"/>
  <c r="Z144" i="6" s="1"/>
  <c r="T145" i="6" s="1"/>
  <c r="V144" i="6"/>
  <c r="Y144" i="6" s="1"/>
  <c r="S145" i="6" s="1"/>
  <c r="AA108" i="6" l="1"/>
  <c r="R109" i="6"/>
  <c r="U109" i="6" s="1"/>
  <c r="W145" i="6"/>
  <c r="Z145" i="6" s="1"/>
  <c r="T146" i="6" s="1"/>
  <c r="V145" i="6"/>
  <c r="Y145" i="6" s="1"/>
  <c r="S146" i="6" s="1"/>
  <c r="W146" i="6" l="1"/>
  <c r="Z146" i="6" s="1"/>
  <c r="T147" i="6" s="1"/>
  <c r="V146" i="6"/>
  <c r="Y146" i="6" s="1"/>
  <c r="S147" i="6" s="1"/>
  <c r="P109" i="6"/>
  <c r="X109" i="6"/>
  <c r="W147" i="6" l="1"/>
  <c r="Z147" i="6" s="1"/>
  <c r="T148" i="6" s="1"/>
  <c r="V147" i="6"/>
  <c r="Y147" i="6"/>
  <c r="S148" i="6" s="1"/>
  <c r="Q109" i="6"/>
  <c r="O110" i="6" s="1"/>
  <c r="AA109" i="6"/>
  <c r="R110" i="6"/>
  <c r="W148" i="6" l="1"/>
  <c r="Z148" i="6" s="1"/>
  <c r="T149" i="6" s="1"/>
  <c r="V148" i="6"/>
  <c r="Y148" i="6" s="1"/>
  <c r="S149" i="6" s="1"/>
  <c r="U110" i="6"/>
  <c r="W149" i="6" l="1"/>
  <c r="Z149" i="6" s="1"/>
  <c r="T150" i="6" s="1"/>
  <c r="V149" i="6"/>
  <c r="Y149" i="6" s="1"/>
  <c r="S150" i="6" s="1"/>
  <c r="P110" i="6"/>
  <c r="X110" i="6"/>
  <c r="W150" i="6" l="1"/>
  <c r="Z150" i="6" s="1"/>
  <c r="T151" i="6" s="1"/>
  <c r="V150" i="6"/>
  <c r="Y150" i="6" s="1"/>
  <c r="S151" i="6" s="1"/>
  <c r="Q110" i="6"/>
  <c r="O111" i="6" s="1"/>
  <c r="AA110" i="6"/>
  <c r="R111" i="6"/>
  <c r="W151" i="6" l="1"/>
  <c r="Z151" i="6" s="1"/>
  <c r="T152" i="6" s="1"/>
  <c r="V151" i="6"/>
  <c r="Y151" i="6" s="1"/>
  <c r="S152" i="6" s="1"/>
  <c r="U111" i="6"/>
  <c r="P111" i="6" l="1"/>
  <c r="Q111" i="6" s="1"/>
  <c r="O112" i="6" s="1"/>
  <c r="X111" i="6"/>
  <c r="W152" i="6"/>
  <c r="Z152" i="6" s="1"/>
  <c r="T153" i="6" s="1"/>
  <c r="V152" i="6"/>
  <c r="Y152" i="6"/>
  <c r="S153" i="6" s="1"/>
  <c r="AA111" i="6" l="1"/>
  <c r="R112" i="6"/>
  <c r="U112" i="6" s="1"/>
  <c r="W153" i="6"/>
  <c r="Z153" i="6" s="1"/>
  <c r="T154" i="6" s="1"/>
  <c r="V153" i="6"/>
  <c r="Y153" i="6" s="1"/>
  <c r="S154" i="6" s="1"/>
  <c r="P112" i="6" l="1"/>
  <c r="Q112" i="6" s="1"/>
  <c r="O113" i="6" s="1"/>
  <c r="X112" i="6"/>
  <c r="W154" i="6"/>
  <c r="Z154" i="6" s="1"/>
  <c r="T155" i="6" s="1"/>
  <c r="V154" i="6"/>
  <c r="Y154" i="6" s="1"/>
  <c r="S155" i="6" s="1"/>
  <c r="AA112" i="6" l="1"/>
  <c r="R113" i="6"/>
  <c r="U113" i="6" s="1"/>
  <c r="W155" i="6"/>
  <c r="Z155" i="6" s="1"/>
  <c r="T156" i="6" s="1"/>
  <c r="V155" i="6"/>
  <c r="Y155" i="6" s="1"/>
  <c r="S156" i="6" s="1"/>
  <c r="W156" i="6" l="1"/>
  <c r="Z156" i="6" s="1"/>
  <c r="T157" i="6" s="1"/>
  <c r="V156" i="6"/>
  <c r="Y156" i="6" s="1"/>
  <c r="S157" i="6" s="1"/>
  <c r="P113" i="6"/>
  <c r="X113" i="6"/>
  <c r="W157" i="6" l="1"/>
  <c r="Z157" i="6" s="1"/>
  <c r="T158" i="6" s="1"/>
  <c r="V157" i="6"/>
  <c r="Y157" i="6" s="1"/>
  <c r="S158" i="6" s="1"/>
  <c r="Q113" i="6"/>
  <c r="O114" i="6" s="1"/>
  <c r="AA113" i="6"/>
  <c r="R114" i="6"/>
  <c r="W158" i="6" l="1"/>
  <c r="Z158" i="6"/>
  <c r="T159" i="6" s="1"/>
  <c r="V158" i="6"/>
  <c r="Y158" i="6" s="1"/>
  <c r="S159" i="6" s="1"/>
  <c r="U114" i="6"/>
  <c r="P114" i="6" l="1"/>
  <c r="Q114" i="6" s="1"/>
  <c r="O115" i="6" s="1"/>
  <c r="X114" i="6"/>
  <c r="W159" i="6"/>
  <c r="Z159" i="6" s="1"/>
  <c r="T160" i="6" s="1"/>
  <c r="V159" i="6"/>
  <c r="Y159" i="6" s="1"/>
  <c r="S160" i="6" s="1"/>
  <c r="R115" i="6" l="1"/>
  <c r="U115" i="6" s="1"/>
  <c r="AA114" i="6"/>
  <c r="W160" i="6"/>
  <c r="Z160" i="6" s="1"/>
  <c r="T161" i="6" s="1"/>
  <c r="V160" i="6"/>
  <c r="Y160" i="6" s="1"/>
  <c r="S161" i="6" s="1"/>
  <c r="P115" i="6" l="1"/>
  <c r="Q115" i="6" s="1"/>
  <c r="O116" i="6" s="1"/>
  <c r="X115" i="6"/>
  <c r="W161" i="6"/>
  <c r="Z161" i="6"/>
  <c r="T162" i="6" s="1"/>
  <c r="V161" i="6"/>
  <c r="Y161" i="6" s="1"/>
  <c r="S162" i="6" s="1"/>
  <c r="R116" i="6" l="1"/>
  <c r="U116" i="6" s="1"/>
  <c r="AA115" i="6"/>
  <c r="W162" i="6"/>
  <c r="Z162" i="6" s="1"/>
  <c r="T163" i="6" s="1"/>
  <c r="V162" i="6"/>
  <c r="Y162" i="6" s="1"/>
  <c r="S163" i="6" s="1"/>
  <c r="W163" i="6" l="1"/>
  <c r="Z163" i="6" s="1"/>
  <c r="T164" i="6" s="1"/>
  <c r="V163" i="6"/>
  <c r="Y163" i="6" s="1"/>
  <c r="S164" i="6" s="1"/>
  <c r="P116" i="6"/>
  <c r="X116" i="6"/>
  <c r="W164" i="6" l="1"/>
  <c r="Z164" i="6" s="1"/>
  <c r="T165" i="6" s="1"/>
  <c r="V164" i="6"/>
  <c r="Y164" i="6" s="1"/>
  <c r="S165" i="6" s="1"/>
  <c r="Q116" i="6"/>
  <c r="O117" i="6" s="1"/>
  <c r="AA116" i="6"/>
  <c r="R117" i="6"/>
  <c r="W165" i="6" l="1"/>
  <c r="Z165" i="6" s="1"/>
  <c r="T166" i="6" s="1"/>
  <c r="V165" i="6"/>
  <c r="Y165" i="6" s="1"/>
  <c r="S166" i="6" s="1"/>
  <c r="U117" i="6"/>
  <c r="W166" i="6" l="1"/>
  <c r="Z166" i="6" s="1"/>
  <c r="T167" i="6" s="1"/>
  <c r="V166" i="6"/>
  <c r="Y166" i="6" s="1"/>
  <c r="S167" i="6" s="1"/>
  <c r="P117" i="6"/>
  <c r="X117" i="6"/>
  <c r="W167" i="6" l="1"/>
  <c r="Z167" i="6" s="1"/>
  <c r="T168" i="6" s="1"/>
  <c r="V167" i="6"/>
  <c r="Y167" i="6" s="1"/>
  <c r="S168" i="6" s="1"/>
  <c r="Q117" i="6"/>
  <c r="O118" i="6" s="1"/>
  <c r="AA117" i="6"/>
  <c r="R118" i="6"/>
  <c r="W168" i="6" l="1"/>
  <c r="Z168" i="6" s="1"/>
  <c r="T169" i="6" s="1"/>
  <c r="V168" i="6"/>
  <c r="Y168" i="6" s="1"/>
  <c r="S169" i="6" s="1"/>
  <c r="U118" i="6"/>
  <c r="W169" i="6" l="1"/>
  <c r="Z169" i="6" s="1"/>
  <c r="T170" i="6" s="1"/>
  <c r="V169" i="6"/>
  <c r="Y169" i="6"/>
  <c r="S170" i="6" s="1"/>
  <c r="P118" i="6"/>
  <c r="X118" i="6"/>
  <c r="W170" i="6" l="1"/>
  <c r="Z170" i="6" s="1"/>
  <c r="T171" i="6" s="1"/>
  <c r="V170" i="6"/>
  <c r="Y170" i="6" s="1"/>
  <c r="S171" i="6" s="1"/>
  <c r="Q118" i="6"/>
  <c r="O119" i="6" s="1"/>
  <c r="AA118" i="6"/>
  <c r="R119" i="6"/>
  <c r="W171" i="6" l="1"/>
  <c r="Z171" i="6" s="1"/>
  <c r="T172" i="6" s="1"/>
  <c r="V171" i="6"/>
  <c r="Y171" i="6" s="1"/>
  <c r="S172" i="6" s="1"/>
  <c r="U119" i="6"/>
  <c r="W172" i="6" l="1"/>
  <c r="Z172" i="6" s="1"/>
  <c r="T173" i="6" s="1"/>
  <c r="V172" i="6"/>
  <c r="Y172" i="6"/>
  <c r="S173" i="6" s="1"/>
  <c r="P119" i="6"/>
  <c r="X119" i="6"/>
  <c r="W173" i="6" l="1"/>
  <c r="Z173" i="6"/>
  <c r="T174" i="6" s="1"/>
  <c r="V173" i="6"/>
  <c r="Y173" i="6" s="1"/>
  <c r="S174" i="6" s="1"/>
  <c r="Q119" i="6"/>
  <c r="O120" i="6" s="1"/>
  <c r="AA119" i="6"/>
  <c r="R120" i="6"/>
  <c r="W174" i="6" l="1"/>
  <c r="Z174" i="6" s="1"/>
  <c r="T175" i="6" s="1"/>
  <c r="V174" i="6"/>
  <c r="Y174" i="6" s="1"/>
  <c r="S175" i="6" s="1"/>
  <c r="U120" i="6"/>
  <c r="W175" i="6" l="1"/>
  <c r="Z175" i="6" s="1"/>
  <c r="T176" i="6" s="1"/>
  <c r="V175" i="6"/>
  <c r="Y175" i="6" s="1"/>
  <c r="S176" i="6" s="1"/>
  <c r="P120" i="6"/>
  <c r="X120" i="6"/>
  <c r="W176" i="6" l="1"/>
  <c r="Z176" i="6" s="1"/>
  <c r="T177" i="6" s="1"/>
  <c r="V176" i="6"/>
  <c r="Y176" i="6" s="1"/>
  <c r="S177" i="6" s="1"/>
  <c r="Q120" i="6"/>
  <c r="O121" i="6" s="1"/>
  <c r="AA120" i="6"/>
  <c r="R121" i="6"/>
  <c r="W177" i="6" l="1"/>
  <c r="Z177" i="6" s="1"/>
  <c r="T178" i="6" s="1"/>
  <c r="V177" i="6"/>
  <c r="Y177" i="6" s="1"/>
  <c r="S178" i="6" s="1"/>
  <c r="U121" i="6"/>
  <c r="P121" i="6" s="1"/>
  <c r="X121" i="6"/>
  <c r="W178" i="6" l="1"/>
  <c r="Z178" i="6" s="1"/>
  <c r="T179" i="6" s="1"/>
  <c r="V178" i="6"/>
  <c r="Y178" i="6" s="1"/>
  <c r="S179" i="6" s="1"/>
  <c r="Q121" i="6"/>
  <c r="O122" i="6" s="1"/>
  <c r="R122" i="6"/>
  <c r="AA121" i="6"/>
  <c r="W179" i="6" l="1"/>
  <c r="Z179" i="6" s="1"/>
  <c r="T180" i="6" s="1"/>
  <c r="V179" i="6"/>
  <c r="Y179" i="6" s="1"/>
  <c r="S180" i="6" s="1"/>
  <c r="U122" i="6"/>
  <c r="W180" i="6" l="1"/>
  <c r="Z180" i="6" s="1"/>
  <c r="T181" i="6" s="1"/>
  <c r="V180" i="6"/>
  <c r="Y180" i="6" s="1"/>
  <c r="S181" i="6" s="1"/>
  <c r="P122" i="6"/>
  <c r="X122" i="6"/>
  <c r="W181" i="6" l="1"/>
  <c r="Z181" i="6" s="1"/>
  <c r="T182" i="6" s="1"/>
  <c r="V181" i="6"/>
  <c r="Y181" i="6" s="1"/>
  <c r="S182" i="6" s="1"/>
  <c r="Q122" i="6"/>
  <c r="O123" i="6" s="1"/>
  <c r="AA122" i="6"/>
  <c r="R123" i="6"/>
  <c r="W182" i="6" l="1"/>
  <c r="Z182" i="6" s="1"/>
  <c r="T183" i="6" s="1"/>
  <c r="V182" i="6"/>
  <c r="Y182" i="6" s="1"/>
  <c r="S183" i="6" s="1"/>
  <c r="U123" i="6"/>
  <c r="P123" i="6" s="1"/>
  <c r="X123" i="6"/>
  <c r="W183" i="6" l="1"/>
  <c r="Z183" i="6"/>
  <c r="T184" i="6" s="1"/>
  <c r="V183" i="6"/>
  <c r="Y183" i="6"/>
  <c r="S184" i="6" s="1"/>
  <c r="Q123" i="6"/>
  <c r="O124" i="6" s="1"/>
  <c r="R124" i="6"/>
  <c r="AA123" i="6"/>
  <c r="W184" i="6" l="1"/>
  <c r="Z184" i="6" s="1"/>
  <c r="T185" i="6" s="1"/>
  <c r="V184" i="6"/>
  <c r="Y184" i="6" s="1"/>
  <c r="S185" i="6" s="1"/>
  <c r="U124" i="6"/>
  <c r="W185" i="6" l="1"/>
  <c r="Z185" i="6" s="1"/>
  <c r="T186" i="6" s="1"/>
  <c r="V185" i="6"/>
  <c r="Y185" i="6" s="1"/>
  <c r="S186" i="6" s="1"/>
  <c r="P124" i="6"/>
  <c r="X124" i="6"/>
  <c r="W186" i="6" l="1"/>
  <c r="Z186" i="6"/>
  <c r="T187" i="6" s="1"/>
  <c r="V186" i="6"/>
  <c r="Y186" i="6"/>
  <c r="S187" i="6" s="1"/>
  <c r="Q124" i="6"/>
  <c r="O125" i="6" s="1"/>
  <c r="AA124" i="6"/>
  <c r="R125" i="6"/>
  <c r="W187" i="6" l="1"/>
  <c r="Z187" i="6" s="1"/>
  <c r="T188" i="6" s="1"/>
  <c r="V187" i="6"/>
  <c r="Y187" i="6" s="1"/>
  <c r="S188" i="6" s="1"/>
  <c r="U125" i="6"/>
  <c r="P125" i="6" l="1"/>
  <c r="Q125" i="6" s="1"/>
  <c r="O126" i="6" s="1"/>
  <c r="X125" i="6"/>
  <c r="W188" i="6"/>
  <c r="Z188" i="6" s="1"/>
  <c r="T189" i="6" s="1"/>
  <c r="V188" i="6"/>
  <c r="Y188" i="6" s="1"/>
  <c r="S189" i="6" s="1"/>
  <c r="R126" i="6" l="1"/>
  <c r="AA125" i="6"/>
  <c r="W189" i="6"/>
  <c r="Z189" i="6" s="1"/>
  <c r="T190" i="6" s="1"/>
  <c r="V189" i="6"/>
  <c r="Y189" i="6" s="1"/>
  <c r="S190" i="6" s="1"/>
  <c r="U126" i="6" l="1"/>
  <c r="W190" i="6"/>
  <c r="Z190" i="6" s="1"/>
  <c r="T191" i="6" s="1"/>
  <c r="V190" i="6"/>
  <c r="Y190" i="6" s="1"/>
  <c r="S191" i="6" s="1"/>
  <c r="P126" i="6" l="1"/>
  <c r="Q126" i="6" s="1"/>
  <c r="O127" i="6" s="1"/>
  <c r="X126" i="6"/>
  <c r="W191" i="6"/>
  <c r="Z191" i="6" s="1"/>
  <c r="T192" i="6" s="1"/>
  <c r="V191" i="6"/>
  <c r="Y191" i="6" s="1"/>
  <c r="S192" i="6" s="1"/>
  <c r="R127" i="6" l="1"/>
  <c r="AA126" i="6"/>
  <c r="W192" i="6"/>
  <c r="Z192" i="6" s="1"/>
  <c r="T193" i="6" s="1"/>
  <c r="V192" i="6"/>
  <c r="Y192" i="6" s="1"/>
  <c r="S193" i="6" s="1"/>
  <c r="U127" i="6" l="1"/>
  <c r="W193" i="6"/>
  <c r="Z193" i="6" s="1"/>
  <c r="T194" i="6" s="1"/>
  <c r="V193" i="6"/>
  <c r="Y193" i="6"/>
  <c r="S194" i="6" s="1"/>
  <c r="P127" i="6" l="1"/>
  <c r="Q127" i="6" s="1"/>
  <c r="O128" i="6" s="1"/>
  <c r="X127" i="6"/>
  <c r="W194" i="6"/>
  <c r="Z194" i="6" s="1"/>
  <c r="T195" i="6" s="1"/>
  <c r="V194" i="6"/>
  <c r="Y194" i="6" s="1"/>
  <c r="S195" i="6" s="1"/>
  <c r="R128" i="6" l="1"/>
  <c r="AA127" i="6"/>
  <c r="W195" i="6"/>
  <c r="Z195" i="6" s="1"/>
  <c r="T196" i="6" s="1"/>
  <c r="V195" i="6"/>
  <c r="Y195" i="6" s="1"/>
  <c r="S196" i="6" s="1"/>
  <c r="U128" i="6" l="1"/>
  <c r="W196" i="6"/>
  <c r="Z196" i="6" s="1"/>
  <c r="T197" i="6" s="1"/>
  <c r="V196" i="6"/>
  <c r="Y196" i="6" s="1"/>
  <c r="S197" i="6" s="1"/>
  <c r="P128" i="6" l="1"/>
  <c r="Q128" i="6" s="1"/>
  <c r="O129" i="6" s="1"/>
  <c r="X128" i="6"/>
  <c r="W197" i="6"/>
  <c r="Z197" i="6" s="1"/>
  <c r="T198" i="6" s="1"/>
  <c r="V197" i="6"/>
  <c r="Y197" i="6" s="1"/>
  <c r="S198" i="6" s="1"/>
  <c r="R129" i="6" l="1"/>
  <c r="AA128" i="6"/>
  <c r="W198" i="6"/>
  <c r="Z198" i="6" s="1"/>
  <c r="T199" i="6" s="1"/>
  <c r="V198" i="6"/>
  <c r="Y198" i="6" s="1"/>
  <c r="S199" i="6" s="1"/>
  <c r="U129" i="6" l="1"/>
  <c r="W199" i="6"/>
  <c r="Z199" i="6" s="1"/>
  <c r="T200" i="6" s="1"/>
  <c r="V199" i="6"/>
  <c r="Y199" i="6" s="1"/>
  <c r="S200" i="6" s="1"/>
  <c r="P129" i="6" l="1"/>
  <c r="Q129" i="6" s="1"/>
  <c r="O130" i="6" s="1"/>
  <c r="X129" i="6"/>
  <c r="W200" i="6"/>
  <c r="Z200" i="6"/>
  <c r="T201" i="6" s="1"/>
  <c r="V200" i="6"/>
  <c r="Y200" i="6" s="1"/>
  <c r="S201" i="6" s="1"/>
  <c r="AA129" i="6" l="1"/>
  <c r="R130" i="6"/>
  <c r="W201" i="6"/>
  <c r="Z201" i="6"/>
  <c r="T202" i="6" s="1"/>
  <c r="V201" i="6"/>
  <c r="Y201" i="6" s="1"/>
  <c r="S202" i="6" s="1"/>
  <c r="U130" i="6" l="1"/>
  <c r="W202" i="6"/>
  <c r="Z202" i="6" s="1"/>
  <c r="T203" i="6" s="1"/>
  <c r="V202" i="6"/>
  <c r="Y202" i="6" s="1"/>
  <c r="S203" i="6" s="1"/>
  <c r="P130" i="6" l="1"/>
  <c r="Q130" i="6" s="1"/>
  <c r="O131" i="6" s="1"/>
  <c r="X130" i="6"/>
  <c r="W203" i="6"/>
  <c r="Z203" i="6" s="1"/>
  <c r="T204" i="6" s="1"/>
  <c r="V203" i="6"/>
  <c r="Y203" i="6" s="1"/>
  <c r="S204" i="6" s="1"/>
  <c r="R131" i="6" l="1"/>
  <c r="AA130" i="6"/>
  <c r="W204" i="6"/>
  <c r="Z204" i="6" s="1"/>
  <c r="T205" i="6" s="1"/>
  <c r="V204" i="6"/>
  <c r="Y204" i="6" s="1"/>
  <c r="S205" i="6" s="1"/>
  <c r="U131" i="6" l="1"/>
  <c r="W205" i="6"/>
  <c r="Z205" i="6" s="1"/>
  <c r="T206" i="6" s="1"/>
  <c r="V205" i="6"/>
  <c r="Y205" i="6" s="1"/>
  <c r="S206" i="6" s="1"/>
  <c r="P131" i="6" l="1"/>
  <c r="Q131" i="6" s="1"/>
  <c r="O132" i="6" s="1"/>
  <c r="X131" i="6"/>
  <c r="W206" i="6"/>
  <c r="Z206" i="6" s="1"/>
  <c r="T207" i="6" s="1"/>
  <c r="V206" i="6"/>
  <c r="Y206" i="6" s="1"/>
  <c r="S207" i="6" s="1"/>
  <c r="AA131" i="6" l="1"/>
  <c r="R132" i="6"/>
  <c r="W207" i="6"/>
  <c r="Z207" i="6" s="1"/>
  <c r="T208" i="6" s="1"/>
  <c r="V207" i="6"/>
  <c r="Y207" i="6" s="1"/>
  <c r="S208" i="6" s="1"/>
  <c r="X132" i="6" l="1"/>
  <c r="U132" i="6"/>
  <c r="P132" i="6" s="1"/>
  <c r="Q132" i="6" s="1"/>
  <c r="O133" i="6" s="1"/>
  <c r="W208" i="6"/>
  <c r="Z208" i="6" s="1"/>
  <c r="T209" i="6" s="1"/>
  <c r="V208" i="6"/>
  <c r="Y208" i="6" s="1"/>
  <c r="S209" i="6" s="1"/>
  <c r="R133" i="6" l="1"/>
  <c r="AA132" i="6"/>
  <c r="W209" i="6"/>
  <c r="Z209" i="6" s="1"/>
  <c r="T210" i="6" s="1"/>
  <c r="V209" i="6"/>
  <c r="Y209" i="6" s="1"/>
  <c r="S210" i="6" s="1"/>
  <c r="U133" i="6" l="1"/>
  <c r="W210" i="6"/>
  <c r="Z210" i="6" s="1"/>
  <c r="T211" i="6" s="1"/>
  <c r="V210" i="6"/>
  <c r="Y210" i="6" s="1"/>
  <c r="S211" i="6" s="1"/>
  <c r="P133" i="6" l="1"/>
  <c r="Q133" i="6" s="1"/>
  <c r="O134" i="6" s="1"/>
  <c r="X133" i="6"/>
  <c r="W211" i="6"/>
  <c r="Z211" i="6" s="1"/>
  <c r="T212" i="6" s="1"/>
  <c r="V211" i="6"/>
  <c r="Y211" i="6" s="1"/>
  <c r="S212" i="6" s="1"/>
  <c r="AA133" i="6" l="1"/>
  <c r="R134" i="6"/>
  <c r="W212" i="6"/>
  <c r="Z212" i="6" s="1"/>
  <c r="T213" i="6" s="1"/>
  <c r="V212" i="6"/>
  <c r="Y212" i="6" s="1"/>
  <c r="S213" i="6" s="1"/>
  <c r="U134" i="6" l="1"/>
  <c r="W213" i="6"/>
  <c r="Z213" i="6" s="1"/>
  <c r="T214" i="6" s="1"/>
  <c r="V213" i="6"/>
  <c r="Y213" i="6" s="1"/>
  <c r="S214" i="6" s="1"/>
  <c r="P134" i="6" l="1"/>
  <c r="Q134" i="6" s="1"/>
  <c r="O135" i="6" s="1"/>
  <c r="X134" i="6"/>
  <c r="W214" i="6"/>
  <c r="Z214" i="6" s="1"/>
  <c r="T215" i="6" s="1"/>
  <c r="V214" i="6"/>
  <c r="Y214" i="6" s="1"/>
  <c r="S215" i="6" s="1"/>
  <c r="R135" i="6" l="1"/>
  <c r="AA134" i="6"/>
  <c r="W215" i="6"/>
  <c r="Z215" i="6" s="1"/>
  <c r="T216" i="6" s="1"/>
  <c r="V215" i="6"/>
  <c r="Y215" i="6" s="1"/>
  <c r="S216" i="6" s="1"/>
  <c r="X135" i="6" l="1"/>
  <c r="U135" i="6"/>
  <c r="P135" i="6" s="1"/>
  <c r="Q135" i="6" s="1"/>
  <c r="O136" i="6" s="1"/>
  <c r="W216" i="6"/>
  <c r="Z216" i="6" s="1"/>
  <c r="T217" i="6" s="1"/>
  <c r="V216" i="6"/>
  <c r="Y216" i="6" s="1"/>
  <c r="S217" i="6" s="1"/>
  <c r="AA135" i="6" l="1"/>
  <c r="R136" i="6"/>
  <c r="W217" i="6"/>
  <c r="Z217" i="6" s="1"/>
  <c r="T218" i="6" s="1"/>
  <c r="V217" i="6"/>
  <c r="Y217" i="6" s="1"/>
  <c r="S218" i="6" s="1"/>
  <c r="U136" i="6" l="1"/>
  <c r="W218" i="6"/>
  <c r="Z218" i="6" s="1"/>
  <c r="T219" i="6" s="1"/>
  <c r="V218" i="6"/>
  <c r="Y218" i="6" s="1"/>
  <c r="S219" i="6" s="1"/>
  <c r="P136" i="6" l="1"/>
  <c r="Q136" i="6" s="1"/>
  <c r="O137" i="6" s="1"/>
  <c r="X136" i="6"/>
  <c r="W219" i="6"/>
  <c r="Z219" i="6"/>
  <c r="T220" i="6" s="1"/>
  <c r="V219" i="6"/>
  <c r="Y219" i="6" s="1"/>
  <c r="S220" i="6" s="1"/>
  <c r="R137" i="6" l="1"/>
  <c r="AA136" i="6"/>
  <c r="W220" i="6"/>
  <c r="Z220" i="6" s="1"/>
  <c r="T221" i="6" s="1"/>
  <c r="V220" i="6"/>
  <c r="Y220" i="6" s="1"/>
  <c r="S221" i="6" s="1"/>
  <c r="U137" i="6" l="1"/>
  <c r="W221" i="6"/>
  <c r="Z221" i="6" s="1"/>
  <c r="T222" i="6" s="1"/>
  <c r="V221" i="6"/>
  <c r="Y221" i="6" s="1"/>
  <c r="S222" i="6" s="1"/>
  <c r="P137" i="6" l="1"/>
  <c r="Q137" i="6" s="1"/>
  <c r="O138" i="6" s="1"/>
  <c r="X137" i="6"/>
  <c r="W222" i="6"/>
  <c r="Z222" i="6" s="1"/>
  <c r="T223" i="6" s="1"/>
  <c r="V222" i="6"/>
  <c r="Y222" i="6" s="1"/>
  <c r="S223" i="6" s="1"/>
  <c r="AA137" i="6" l="1"/>
  <c r="R138" i="6"/>
  <c r="W223" i="6"/>
  <c r="Z223" i="6" s="1"/>
  <c r="T224" i="6" s="1"/>
  <c r="V223" i="6"/>
  <c r="Y223" i="6"/>
  <c r="S224" i="6" s="1"/>
  <c r="U138" i="6" l="1"/>
  <c r="W224" i="6"/>
  <c r="Z224" i="6" s="1"/>
  <c r="T225" i="6" s="1"/>
  <c r="V224" i="6"/>
  <c r="Y224" i="6" s="1"/>
  <c r="S225" i="6" s="1"/>
  <c r="P138" i="6" l="1"/>
  <c r="Q138" i="6" s="1"/>
  <c r="O139" i="6" s="1"/>
  <c r="X138" i="6"/>
  <c r="W225" i="6"/>
  <c r="Z225" i="6" s="1"/>
  <c r="T226" i="6" s="1"/>
  <c r="V225" i="6"/>
  <c r="Y225" i="6" s="1"/>
  <c r="S226" i="6" s="1"/>
  <c r="R139" i="6" l="1"/>
  <c r="AA138" i="6"/>
  <c r="W226" i="6"/>
  <c r="Z226" i="6" s="1"/>
  <c r="T227" i="6" s="1"/>
  <c r="V226" i="6"/>
  <c r="Y226" i="6" s="1"/>
  <c r="S227" i="6" s="1"/>
  <c r="U139" i="6" l="1"/>
  <c r="W227" i="6"/>
  <c r="Z227" i="6" s="1"/>
  <c r="T228" i="6" s="1"/>
  <c r="V227" i="6"/>
  <c r="Y227" i="6" s="1"/>
  <c r="S228" i="6" s="1"/>
  <c r="P139" i="6" l="1"/>
  <c r="Q139" i="6" s="1"/>
  <c r="O140" i="6" s="1"/>
  <c r="X139" i="6"/>
  <c r="W228" i="6"/>
  <c r="Z228" i="6" s="1"/>
  <c r="T229" i="6" s="1"/>
  <c r="V228" i="6"/>
  <c r="Y228" i="6" s="1"/>
  <c r="S229" i="6" s="1"/>
  <c r="AA139" i="6" l="1"/>
  <c r="R140" i="6"/>
  <c r="W229" i="6"/>
  <c r="Z229" i="6" s="1"/>
  <c r="T230" i="6" s="1"/>
  <c r="V229" i="6"/>
  <c r="Y229" i="6" s="1"/>
  <c r="S230" i="6" s="1"/>
  <c r="U140" i="6" l="1"/>
  <c r="W230" i="6"/>
  <c r="Z230" i="6" s="1"/>
  <c r="T231" i="6" s="1"/>
  <c r="V230" i="6"/>
  <c r="Y230" i="6" s="1"/>
  <c r="S231" i="6" s="1"/>
  <c r="P140" i="6" l="1"/>
  <c r="Q140" i="6" s="1"/>
  <c r="O141" i="6" s="1"/>
  <c r="X140" i="6"/>
  <c r="W231" i="6"/>
  <c r="Z231" i="6" s="1"/>
  <c r="T232" i="6" s="1"/>
  <c r="V231" i="6"/>
  <c r="Y231" i="6" s="1"/>
  <c r="S232" i="6" s="1"/>
  <c r="AA140" i="6" l="1"/>
  <c r="R141" i="6"/>
  <c r="W232" i="6"/>
  <c r="Z232" i="6" s="1"/>
  <c r="T233" i="6" s="1"/>
  <c r="V232" i="6"/>
  <c r="Y232" i="6" s="1"/>
  <c r="S233" i="6" s="1"/>
  <c r="U141" i="6" l="1"/>
  <c r="W233" i="6"/>
  <c r="Z233" i="6" s="1"/>
  <c r="T234" i="6" s="1"/>
  <c r="V233" i="6"/>
  <c r="Y233" i="6" s="1"/>
  <c r="S234" i="6" s="1"/>
  <c r="P141" i="6" l="1"/>
  <c r="Q141" i="6" s="1"/>
  <c r="O142" i="6" s="1"/>
  <c r="X141" i="6"/>
  <c r="W234" i="6"/>
  <c r="Z234" i="6" s="1"/>
  <c r="T235" i="6" s="1"/>
  <c r="V234" i="6"/>
  <c r="Y234" i="6" s="1"/>
  <c r="S235" i="6" s="1"/>
  <c r="AA141" i="6" l="1"/>
  <c r="R142" i="6"/>
  <c r="W235" i="6"/>
  <c r="Z235" i="6" s="1"/>
  <c r="T236" i="6" s="1"/>
  <c r="V235" i="6"/>
  <c r="Y235" i="6" s="1"/>
  <c r="S236" i="6" s="1"/>
  <c r="U142" i="6" l="1"/>
  <c r="W236" i="6"/>
  <c r="Z236" i="6" s="1"/>
  <c r="T237" i="6" s="1"/>
  <c r="V236" i="6"/>
  <c r="Y236" i="6" s="1"/>
  <c r="S237" i="6" s="1"/>
  <c r="P142" i="6" l="1"/>
  <c r="Q142" i="6" s="1"/>
  <c r="O143" i="6" s="1"/>
  <c r="X142" i="6"/>
  <c r="W237" i="6"/>
  <c r="Z237" i="6" s="1"/>
  <c r="T238" i="6" s="1"/>
  <c r="V237" i="6"/>
  <c r="Y237" i="6" s="1"/>
  <c r="S238" i="6" s="1"/>
  <c r="AA142" i="6" l="1"/>
  <c r="R143" i="6"/>
  <c r="W238" i="6"/>
  <c r="Z238" i="6" s="1"/>
  <c r="T239" i="6" s="1"/>
  <c r="V238" i="6"/>
  <c r="Y238" i="6" s="1"/>
  <c r="S239" i="6" s="1"/>
  <c r="U143" i="6" l="1"/>
  <c r="W239" i="6"/>
  <c r="Z239" i="6" s="1"/>
  <c r="T240" i="6" s="1"/>
  <c r="V239" i="6"/>
  <c r="Y239" i="6" s="1"/>
  <c r="S240" i="6" s="1"/>
  <c r="P143" i="6" l="1"/>
  <c r="Q143" i="6" s="1"/>
  <c r="O144" i="6" s="1"/>
  <c r="X143" i="6"/>
  <c r="W240" i="6"/>
  <c r="Z240" i="6" s="1"/>
  <c r="T241" i="6" s="1"/>
  <c r="V240" i="6"/>
  <c r="Y240" i="6" s="1"/>
  <c r="S241" i="6" s="1"/>
  <c r="R144" i="6" l="1"/>
  <c r="AA143" i="6"/>
  <c r="W241" i="6"/>
  <c r="Z241" i="6" s="1"/>
  <c r="T242" i="6" s="1"/>
  <c r="V241" i="6"/>
  <c r="Y241" i="6" s="1"/>
  <c r="S242" i="6" s="1"/>
  <c r="U144" i="6" l="1"/>
  <c r="W242" i="6"/>
  <c r="Z242" i="6" s="1"/>
  <c r="T243" i="6" s="1"/>
  <c r="V242" i="6"/>
  <c r="Y242" i="6" s="1"/>
  <c r="S243" i="6" s="1"/>
  <c r="P144" i="6" l="1"/>
  <c r="Q144" i="6" s="1"/>
  <c r="O145" i="6" s="1"/>
  <c r="X144" i="6"/>
  <c r="W243" i="6"/>
  <c r="Z243" i="6" s="1"/>
  <c r="T244" i="6" s="1"/>
  <c r="V243" i="6"/>
  <c r="Y243" i="6" s="1"/>
  <c r="S244" i="6" s="1"/>
  <c r="R145" i="6" l="1"/>
  <c r="AA144" i="6"/>
  <c r="W244" i="6"/>
  <c r="Z244" i="6" s="1"/>
  <c r="T245" i="6" s="1"/>
  <c r="V244" i="6"/>
  <c r="Y244" i="6" s="1"/>
  <c r="S245" i="6" s="1"/>
  <c r="U145" i="6" l="1"/>
  <c r="W245" i="6"/>
  <c r="Z245" i="6" s="1"/>
  <c r="T246" i="6" s="1"/>
  <c r="V245" i="6"/>
  <c r="Y245" i="6" s="1"/>
  <c r="S246" i="6" s="1"/>
  <c r="P145" i="6" l="1"/>
  <c r="Q145" i="6" s="1"/>
  <c r="O146" i="6" s="1"/>
  <c r="X145" i="6"/>
  <c r="W246" i="6"/>
  <c r="Z246" i="6" s="1"/>
  <c r="T247" i="6" s="1"/>
  <c r="V246" i="6"/>
  <c r="Y246" i="6" s="1"/>
  <c r="S247" i="6" s="1"/>
  <c r="AA145" i="6" l="1"/>
  <c r="R146" i="6"/>
  <c r="W247" i="6"/>
  <c r="Z247" i="6" s="1"/>
  <c r="T248" i="6" s="1"/>
  <c r="V247" i="6"/>
  <c r="Y247" i="6" s="1"/>
  <c r="S248" i="6" s="1"/>
  <c r="U146" i="6" l="1"/>
  <c r="W248" i="6"/>
  <c r="Z248" i="6" s="1"/>
  <c r="T249" i="6" s="1"/>
  <c r="V248" i="6"/>
  <c r="Y248" i="6" s="1"/>
  <c r="S249" i="6" s="1"/>
  <c r="P146" i="6" l="1"/>
  <c r="Q146" i="6" s="1"/>
  <c r="O147" i="6" s="1"/>
  <c r="X146" i="6"/>
  <c r="W249" i="6"/>
  <c r="Z249" i="6" s="1"/>
  <c r="T250" i="6" s="1"/>
  <c r="V249" i="6"/>
  <c r="Y249" i="6" s="1"/>
  <c r="S250" i="6" s="1"/>
  <c r="R147" i="6" l="1"/>
  <c r="AA146" i="6"/>
  <c r="W250" i="6"/>
  <c r="Z250" i="6" s="1"/>
  <c r="T251" i="6" s="1"/>
  <c r="V250" i="6"/>
  <c r="Y250" i="6" s="1"/>
  <c r="S251" i="6" s="1"/>
  <c r="X147" i="6" l="1"/>
  <c r="U147" i="6"/>
  <c r="P147" i="6" s="1"/>
  <c r="Q147" i="6" s="1"/>
  <c r="O148" i="6" s="1"/>
  <c r="W251" i="6"/>
  <c r="Z251" i="6" s="1"/>
  <c r="T252" i="6" s="1"/>
  <c r="V251" i="6"/>
  <c r="Y251" i="6" s="1"/>
  <c r="S252" i="6" s="1"/>
  <c r="R148" i="6" l="1"/>
  <c r="AA147" i="6"/>
  <c r="W252" i="6"/>
  <c r="Z252" i="6" s="1"/>
  <c r="T253" i="6" s="1"/>
  <c r="V252" i="6"/>
  <c r="Y252" i="6" s="1"/>
  <c r="S253" i="6" s="1"/>
  <c r="U148" i="6" l="1"/>
  <c r="W253" i="6"/>
  <c r="Z253" i="6" s="1"/>
  <c r="T254" i="6" s="1"/>
  <c r="V253" i="6"/>
  <c r="Y253" i="6" s="1"/>
  <c r="S254" i="6" s="1"/>
  <c r="P148" i="6" l="1"/>
  <c r="Q148" i="6" s="1"/>
  <c r="O149" i="6" s="1"/>
  <c r="X148" i="6"/>
  <c r="W254" i="6"/>
  <c r="Z254" i="6" s="1"/>
  <c r="T255" i="6" s="1"/>
  <c r="V254" i="6"/>
  <c r="Y254" i="6" s="1"/>
  <c r="S255" i="6" s="1"/>
  <c r="R149" i="6" l="1"/>
  <c r="AA148" i="6"/>
  <c r="W255" i="6"/>
  <c r="Z255" i="6" s="1"/>
  <c r="T256" i="6" s="1"/>
  <c r="V255" i="6"/>
  <c r="Y255" i="6" s="1"/>
  <c r="S256" i="6" s="1"/>
  <c r="U149" i="6" l="1"/>
  <c r="W256" i="6"/>
  <c r="Z256" i="6" s="1"/>
  <c r="T257" i="6" s="1"/>
  <c r="V256" i="6"/>
  <c r="Y256" i="6" s="1"/>
  <c r="S257" i="6" s="1"/>
  <c r="P149" i="6" l="1"/>
  <c r="Q149" i="6" s="1"/>
  <c r="O150" i="6" s="1"/>
  <c r="X149" i="6"/>
  <c r="W257" i="6"/>
  <c r="Z257" i="6" s="1"/>
  <c r="T258" i="6" s="1"/>
  <c r="V257" i="6"/>
  <c r="Y257" i="6" s="1"/>
  <c r="S258" i="6" s="1"/>
  <c r="AA149" i="6" l="1"/>
  <c r="R150" i="6"/>
  <c r="W258" i="6"/>
  <c r="Z258" i="6" s="1"/>
  <c r="T259" i="6" s="1"/>
  <c r="V258" i="6"/>
  <c r="Y258" i="6" s="1"/>
  <c r="S259" i="6" s="1"/>
  <c r="U150" i="6" l="1"/>
  <c r="W259" i="6"/>
  <c r="Z259" i="6" s="1"/>
  <c r="T260" i="6" s="1"/>
  <c r="V259" i="6"/>
  <c r="Y259" i="6" s="1"/>
  <c r="S260" i="6" s="1"/>
  <c r="P150" i="6" l="1"/>
  <c r="Q150" i="6" s="1"/>
  <c r="O151" i="6" s="1"/>
  <c r="X150" i="6"/>
  <c r="W260" i="6"/>
  <c r="Z260" i="6" s="1"/>
  <c r="T261" i="6" s="1"/>
  <c r="V260" i="6"/>
  <c r="Y260" i="6" s="1"/>
  <c r="S261" i="6" s="1"/>
  <c r="R151" i="6" l="1"/>
  <c r="AA150" i="6"/>
  <c r="W261" i="6"/>
  <c r="Z261" i="6" s="1"/>
  <c r="T262" i="6" s="1"/>
  <c r="V261" i="6"/>
  <c r="Y261" i="6" s="1"/>
  <c r="S262" i="6" s="1"/>
  <c r="U151" i="6" l="1"/>
  <c r="W262" i="6"/>
  <c r="Z262" i="6" s="1"/>
  <c r="T263" i="6" s="1"/>
  <c r="V262" i="6"/>
  <c r="Y262" i="6" s="1"/>
  <c r="S263" i="6" s="1"/>
  <c r="P151" i="6" l="1"/>
  <c r="Q151" i="6" s="1"/>
  <c r="O152" i="6" s="1"/>
  <c r="X151" i="6"/>
  <c r="W263" i="6"/>
  <c r="Z263" i="6" s="1"/>
  <c r="T264" i="6" s="1"/>
  <c r="V263" i="6"/>
  <c r="Y263" i="6" s="1"/>
  <c r="S264" i="6" s="1"/>
  <c r="AA151" i="6" l="1"/>
  <c r="R152" i="6"/>
  <c r="W264" i="6"/>
  <c r="Z264" i="6" s="1"/>
  <c r="T265" i="6" s="1"/>
  <c r="V264" i="6"/>
  <c r="Y264" i="6" s="1"/>
  <c r="S265" i="6" s="1"/>
  <c r="X152" i="6" l="1"/>
  <c r="U152" i="6"/>
  <c r="P152" i="6" s="1"/>
  <c r="Q152" i="6" s="1"/>
  <c r="O153" i="6" s="1"/>
  <c r="W265" i="6"/>
  <c r="Z265" i="6" s="1"/>
  <c r="T266" i="6" s="1"/>
  <c r="V265" i="6"/>
  <c r="Y265" i="6" s="1"/>
  <c r="S266" i="6" s="1"/>
  <c r="AA152" i="6" l="1"/>
  <c r="R153" i="6"/>
  <c r="W266" i="6"/>
  <c r="Z266" i="6" s="1"/>
  <c r="T267" i="6" s="1"/>
  <c r="V266" i="6"/>
  <c r="Y266" i="6" s="1"/>
  <c r="S267" i="6" s="1"/>
  <c r="X153" i="6" l="1"/>
  <c r="U153" i="6"/>
  <c r="P153" i="6" s="1"/>
  <c r="Q153" i="6" s="1"/>
  <c r="O154" i="6" s="1"/>
  <c r="W267" i="6"/>
  <c r="Z267" i="6" s="1"/>
  <c r="T268" i="6" s="1"/>
  <c r="V267" i="6"/>
  <c r="Y267" i="6" s="1"/>
  <c r="S268" i="6" s="1"/>
  <c r="R154" i="6" l="1"/>
  <c r="AA153" i="6"/>
  <c r="W268" i="6"/>
  <c r="Z268" i="6" s="1"/>
  <c r="T269" i="6" s="1"/>
  <c r="V268" i="6"/>
  <c r="Y268" i="6" s="1"/>
  <c r="S269" i="6" s="1"/>
  <c r="X154" i="6" l="1"/>
  <c r="U154" i="6"/>
  <c r="P154" i="6" s="1"/>
  <c r="Q154" i="6" s="1"/>
  <c r="O155" i="6" s="1"/>
  <c r="W269" i="6"/>
  <c r="Z269" i="6" s="1"/>
  <c r="T270" i="6" s="1"/>
  <c r="V269" i="6"/>
  <c r="Y269" i="6" s="1"/>
  <c r="S270" i="6" s="1"/>
  <c r="R155" i="6" l="1"/>
  <c r="AA154" i="6"/>
  <c r="W270" i="6"/>
  <c r="Z270" i="6" s="1"/>
  <c r="T271" i="6" s="1"/>
  <c r="V270" i="6"/>
  <c r="Y270" i="6" s="1"/>
  <c r="S271" i="6" s="1"/>
  <c r="X155" i="6" l="1"/>
  <c r="U155" i="6"/>
  <c r="P155" i="6" s="1"/>
  <c r="Q155" i="6" s="1"/>
  <c r="O156" i="6" s="1"/>
  <c r="W271" i="6"/>
  <c r="Z271" i="6" s="1"/>
  <c r="T272" i="6" s="1"/>
  <c r="V271" i="6"/>
  <c r="Y271" i="6" s="1"/>
  <c r="S272" i="6" s="1"/>
  <c r="R156" i="6" l="1"/>
  <c r="AA155" i="6"/>
  <c r="W272" i="6"/>
  <c r="Z272" i="6" s="1"/>
  <c r="T273" i="6" s="1"/>
  <c r="V272" i="6"/>
  <c r="Y272" i="6" s="1"/>
  <c r="S273" i="6" s="1"/>
  <c r="X156" i="6" l="1"/>
  <c r="U156" i="6"/>
  <c r="P156" i="6" s="1"/>
  <c r="Q156" i="6" s="1"/>
  <c r="O157" i="6" s="1"/>
  <c r="W273" i="6"/>
  <c r="Z273" i="6" s="1"/>
  <c r="T274" i="6" s="1"/>
  <c r="V273" i="6"/>
  <c r="Y273" i="6" s="1"/>
  <c r="S274" i="6" s="1"/>
  <c r="R157" i="6" l="1"/>
  <c r="AA156" i="6"/>
  <c r="W274" i="6"/>
  <c r="Z274" i="6" s="1"/>
  <c r="T275" i="6" s="1"/>
  <c r="V274" i="6"/>
  <c r="Y274" i="6" s="1"/>
  <c r="S275" i="6" s="1"/>
  <c r="X157" i="6" l="1"/>
  <c r="U157" i="6"/>
  <c r="P157" i="6" s="1"/>
  <c r="Q157" i="6" s="1"/>
  <c r="O158" i="6" s="1"/>
  <c r="W275" i="6"/>
  <c r="Z275" i="6" s="1"/>
  <c r="T276" i="6" s="1"/>
  <c r="V275" i="6"/>
  <c r="Y275" i="6" s="1"/>
  <c r="S276" i="6" s="1"/>
  <c r="AA157" i="6" l="1"/>
  <c r="R158" i="6"/>
  <c r="W276" i="6"/>
  <c r="Z276" i="6" s="1"/>
  <c r="T277" i="6" s="1"/>
  <c r="V276" i="6"/>
  <c r="Y276" i="6" s="1"/>
  <c r="S277" i="6" s="1"/>
  <c r="U158" i="6" l="1"/>
  <c r="W277" i="6"/>
  <c r="Z277" i="6" s="1"/>
  <c r="T278" i="6" s="1"/>
  <c r="V277" i="6"/>
  <c r="Y277" i="6" s="1"/>
  <c r="S278" i="6" s="1"/>
  <c r="P158" i="6" l="1"/>
  <c r="Q158" i="6" s="1"/>
  <c r="O159" i="6" s="1"/>
  <c r="X158" i="6"/>
  <c r="W278" i="6"/>
  <c r="Z278" i="6" s="1"/>
  <c r="T279" i="6" s="1"/>
  <c r="V278" i="6"/>
  <c r="Y278" i="6" s="1"/>
  <c r="S279" i="6" s="1"/>
  <c r="AA158" i="6" l="1"/>
  <c r="R159" i="6"/>
  <c r="W279" i="6"/>
  <c r="Z279" i="6" s="1"/>
  <c r="T280" i="6" s="1"/>
  <c r="V279" i="6"/>
  <c r="Y279" i="6" s="1"/>
  <c r="S280" i="6" s="1"/>
  <c r="U159" i="6" l="1"/>
  <c r="W280" i="6"/>
  <c r="Z280" i="6" s="1"/>
  <c r="T281" i="6" s="1"/>
  <c r="V280" i="6"/>
  <c r="Y280" i="6" s="1"/>
  <c r="S281" i="6" s="1"/>
  <c r="P159" i="6" l="1"/>
  <c r="Q159" i="6" s="1"/>
  <c r="O160" i="6" s="1"/>
  <c r="X159" i="6"/>
  <c r="W281" i="6"/>
  <c r="Z281" i="6" s="1"/>
  <c r="T282" i="6" s="1"/>
  <c r="V281" i="6"/>
  <c r="Y281" i="6" s="1"/>
  <c r="S282" i="6" s="1"/>
  <c r="R160" i="6" l="1"/>
  <c r="AA159" i="6"/>
  <c r="W282" i="6"/>
  <c r="Z282" i="6" s="1"/>
  <c r="T283" i="6" s="1"/>
  <c r="V282" i="6"/>
  <c r="Y282" i="6" s="1"/>
  <c r="S283" i="6" s="1"/>
  <c r="U160" i="6" l="1"/>
  <c r="W283" i="6"/>
  <c r="Z283" i="6" s="1"/>
  <c r="T284" i="6" s="1"/>
  <c r="V283" i="6"/>
  <c r="Y283" i="6" s="1"/>
  <c r="S284" i="6" s="1"/>
  <c r="P160" i="6" l="1"/>
  <c r="Q160" i="6" s="1"/>
  <c r="O161" i="6" s="1"/>
  <c r="X160" i="6"/>
  <c r="W284" i="6"/>
  <c r="Z284" i="6" s="1"/>
  <c r="T285" i="6" s="1"/>
  <c r="V284" i="6"/>
  <c r="Y284" i="6" s="1"/>
  <c r="S285" i="6" s="1"/>
  <c r="AA160" i="6" l="1"/>
  <c r="R161" i="6"/>
  <c r="W285" i="6"/>
  <c r="Z285" i="6" s="1"/>
  <c r="T286" i="6" s="1"/>
  <c r="V285" i="6"/>
  <c r="Y285" i="6" s="1"/>
  <c r="S286" i="6" s="1"/>
  <c r="U161" i="6" l="1"/>
  <c r="W286" i="6"/>
  <c r="Z286" i="6" s="1"/>
  <c r="T287" i="6" s="1"/>
  <c r="V286" i="6"/>
  <c r="Y286" i="6" s="1"/>
  <c r="S287" i="6" s="1"/>
  <c r="P161" i="6" l="1"/>
  <c r="Q161" i="6" s="1"/>
  <c r="O162" i="6" s="1"/>
  <c r="X161" i="6"/>
  <c r="W287" i="6"/>
  <c r="Z287" i="6" s="1"/>
  <c r="T288" i="6" s="1"/>
  <c r="V287" i="6"/>
  <c r="Y287" i="6" s="1"/>
  <c r="S288" i="6" s="1"/>
  <c r="AA161" i="6" l="1"/>
  <c r="R162" i="6"/>
  <c r="W288" i="6"/>
  <c r="Z288" i="6" s="1"/>
  <c r="T289" i="6" s="1"/>
  <c r="V288" i="6"/>
  <c r="Y288" i="6" s="1"/>
  <c r="S289" i="6" s="1"/>
  <c r="U162" i="6" l="1"/>
  <c r="W289" i="6"/>
  <c r="Z289" i="6" s="1"/>
  <c r="T290" i="6" s="1"/>
  <c r="V289" i="6"/>
  <c r="Y289" i="6" s="1"/>
  <c r="S290" i="6" s="1"/>
  <c r="P162" i="6" l="1"/>
  <c r="Q162" i="6" s="1"/>
  <c r="O163" i="6" s="1"/>
  <c r="X162" i="6"/>
  <c r="W290" i="6"/>
  <c r="Z290" i="6" s="1"/>
  <c r="T291" i="6" s="1"/>
  <c r="V290" i="6"/>
  <c r="Y290" i="6" s="1"/>
  <c r="S291" i="6" s="1"/>
  <c r="AA162" i="6" l="1"/>
  <c r="R163" i="6"/>
  <c r="W291" i="6"/>
  <c r="Z291" i="6" s="1"/>
  <c r="T292" i="6" s="1"/>
  <c r="V291" i="6"/>
  <c r="Y291" i="6" s="1"/>
  <c r="S292" i="6" s="1"/>
  <c r="U163" i="6" l="1"/>
  <c r="W292" i="6"/>
  <c r="Z292" i="6" s="1"/>
  <c r="T293" i="6" s="1"/>
  <c r="V292" i="6"/>
  <c r="Y292" i="6" s="1"/>
  <c r="S293" i="6" s="1"/>
  <c r="P163" i="6" l="1"/>
  <c r="Q163" i="6" s="1"/>
  <c r="O164" i="6" s="1"/>
  <c r="X163" i="6"/>
  <c r="W293" i="6"/>
  <c r="Z293" i="6" s="1"/>
  <c r="T294" i="6" s="1"/>
  <c r="V293" i="6"/>
  <c r="Y293" i="6" s="1"/>
  <c r="S294" i="6" s="1"/>
  <c r="AA163" i="6" l="1"/>
  <c r="R164" i="6"/>
  <c r="W294" i="6"/>
  <c r="Z294" i="6" s="1"/>
  <c r="T295" i="6" s="1"/>
  <c r="V294" i="6"/>
  <c r="Y294" i="6" s="1"/>
  <c r="S295" i="6" s="1"/>
  <c r="U164" i="6" l="1"/>
  <c r="W295" i="6"/>
  <c r="Z295" i="6" s="1"/>
  <c r="T296" i="6" s="1"/>
  <c r="V295" i="6"/>
  <c r="Y295" i="6" s="1"/>
  <c r="S296" i="6" s="1"/>
  <c r="P164" i="6" l="1"/>
  <c r="Q164" i="6" s="1"/>
  <c r="O165" i="6" s="1"/>
  <c r="X164" i="6"/>
  <c r="W296" i="6"/>
  <c r="Z296" i="6" s="1"/>
  <c r="T297" i="6" s="1"/>
  <c r="V296" i="6"/>
  <c r="Y296" i="6" s="1"/>
  <c r="S297" i="6" s="1"/>
  <c r="R165" i="6" l="1"/>
  <c r="AA164" i="6"/>
  <c r="W297" i="6"/>
  <c r="Z297" i="6" s="1"/>
  <c r="T298" i="6" s="1"/>
  <c r="V297" i="6"/>
  <c r="Y297" i="6" s="1"/>
  <c r="S298" i="6" s="1"/>
  <c r="U165" i="6" l="1"/>
  <c r="W298" i="6"/>
  <c r="Z298" i="6" s="1"/>
  <c r="T299" i="6" s="1"/>
  <c r="V298" i="6"/>
  <c r="Y298" i="6"/>
  <c r="S299" i="6" s="1"/>
  <c r="P165" i="6" l="1"/>
  <c r="Q165" i="6" s="1"/>
  <c r="O166" i="6" s="1"/>
  <c r="X165" i="6"/>
  <c r="W299" i="6"/>
  <c r="Z299" i="6" s="1"/>
  <c r="T300" i="6" s="1"/>
  <c r="V299" i="6"/>
  <c r="Y299" i="6" s="1"/>
  <c r="S300" i="6" s="1"/>
  <c r="AA165" i="6" l="1"/>
  <c r="R166" i="6"/>
  <c r="W300" i="6"/>
  <c r="Z300" i="6" s="1"/>
  <c r="T301" i="6" s="1"/>
  <c r="V300" i="6"/>
  <c r="Y300" i="6" s="1"/>
  <c r="S301" i="6" s="1"/>
  <c r="U166" i="6" l="1"/>
  <c r="W301" i="6"/>
  <c r="Z301" i="6" s="1"/>
  <c r="T302" i="6" s="1"/>
  <c r="V301" i="6"/>
  <c r="Y301" i="6" s="1"/>
  <c r="S302" i="6" s="1"/>
  <c r="P166" i="6" l="1"/>
  <c r="Q166" i="6" s="1"/>
  <c r="O167" i="6" s="1"/>
  <c r="X166" i="6"/>
  <c r="W302" i="6"/>
  <c r="Z302" i="6" s="1"/>
  <c r="T303" i="6" s="1"/>
  <c r="V302" i="6"/>
  <c r="Y302" i="6" s="1"/>
  <c r="S303" i="6" s="1"/>
  <c r="AA166" i="6" l="1"/>
  <c r="R167" i="6"/>
  <c r="W303" i="6"/>
  <c r="Z303" i="6" s="1"/>
  <c r="T304" i="6" s="1"/>
  <c r="V303" i="6"/>
  <c r="Y303" i="6" s="1"/>
  <c r="S304" i="6" s="1"/>
  <c r="X167" i="6" l="1"/>
  <c r="U167" i="6"/>
  <c r="P167" i="6" s="1"/>
  <c r="Q167" i="6" s="1"/>
  <c r="O168" i="6" s="1"/>
  <c r="W304" i="6"/>
  <c r="Z304" i="6" s="1"/>
  <c r="T305" i="6" s="1"/>
  <c r="V304" i="6"/>
  <c r="Y304" i="6" s="1"/>
  <c r="S305" i="6" s="1"/>
  <c r="AA167" i="6" l="1"/>
  <c r="R168" i="6"/>
  <c r="W305" i="6"/>
  <c r="Z305" i="6" s="1"/>
  <c r="T306" i="6" s="1"/>
  <c r="V305" i="6"/>
  <c r="Y305" i="6" s="1"/>
  <c r="S306" i="6" s="1"/>
  <c r="X168" i="6" l="1"/>
  <c r="U168" i="6"/>
  <c r="P168" i="6" s="1"/>
  <c r="Q168" i="6" s="1"/>
  <c r="O169" i="6" s="1"/>
  <c r="W306" i="6"/>
  <c r="Z306" i="6" s="1"/>
  <c r="T307" i="6" s="1"/>
  <c r="V306" i="6"/>
  <c r="Y306" i="6" s="1"/>
  <c r="S307" i="6" s="1"/>
  <c r="R169" i="6" l="1"/>
  <c r="AA168" i="6"/>
  <c r="W307" i="6"/>
  <c r="Z307" i="6" s="1"/>
  <c r="T308" i="6" s="1"/>
  <c r="V307" i="6"/>
  <c r="Y307" i="6" s="1"/>
  <c r="S308" i="6" s="1"/>
  <c r="U169" i="6" l="1"/>
  <c r="W308" i="6"/>
  <c r="Z308" i="6" s="1"/>
  <c r="T309" i="6" s="1"/>
  <c r="V308" i="6"/>
  <c r="Y308" i="6" s="1"/>
  <c r="S309" i="6" s="1"/>
  <c r="P169" i="6" l="1"/>
  <c r="Q169" i="6" s="1"/>
  <c r="O170" i="6" s="1"/>
  <c r="X169" i="6"/>
  <c r="W309" i="6"/>
  <c r="Z309" i="6" s="1"/>
  <c r="T310" i="6" s="1"/>
  <c r="V309" i="6"/>
  <c r="Y309" i="6" s="1"/>
  <c r="S310" i="6" s="1"/>
  <c r="R170" i="6" l="1"/>
  <c r="AA169" i="6"/>
  <c r="W310" i="6"/>
  <c r="Z310" i="6" s="1"/>
  <c r="T311" i="6" s="1"/>
  <c r="V310" i="6"/>
  <c r="Y310" i="6" s="1"/>
  <c r="S311" i="6" s="1"/>
  <c r="X170" i="6" l="1"/>
  <c r="U170" i="6"/>
  <c r="P170" i="6" s="1"/>
  <c r="Q170" i="6" s="1"/>
  <c r="O171" i="6" s="1"/>
  <c r="W311" i="6"/>
  <c r="Z311" i="6" s="1"/>
  <c r="T312" i="6" s="1"/>
  <c r="V311" i="6"/>
  <c r="Y311" i="6" s="1"/>
  <c r="S312" i="6" s="1"/>
  <c r="R171" i="6" l="1"/>
  <c r="AA170" i="6"/>
  <c r="W312" i="6"/>
  <c r="Z312" i="6" s="1"/>
  <c r="T313" i="6" s="1"/>
  <c r="V312" i="6"/>
  <c r="Y312" i="6" s="1"/>
  <c r="S313" i="6" s="1"/>
  <c r="U171" i="6" l="1"/>
  <c r="W313" i="6"/>
  <c r="Z313" i="6" s="1"/>
  <c r="T314" i="6" s="1"/>
  <c r="V313" i="6"/>
  <c r="Y313" i="6" s="1"/>
  <c r="S314" i="6" s="1"/>
  <c r="P171" i="6" l="1"/>
  <c r="Q171" i="6" s="1"/>
  <c r="O172" i="6" s="1"/>
  <c r="X171" i="6"/>
  <c r="W314" i="6"/>
  <c r="Z314" i="6" s="1"/>
  <c r="T315" i="6" s="1"/>
  <c r="V314" i="6"/>
  <c r="Y314" i="6" s="1"/>
  <c r="S315" i="6" s="1"/>
  <c r="AA171" i="6" l="1"/>
  <c r="R172" i="6"/>
  <c r="W315" i="6"/>
  <c r="Z315" i="6" s="1"/>
  <c r="T316" i="6" s="1"/>
  <c r="V315" i="6"/>
  <c r="Y315" i="6" s="1"/>
  <c r="S316" i="6" s="1"/>
  <c r="U172" i="6" l="1"/>
  <c r="W316" i="6"/>
  <c r="Z316" i="6" s="1"/>
  <c r="T317" i="6" s="1"/>
  <c r="V316" i="6"/>
  <c r="Y316" i="6" s="1"/>
  <c r="S317" i="6" s="1"/>
  <c r="P172" i="6" l="1"/>
  <c r="Q172" i="6" s="1"/>
  <c r="O173" i="6" s="1"/>
  <c r="X172" i="6"/>
  <c r="W317" i="6"/>
  <c r="Z317" i="6" s="1"/>
  <c r="T318" i="6" s="1"/>
  <c r="V317" i="6"/>
  <c r="Y317" i="6" s="1"/>
  <c r="S318" i="6" s="1"/>
  <c r="AA172" i="6" l="1"/>
  <c r="R173" i="6"/>
  <c r="W318" i="6"/>
  <c r="Z318" i="6" s="1"/>
  <c r="T319" i="6" s="1"/>
  <c r="V318" i="6"/>
  <c r="Y318" i="6" s="1"/>
  <c r="S319" i="6" s="1"/>
  <c r="U173" i="6" l="1"/>
  <c r="W319" i="6"/>
  <c r="Z319" i="6" s="1"/>
  <c r="T320" i="6" s="1"/>
  <c r="V319" i="6"/>
  <c r="Y319" i="6" s="1"/>
  <c r="S320" i="6" s="1"/>
  <c r="P173" i="6" l="1"/>
  <c r="Q173" i="6" s="1"/>
  <c r="O174" i="6" s="1"/>
  <c r="X173" i="6"/>
  <c r="W320" i="6"/>
  <c r="Z320" i="6" s="1"/>
  <c r="T321" i="6" s="1"/>
  <c r="V320" i="6"/>
  <c r="Y320" i="6" s="1"/>
  <c r="S321" i="6" s="1"/>
  <c r="R174" i="6" l="1"/>
  <c r="AA173" i="6"/>
  <c r="W321" i="6"/>
  <c r="Z321" i="6" s="1"/>
  <c r="T322" i="6" s="1"/>
  <c r="V321" i="6"/>
  <c r="Y321" i="6" s="1"/>
  <c r="S322" i="6" s="1"/>
  <c r="X174" i="6" l="1"/>
  <c r="U174" i="6"/>
  <c r="P174" i="6" s="1"/>
  <c r="Q174" i="6" s="1"/>
  <c r="O175" i="6" s="1"/>
  <c r="W322" i="6"/>
  <c r="Z322" i="6" s="1"/>
  <c r="T323" i="6" s="1"/>
  <c r="V322" i="6"/>
  <c r="Y322" i="6" s="1"/>
  <c r="S323" i="6" s="1"/>
  <c r="AA174" i="6" l="1"/>
  <c r="R175" i="6"/>
  <c r="W323" i="6"/>
  <c r="Z323" i="6" s="1"/>
  <c r="T324" i="6" s="1"/>
  <c r="V323" i="6"/>
  <c r="Y323" i="6" s="1"/>
  <c r="S324" i="6" s="1"/>
  <c r="U175" i="6" l="1"/>
  <c r="W324" i="6"/>
  <c r="Z324" i="6" s="1"/>
  <c r="T325" i="6" s="1"/>
  <c r="V324" i="6"/>
  <c r="Y324" i="6" s="1"/>
  <c r="S325" i="6" s="1"/>
  <c r="P175" i="6" l="1"/>
  <c r="Q175" i="6" s="1"/>
  <c r="O176" i="6" s="1"/>
  <c r="X175" i="6"/>
  <c r="W325" i="6"/>
  <c r="Z325" i="6" s="1"/>
  <c r="T326" i="6" s="1"/>
  <c r="V325" i="6"/>
  <c r="Y325" i="6" s="1"/>
  <c r="S326" i="6" s="1"/>
  <c r="R176" i="6" l="1"/>
  <c r="AA175" i="6"/>
  <c r="W326" i="6"/>
  <c r="Z326" i="6" s="1"/>
  <c r="T327" i="6" s="1"/>
  <c r="V326" i="6"/>
  <c r="Y326" i="6" s="1"/>
  <c r="S327" i="6" s="1"/>
  <c r="U176" i="6" l="1"/>
  <c r="W327" i="6"/>
  <c r="Z327" i="6" s="1"/>
  <c r="T328" i="6" s="1"/>
  <c r="V327" i="6"/>
  <c r="Y327" i="6" s="1"/>
  <c r="S328" i="6" s="1"/>
  <c r="P176" i="6" l="1"/>
  <c r="Q176" i="6" s="1"/>
  <c r="O177" i="6" s="1"/>
  <c r="X176" i="6"/>
  <c r="W328" i="6"/>
  <c r="Z328" i="6" s="1"/>
  <c r="T329" i="6" s="1"/>
  <c r="V328" i="6"/>
  <c r="Y328" i="6" s="1"/>
  <c r="S329" i="6" s="1"/>
  <c r="R177" i="6" l="1"/>
  <c r="AA176" i="6"/>
  <c r="W329" i="6"/>
  <c r="Z329" i="6" s="1"/>
  <c r="T330" i="6" s="1"/>
  <c r="V329" i="6"/>
  <c r="Y329" i="6" s="1"/>
  <c r="S330" i="6" s="1"/>
  <c r="U177" i="6" l="1"/>
  <c r="W330" i="6"/>
  <c r="Z330" i="6" s="1"/>
  <c r="T331" i="6" s="1"/>
  <c r="V330" i="6"/>
  <c r="Y330" i="6" s="1"/>
  <c r="S331" i="6" s="1"/>
  <c r="P177" i="6" l="1"/>
  <c r="Q177" i="6" s="1"/>
  <c r="O178" i="6" s="1"/>
  <c r="X177" i="6"/>
  <c r="W331" i="6"/>
  <c r="Z331" i="6" s="1"/>
  <c r="T332" i="6" s="1"/>
  <c r="V331" i="6"/>
  <c r="Y331" i="6" s="1"/>
  <c r="S332" i="6" s="1"/>
  <c r="AA177" i="6" l="1"/>
  <c r="R178" i="6"/>
  <c r="W332" i="6"/>
  <c r="Z332" i="6" s="1"/>
  <c r="T333" i="6" s="1"/>
  <c r="V332" i="6"/>
  <c r="Y332" i="6" s="1"/>
  <c r="S333" i="6" s="1"/>
  <c r="X178" i="6" l="1"/>
  <c r="U178" i="6"/>
  <c r="P178" i="6" s="1"/>
  <c r="Q178" i="6" s="1"/>
  <c r="O179" i="6" s="1"/>
  <c r="W333" i="6"/>
  <c r="Z333" i="6" s="1"/>
  <c r="T334" i="6" s="1"/>
  <c r="V333" i="6"/>
  <c r="Y333" i="6" s="1"/>
  <c r="S334" i="6" s="1"/>
  <c r="R179" i="6" l="1"/>
  <c r="AA178" i="6"/>
  <c r="W334" i="6"/>
  <c r="Z334" i="6" s="1"/>
  <c r="T335" i="6" s="1"/>
  <c r="V334" i="6"/>
  <c r="Y334" i="6" s="1"/>
  <c r="S335" i="6" s="1"/>
  <c r="X179" i="6" l="1"/>
  <c r="U179" i="6"/>
  <c r="P179" i="6" s="1"/>
  <c r="Q179" i="6" s="1"/>
  <c r="O180" i="6" s="1"/>
  <c r="Z335" i="6"/>
  <c r="T336" i="6" s="1"/>
  <c r="W335" i="6"/>
  <c r="V335" i="6"/>
  <c r="Y335" i="6" s="1"/>
  <c r="S336" i="6" s="1"/>
  <c r="AA179" i="6" l="1"/>
  <c r="R180" i="6"/>
  <c r="W336" i="6"/>
  <c r="Z336" i="6" s="1"/>
  <c r="T337" i="6" s="1"/>
  <c r="V336" i="6"/>
  <c r="Y336" i="6" s="1"/>
  <c r="S337" i="6" s="1"/>
  <c r="X180" i="6" l="1"/>
  <c r="U180" i="6"/>
  <c r="P180" i="6" s="1"/>
  <c r="Q180" i="6" s="1"/>
  <c r="O181" i="6" s="1"/>
  <c r="W337" i="6"/>
  <c r="Z337" i="6" s="1"/>
  <c r="T338" i="6" s="1"/>
  <c r="V337" i="6"/>
  <c r="Y337" i="6" s="1"/>
  <c r="S338" i="6" s="1"/>
  <c r="AA180" i="6" l="1"/>
  <c r="R181" i="6"/>
  <c r="W338" i="6"/>
  <c r="Z338" i="6" s="1"/>
  <c r="T339" i="6" s="1"/>
  <c r="V338" i="6"/>
  <c r="Y338" i="6" s="1"/>
  <c r="S339" i="6" s="1"/>
  <c r="X181" i="6" l="1"/>
  <c r="U181" i="6"/>
  <c r="P181" i="6" s="1"/>
  <c r="Q181" i="6" s="1"/>
  <c r="O182" i="6" s="1"/>
  <c r="W339" i="6"/>
  <c r="Z339" i="6" s="1"/>
  <c r="T340" i="6" s="1"/>
  <c r="V339" i="6"/>
  <c r="Y339" i="6" s="1"/>
  <c r="S340" i="6" s="1"/>
  <c r="R182" i="6" l="1"/>
  <c r="AA181" i="6"/>
  <c r="W340" i="6"/>
  <c r="Z340" i="6" s="1"/>
  <c r="T341" i="6" s="1"/>
  <c r="V340" i="6"/>
  <c r="Y340" i="6" s="1"/>
  <c r="S341" i="6" s="1"/>
  <c r="U182" i="6" l="1"/>
  <c r="W341" i="6"/>
  <c r="Z341" i="6" s="1"/>
  <c r="T342" i="6" s="1"/>
  <c r="V341" i="6"/>
  <c r="Y341" i="6" s="1"/>
  <c r="S342" i="6" s="1"/>
  <c r="P182" i="6" l="1"/>
  <c r="Q182" i="6" s="1"/>
  <c r="O183" i="6" s="1"/>
  <c r="X182" i="6"/>
  <c r="W342" i="6"/>
  <c r="Z342" i="6" s="1"/>
  <c r="T343" i="6" s="1"/>
  <c r="V342" i="6"/>
  <c r="Y342" i="6" s="1"/>
  <c r="S343" i="6" s="1"/>
  <c r="R183" i="6" l="1"/>
  <c r="AA182" i="6"/>
  <c r="W343" i="6"/>
  <c r="Z343" i="6" s="1"/>
  <c r="T344" i="6" s="1"/>
  <c r="V343" i="6"/>
  <c r="Y343" i="6" s="1"/>
  <c r="S344" i="6" s="1"/>
  <c r="U183" i="6" l="1"/>
  <c r="W344" i="6"/>
  <c r="Z344" i="6" s="1"/>
  <c r="T345" i="6" s="1"/>
  <c r="V344" i="6"/>
  <c r="Y344" i="6" s="1"/>
  <c r="S345" i="6" s="1"/>
  <c r="P183" i="6" l="1"/>
  <c r="Q183" i="6" s="1"/>
  <c r="O184" i="6" s="1"/>
  <c r="X183" i="6"/>
  <c r="W345" i="6"/>
  <c r="Z345" i="6" s="1"/>
  <c r="T346" i="6" s="1"/>
  <c r="V345" i="6"/>
  <c r="Y345" i="6" s="1"/>
  <c r="S346" i="6" s="1"/>
  <c r="AA183" i="6" l="1"/>
  <c r="R184" i="6"/>
  <c r="W346" i="6"/>
  <c r="Z346" i="6" s="1"/>
  <c r="T347" i="6" s="1"/>
  <c r="V346" i="6"/>
  <c r="Y346" i="6" s="1"/>
  <c r="S347" i="6" s="1"/>
  <c r="X184" i="6" l="1"/>
  <c r="U184" i="6"/>
  <c r="P184" i="6" s="1"/>
  <c r="Q184" i="6" s="1"/>
  <c r="O185" i="6" s="1"/>
  <c r="W347" i="6"/>
  <c r="Z347" i="6" s="1"/>
  <c r="T348" i="6" s="1"/>
  <c r="V347" i="6"/>
  <c r="Y347" i="6" s="1"/>
  <c r="S348" i="6" s="1"/>
  <c r="R185" i="6" l="1"/>
  <c r="AA184" i="6"/>
  <c r="W348" i="6"/>
  <c r="Z348" i="6" s="1"/>
  <c r="T349" i="6" s="1"/>
  <c r="V348" i="6"/>
  <c r="Y348" i="6" s="1"/>
  <c r="S349" i="6" s="1"/>
  <c r="U185" i="6" l="1"/>
  <c r="W349" i="6"/>
  <c r="Z349" i="6" s="1"/>
  <c r="T350" i="6" s="1"/>
  <c r="V349" i="6"/>
  <c r="Y349" i="6" s="1"/>
  <c r="S350" i="6" s="1"/>
  <c r="P185" i="6" l="1"/>
  <c r="Q185" i="6" s="1"/>
  <c r="O186" i="6" s="1"/>
  <c r="X185" i="6"/>
  <c r="W350" i="6"/>
  <c r="Z350" i="6" s="1"/>
  <c r="T351" i="6" s="1"/>
  <c r="V350" i="6"/>
  <c r="Y350" i="6" s="1"/>
  <c r="S351" i="6" s="1"/>
  <c r="R186" i="6" l="1"/>
  <c r="AA185" i="6"/>
  <c r="W351" i="6"/>
  <c r="Z351" i="6" s="1"/>
  <c r="T352" i="6" s="1"/>
  <c r="V351" i="6"/>
  <c r="Y351" i="6" s="1"/>
  <c r="S352" i="6" s="1"/>
  <c r="X186" i="6" l="1"/>
  <c r="U186" i="6"/>
  <c r="P186" i="6" s="1"/>
  <c r="Q186" i="6" s="1"/>
  <c r="O187" i="6" s="1"/>
  <c r="W352" i="6"/>
  <c r="Z352" i="6" s="1"/>
  <c r="T353" i="6" s="1"/>
  <c r="V352" i="6"/>
  <c r="Y352" i="6" s="1"/>
  <c r="S353" i="6" s="1"/>
  <c r="R187" i="6" l="1"/>
  <c r="AA186" i="6"/>
  <c r="W353" i="6"/>
  <c r="Z353" i="6" s="1"/>
  <c r="T354" i="6" s="1"/>
  <c r="V353" i="6"/>
  <c r="Y353" i="6" s="1"/>
  <c r="S354" i="6" s="1"/>
  <c r="U187" i="6" l="1"/>
  <c r="W354" i="6"/>
  <c r="Z354" i="6" s="1"/>
  <c r="T355" i="6" s="1"/>
  <c r="V354" i="6"/>
  <c r="Y354" i="6" s="1"/>
  <c r="S355" i="6" s="1"/>
  <c r="P187" i="6" l="1"/>
  <c r="Q187" i="6" s="1"/>
  <c r="O188" i="6" s="1"/>
  <c r="X187" i="6"/>
  <c r="W355" i="6"/>
  <c r="Z355" i="6" s="1"/>
  <c r="T356" i="6" s="1"/>
  <c r="V355" i="6"/>
  <c r="Y355" i="6" s="1"/>
  <c r="S356" i="6" s="1"/>
  <c r="R188" i="6" l="1"/>
  <c r="AA187" i="6"/>
  <c r="W356" i="6"/>
  <c r="Z356" i="6" s="1"/>
  <c r="T357" i="6" s="1"/>
  <c r="V356" i="6"/>
  <c r="Y356" i="6" s="1"/>
  <c r="S357" i="6" s="1"/>
  <c r="U188" i="6" l="1"/>
  <c r="W357" i="6"/>
  <c r="Z357" i="6" s="1"/>
  <c r="T358" i="6" s="1"/>
  <c r="V357" i="6"/>
  <c r="Y357" i="6" s="1"/>
  <c r="S358" i="6" s="1"/>
  <c r="P188" i="6" l="1"/>
  <c r="Q188" i="6" s="1"/>
  <c r="O189" i="6" s="1"/>
  <c r="X188" i="6"/>
  <c r="W358" i="6"/>
  <c r="Z358" i="6" s="1"/>
  <c r="T359" i="6" s="1"/>
  <c r="V358" i="6"/>
  <c r="Y358" i="6" s="1"/>
  <c r="S359" i="6" s="1"/>
  <c r="AA188" i="6" l="1"/>
  <c r="R189" i="6"/>
  <c r="W359" i="6"/>
  <c r="Z359" i="6" s="1"/>
  <c r="T360" i="6" s="1"/>
  <c r="V359" i="6"/>
  <c r="Y359" i="6" s="1"/>
  <c r="S360" i="6" s="1"/>
  <c r="U189" i="6" l="1"/>
  <c r="W360" i="6"/>
  <c r="Z360" i="6" s="1"/>
  <c r="T361" i="6" s="1"/>
  <c r="V360" i="6"/>
  <c r="Y360" i="6" s="1"/>
  <c r="S361" i="6" s="1"/>
  <c r="P189" i="6" l="1"/>
  <c r="Q189" i="6" s="1"/>
  <c r="O190" i="6" s="1"/>
  <c r="X189" i="6"/>
  <c r="W361" i="6"/>
  <c r="Z361" i="6" s="1"/>
  <c r="T362" i="6" s="1"/>
  <c r="V361" i="6"/>
  <c r="Y361" i="6" s="1"/>
  <c r="S362" i="6" s="1"/>
  <c r="AA189" i="6" l="1"/>
  <c r="R190" i="6"/>
  <c r="W362" i="6"/>
  <c r="Z362" i="6" s="1"/>
  <c r="T363" i="6" s="1"/>
  <c r="V362" i="6"/>
  <c r="Y362" i="6" s="1"/>
  <c r="S363" i="6" s="1"/>
  <c r="U190" i="6" l="1"/>
  <c r="W363" i="6"/>
  <c r="Z363" i="6" s="1"/>
  <c r="T364" i="6" s="1"/>
  <c r="V363" i="6"/>
  <c r="Y363" i="6" s="1"/>
  <c r="S364" i="6" s="1"/>
  <c r="P190" i="6" l="1"/>
  <c r="Q190" i="6" s="1"/>
  <c r="O191" i="6" s="1"/>
  <c r="X190" i="6"/>
  <c r="W364" i="6"/>
  <c r="Z364" i="6" s="1"/>
  <c r="T365" i="6" s="1"/>
  <c r="V364" i="6"/>
  <c r="Y364" i="6" s="1"/>
  <c r="S365" i="6" s="1"/>
  <c r="AA190" i="6" l="1"/>
  <c r="R191" i="6"/>
  <c r="W365" i="6"/>
  <c r="Z365" i="6" s="1"/>
  <c r="T366" i="6" s="1"/>
  <c r="V365" i="6"/>
  <c r="Y365" i="6" s="1"/>
  <c r="S366" i="6" s="1"/>
  <c r="X191" i="6" l="1"/>
  <c r="U191" i="6"/>
  <c r="P191" i="6" s="1"/>
  <c r="Q191" i="6" s="1"/>
  <c r="O192" i="6" s="1"/>
  <c r="W366" i="6"/>
  <c r="Z366" i="6" s="1"/>
  <c r="T367" i="6" s="1"/>
  <c r="V366" i="6"/>
  <c r="Y366" i="6" s="1"/>
  <c r="S367" i="6" s="1"/>
  <c r="R192" i="6" l="1"/>
  <c r="AA191" i="6"/>
  <c r="W367" i="6"/>
  <c r="Z367" i="6" s="1"/>
  <c r="T368" i="6" s="1"/>
  <c r="V367" i="6"/>
  <c r="Y367" i="6" s="1"/>
  <c r="S368" i="6" s="1"/>
  <c r="U192" i="6" l="1"/>
  <c r="W368" i="6"/>
  <c r="Z368" i="6" s="1"/>
  <c r="T369" i="6" s="1"/>
  <c r="V368" i="6"/>
  <c r="Y368" i="6" s="1"/>
  <c r="S369" i="6" s="1"/>
  <c r="P192" i="6" l="1"/>
  <c r="Q192" i="6" s="1"/>
  <c r="O193" i="6" s="1"/>
  <c r="X192" i="6"/>
  <c r="W369" i="6"/>
  <c r="Z369" i="6" s="1"/>
  <c r="T370" i="6" s="1"/>
  <c r="V369" i="6"/>
  <c r="Y369" i="6" s="1"/>
  <c r="S370" i="6" s="1"/>
  <c r="AA192" i="6" l="1"/>
  <c r="R193" i="6"/>
  <c r="W370" i="6"/>
  <c r="Z370" i="6" s="1"/>
  <c r="T371" i="6" s="1"/>
  <c r="V370" i="6"/>
  <c r="Y370" i="6" s="1"/>
  <c r="S371" i="6" s="1"/>
  <c r="X193" i="6" l="1"/>
  <c r="U193" i="6"/>
  <c r="P193" i="6" s="1"/>
  <c r="Q193" i="6" s="1"/>
  <c r="O194" i="6" s="1"/>
  <c r="W371" i="6"/>
  <c r="Z371" i="6" s="1"/>
  <c r="T372" i="6" s="1"/>
  <c r="V371" i="6"/>
  <c r="Y371" i="6" s="1"/>
  <c r="S372" i="6" s="1"/>
  <c r="R194" i="6" l="1"/>
  <c r="AA193" i="6"/>
  <c r="W372" i="6"/>
  <c r="Z372" i="6" s="1"/>
  <c r="T373" i="6" s="1"/>
  <c r="V372" i="6"/>
  <c r="Y372" i="6" s="1"/>
  <c r="S373" i="6" s="1"/>
  <c r="U194" i="6" l="1"/>
  <c r="W373" i="6"/>
  <c r="Z373" i="6" s="1"/>
  <c r="T374" i="6" s="1"/>
  <c r="V373" i="6"/>
  <c r="Y373" i="6" s="1"/>
  <c r="S374" i="6" s="1"/>
  <c r="P194" i="6" l="1"/>
  <c r="Q194" i="6" s="1"/>
  <c r="O195" i="6" s="1"/>
  <c r="X194" i="6"/>
  <c r="W374" i="6"/>
  <c r="Z374" i="6" s="1"/>
  <c r="T375" i="6" s="1"/>
  <c r="V374" i="6"/>
  <c r="Y374" i="6" s="1"/>
  <c r="S375" i="6" s="1"/>
  <c r="AA194" i="6" l="1"/>
  <c r="R195" i="6"/>
  <c r="W375" i="6"/>
  <c r="Z375" i="6" s="1"/>
  <c r="T376" i="6" s="1"/>
  <c r="V375" i="6"/>
  <c r="Y375" i="6" s="1"/>
  <c r="S376" i="6" s="1"/>
  <c r="U195" i="6" l="1"/>
  <c r="W376" i="6"/>
  <c r="Z376" i="6" s="1"/>
  <c r="T377" i="6" s="1"/>
  <c r="V376" i="6"/>
  <c r="Y376" i="6" s="1"/>
  <c r="S377" i="6" s="1"/>
  <c r="P195" i="6" l="1"/>
  <c r="Q195" i="6" s="1"/>
  <c r="O196" i="6" s="1"/>
  <c r="X195" i="6"/>
  <c r="W377" i="6"/>
  <c r="Z377" i="6" s="1"/>
  <c r="T378" i="6" s="1"/>
  <c r="V377" i="6"/>
  <c r="Y377" i="6" s="1"/>
  <c r="S378" i="6" s="1"/>
  <c r="AA195" i="6" l="1"/>
  <c r="R196" i="6"/>
  <c r="W378" i="6"/>
  <c r="Z378" i="6" s="1"/>
  <c r="T379" i="6" s="1"/>
  <c r="V378" i="6"/>
  <c r="Y378" i="6" s="1"/>
  <c r="S379" i="6" s="1"/>
  <c r="U196" i="6" l="1"/>
  <c r="W379" i="6"/>
  <c r="Z379" i="6" s="1"/>
  <c r="T380" i="6" s="1"/>
  <c r="V379" i="6"/>
  <c r="Y379" i="6" s="1"/>
  <c r="S380" i="6" s="1"/>
  <c r="P196" i="6" l="1"/>
  <c r="Q196" i="6" s="1"/>
  <c r="O197" i="6" s="1"/>
  <c r="X196" i="6"/>
  <c r="W380" i="6"/>
  <c r="Z380" i="6" s="1"/>
  <c r="T381" i="6" s="1"/>
  <c r="V380" i="6"/>
  <c r="Y380" i="6" s="1"/>
  <c r="S381" i="6" s="1"/>
  <c r="AA196" i="6" l="1"/>
  <c r="R197" i="6"/>
  <c r="W381" i="6"/>
  <c r="Z381" i="6" s="1"/>
  <c r="T382" i="6" s="1"/>
  <c r="V381" i="6"/>
  <c r="Y381" i="6" s="1"/>
  <c r="S382" i="6" s="1"/>
  <c r="X197" i="6" l="1"/>
  <c r="U197" i="6"/>
  <c r="P197" i="6" s="1"/>
  <c r="Q197" i="6" s="1"/>
  <c r="O198" i="6" s="1"/>
  <c r="W382" i="6"/>
  <c r="Z382" i="6" s="1"/>
  <c r="T383" i="6" s="1"/>
  <c r="V382" i="6"/>
  <c r="Y382" i="6" s="1"/>
  <c r="S383" i="6" s="1"/>
  <c r="R198" i="6" l="1"/>
  <c r="AA197" i="6"/>
  <c r="W383" i="6"/>
  <c r="Z383" i="6" s="1"/>
  <c r="T384" i="6" s="1"/>
  <c r="V383" i="6"/>
  <c r="Y383" i="6" s="1"/>
  <c r="S384" i="6" s="1"/>
  <c r="X198" i="6" l="1"/>
  <c r="U198" i="6"/>
  <c r="P198" i="6" s="1"/>
  <c r="Q198" i="6" s="1"/>
  <c r="O199" i="6" s="1"/>
  <c r="W384" i="6"/>
  <c r="Z384" i="6" s="1"/>
  <c r="T385" i="6" s="1"/>
  <c r="V384" i="6"/>
  <c r="Y384" i="6" s="1"/>
  <c r="S385" i="6" s="1"/>
  <c r="R199" i="6" l="1"/>
  <c r="AA198" i="6"/>
  <c r="W385" i="6"/>
  <c r="Z385" i="6" s="1"/>
  <c r="T386" i="6" s="1"/>
  <c r="V385" i="6"/>
  <c r="Y385" i="6" s="1"/>
  <c r="S386" i="6" s="1"/>
  <c r="U199" i="6" l="1"/>
  <c r="W386" i="6"/>
  <c r="Z386" i="6" s="1"/>
  <c r="T387" i="6" s="1"/>
  <c r="V386" i="6"/>
  <c r="Y386" i="6" s="1"/>
  <c r="S387" i="6" s="1"/>
  <c r="P199" i="6" l="1"/>
  <c r="Q199" i="6" s="1"/>
  <c r="O200" i="6" s="1"/>
  <c r="X199" i="6"/>
  <c r="W387" i="6"/>
  <c r="Z387" i="6" s="1"/>
  <c r="V387" i="6"/>
  <c r="Y387" i="6" s="1"/>
  <c r="AA199" i="6" l="1"/>
  <c r="R200" i="6"/>
  <c r="U200" i="6" l="1"/>
  <c r="P200" i="6" l="1"/>
  <c r="Q200" i="6" s="1"/>
  <c r="O201" i="6" s="1"/>
  <c r="X200" i="6"/>
  <c r="AA200" i="6" l="1"/>
  <c r="R201" i="6"/>
  <c r="U201" i="6" l="1"/>
  <c r="P201" i="6" l="1"/>
  <c r="Q201" i="6" s="1"/>
  <c r="O202" i="6" s="1"/>
  <c r="X201" i="6"/>
  <c r="AA201" i="6" l="1"/>
  <c r="R202" i="6"/>
  <c r="X202" i="6" l="1"/>
  <c r="U202" i="6"/>
  <c r="P202" i="6" s="1"/>
  <c r="Q202" i="6" s="1"/>
  <c r="O203" i="6" s="1"/>
  <c r="AA202" i="6" l="1"/>
  <c r="R203" i="6"/>
  <c r="U203" i="6" l="1"/>
  <c r="P203" i="6" l="1"/>
  <c r="Q203" i="6" s="1"/>
  <c r="O204" i="6" s="1"/>
  <c r="X203" i="6"/>
  <c r="AA203" i="6" l="1"/>
  <c r="R204" i="6"/>
  <c r="X204" i="6" l="1"/>
  <c r="U204" i="6"/>
  <c r="P204" i="6" s="1"/>
  <c r="Q204" i="6" s="1"/>
  <c r="O205" i="6" s="1"/>
  <c r="AA204" i="6" l="1"/>
  <c r="R205" i="6"/>
  <c r="U205" i="6" l="1"/>
  <c r="P205" i="6" l="1"/>
  <c r="Q205" i="6" s="1"/>
  <c r="O206" i="6" s="1"/>
  <c r="X205" i="6"/>
  <c r="AA205" i="6" l="1"/>
  <c r="R206" i="6"/>
  <c r="U206" i="6" l="1"/>
  <c r="P206" i="6" l="1"/>
  <c r="Q206" i="6" s="1"/>
  <c r="O207" i="6" s="1"/>
  <c r="X206" i="6"/>
  <c r="AA206" i="6" l="1"/>
  <c r="R207" i="6"/>
  <c r="U207" i="6" l="1"/>
  <c r="P207" i="6" l="1"/>
  <c r="Q207" i="6" s="1"/>
  <c r="O208" i="6" s="1"/>
  <c r="X207" i="6"/>
  <c r="AA207" i="6" l="1"/>
  <c r="R208" i="6"/>
  <c r="X208" i="6" l="1"/>
  <c r="U208" i="6"/>
  <c r="P208" i="6" s="1"/>
  <c r="Q208" i="6" s="1"/>
  <c r="O209" i="6" s="1"/>
  <c r="R209" i="6" l="1"/>
  <c r="AA208" i="6"/>
  <c r="U209" i="6" l="1"/>
  <c r="P209" i="6" l="1"/>
  <c r="Q209" i="6" s="1"/>
  <c r="O210" i="6" s="1"/>
  <c r="X209" i="6"/>
  <c r="AA209" i="6" l="1"/>
  <c r="R210" i="6"/>
  <c r="U210" i="6" l="1"/>
  <c r="P210" i="6" l="1"/>
  <c r="Q210" i="6" s="1"/>
  <c r="O211" i="6" s="1"/>
  <c r="X210" i="6"/>
  <c r="AA210" i="6" l="1"/>
  <c r="R211" i="6"/>
  <c r="U211" i="6" l="1"/>
  <c r="P211" i="6" l="1"/>
  <c r="Q211" i="6" s="1"/>
  <c r="O212" i="6" s="1"/>
  <c r="X211" i="6"/>
  <c r="AA211" i="6" l="1"/>
  <c r="R212" i="6"/>
  <c r="U212" i="6" l="1"/>
  <c r="P212" i="6" l="1"/>
  <c r="Q212" i="6" s="1"/>
  <c r="O213" i="6" s="1"/>
  <c r="X212" i="6"/>
  <c r="AA212" i="6" l="1"/>
  <c r="R213" i="6"/>
  <c r="U213" i="6" l="1"/>
  <c r="P213" i="6" l="1"/>
  <c r="Q213" i="6" s="1"/>
  <c r="O214" i="6" s="1"/>
  <c r="X213" i="6"/>
  <c r="R214" i="6" l="1"/>
  <c r="AA213" i="6"/>
  <c r="U214" i="6" l="1"/>
  <c r="P214" i="6" l="1"/>
  <c r="Q214" i="6" s="1"/>
  <c r="O215" i="6" s="1"/>
  <c r="X214" i="6"/>
  <c r="AA214" i="6" l="1"/>
  <c r="R215" i="6"/>
  <c r="X215" i="6" l="1"/>
  <c r="U215" i="6"/>
  <c r="P215" i="6" s="1"/>
  <c r="Q215" i="6" s="1"/>
  <c r="O216" i="6" s="1"/>
  <c r="AA215" i="6" l="1"/>
  <c r="R216" i="6"/>
  <c r="U216" i="6" l="1"/>
  <c r="P216" i="6" l="1"/>
  <c r="Q216" i="6" s="1"/>
  <c r="O217" i="6" s="1"/>
  <c r="X216" i="6"/>
  <c r="R217" i="6" l="1"/>
  <c r="AA216" i="6"/>
  <c r="U217" i="6" l="1"/>
  <c r="P217" i="6" l="1"/>
  <c r="Q217" i="6" s="1"/>
  <c r="O218" i="6" s="1"/>
  <c r="X217" i="6"/>
  <c r="R218" i="6" l="1"/>
  <c r="AA217" i="6"/>
  <c r="U218" i="6" l="1"/>
  <c r="P218" i="6" l="1"/>
  <c r="Q218" i="6" s="1"/>
  <c r="O219" i="6" s="1"/>
  <c r="X218" i="6"/>
  <c r="AA218" i="6" l="1"/>
  <c r="R219" i="6"/>
  <c r="U219" i="6" l="1"/>
  <c r="P219" i="6" l="1"/>
  <c r="Q219" i="6" s="1"/>
  <c r="O220" i="6" s="1"/>
  <c r="X219" i="6"/>
  <c r="R220" i="6" l="1"/>
  <c r="AA219" i="6"/>
  <c r="U220" i="6" l="1"/>
  <c r="P220" i="6" l="1"/>
  <c r="Q220" i="6" s="1"/>
  <c r="O221" i="6" s="1"/>
  <c r="X220" i="6"/>
  <c r="AA220" i="6" l="1"/>
  <c r="R221" i="6"/>
  <c r="U221" i="6" l="1"/>
  <c r="P221" i="6" l="1"/>
  <c r="Q221" i="6" s="1"/>
  <c r="O222" i="6" s="1"/>
  <c r="X221" i="6"/>
  <c r="R222" i="6" l="1"/>
  <c r="AA221" i="6"/>
  <c r="U222" i="6" l="1"/>
  <c r="P222" i="6" l="1"/>
  <c r="Q222" i="6" s="1"/>
  <c r="O223" i="6" s="1"/>
  <c r="X222" i="6"/>
  <c r="AA222" i="6" l="1"/>
  <c r="R223" i="6"/>
  <c r="U223" i="6" l="1"/>
  <c r="P223" i="6" l="1"/>
  <c r="Q223" i="6" s="1"/>
  <c r="O224" i="6" s="1"/>
  <c r="X223" i="6"/>
  <c r="AA223" i="6" l="1"/>
  <c r="R224" i="6"/>
  <c r="X224" i="6" l="1"/>
  <c r="U224" i="6"/>
  <c r="P224" i="6" s="1"/>
  <c r="Q224" i="6" s="1"/>
  <c r="O225" i="6" s="1"/>
  <c r="R225" i="6" l="1"/>
  <c r="AA224" i="6"/>
  <c r="U225" i="6" l="1"/>
  <c r="P225" i="6" l="1"/>
  <c r="Q225" i="6" s="1"/>
  <c r="O226" i="6" s="1"/>
  <c r="X225" i="6"/>
  <c r="AA225" i="6" l="1"/>
  <c r="R226" i="6"/>
  <c r="U226" i="6" l="1"/>
  <c r="P226" i="6" l="1"/>
  <c r="Q226" i="6" s="1"/>
  <c r="O227" i="6" s="1"/>
  <c r="X226" i="6"/>
  <c r="AA226" i="6" l="1"/>
  <c r="R227" i="6"/>
  <c r="U227" i="6" l="1"/>
  <c r="P227" i="6" l="1"/>
  <c r="Q227" i="6" s="1"/>
  <c r="O228" i="6" s="1"/>
  <c r="X227" i="6"/>
  <c r="AA227" i="6" l="1"/>
  <c r="R228" i="6"/>
  <c r="U228" i="6" l="1"/>
  <c r="P228" i="6" l="1"/>
  <c r="Q228" i="6" s="1"/>
  <c r="O229" i="6" s="1"/>
  <c r="X228" i="6"/>
  <c r="R229" i="6" l="1"/>
  <c r="AA228" i="6"/>
  <c r="X229" i="6" l="1"/>
  <c r="U229" i="6"/>
  <c r="P229" i="6" s="1"/>
  <c r="Q229" i="6" s="1"/>
  <c r="O230" i="6" s="1"/>
  <c r="AA229" i="6" l="1"/>
  <c r="R230" i="6"/>
  <c r="U230" i="6" l="1"/>
  <c r="P230" i="6" l="1"/>
  <c r="Q230" i="6" s="1"/>
  <c r="O231" i="6" s="1"/>
  <c r="X230" i="6"/>
  <c r="AA230" i="6" l="1"/>
  <c r="R231" i="6"/>
  <c r="X231" i="6" l="1"/>
  <c r="U231" i="6"/>
  <c r="P231" i="6" s="1"/>
  <c r="Q231" i="6" s="1"/>
  <c r="O232" i="6" s="1"/>
  <c r="AA231" i="6" l="1"/>
  <c r="R232" i="6"/>
  <c r="X232" i="6" l="1"/>
  <c r="U232" i="6"/>
  <c r="P232" i="6" s="1"/>
  <c r="Q232" i="6" s="1"/>
  <c r="O233" i="6" s="1"/>
  <c r="R233" i="6" l="1"/>
  <c r="AA232" i="6"/>
  <c r="X233" i="6" l="1"/>
  <c r="U233" i="6"/>
  <c r="P233" i="6" s="1"/>
  <c r="Q233" i="6" s="1"/>
  <c r="O234" i="6" s="1"/>
  <c r="R234" i="6" l="1"/>
  <c r="AA233" i="6"/>
  <c r="U234" i="6" l="1"/>
  <c r="P234" i="6" l="1"/>
  <c r="Q234" i="6" s="1"/>
  <c r="O235" i="6" s="1"/>
  <c r="X234" i="6"/>
  <c r="R235" i="6" l="1"/>
  <c r="AA234" i="6"/>
  <c r="U235" i="6" l="1"/>
  <c r="P235" i="6" l="1"/>
  <c r="Q235" i="6" s="1"/>
  <c r="O236" i="6" s="1"/>
  <c r="X235" i="6"/>
  <c r="R236" i="6" l="1"/>
  <c r="AA235" i="6"/>
  <c r="U236" i="6" l="1"/>
  <c r="P236" i="6" l="1"/>
  <c r="Q236" i="6" s="1"/>
  <c r="O237" i="6" s="1"/>
  <c r="X236" i="6"/>
  <c r="AA236" i="6" l="1"/>
  <c r="R237" i="6"/>
  <c r="U237" i="6" l="1"/>
  <c r="P237" i="6" l="1"/>
  <c r="Q237" i="6" s="1"/>
  <c r="O238" i="6" s="1"/>
  <c r="X237" i="6"/>
  <c r="R238" i="6" l="1"/>
  <c r="AA237" i="6"/>
  <c r="U238" i="6" l="1"/>
  <c r="P238" i="6" l="1"/>
  <c r="Q238" i="6" s="1"/>
  <c r="O239" i="6" s="1"/>
  <c r="X238" i="6"/>
  <c r="AA238" i="6" l="1"/>
  <c r="R239" i="6"/>
  <c r="U239" i="6" l="1"/>
  <c r="P239" i="6" l="1"/>
  <c r="Q239" i="6" s="1"/>
  <c r="O240" i="6" s="1"/>
  <c r="X239" i="6"/>
  <c r="AA239" i="6" l="1"/>
  <c r="R240" i="6"/>
  <c r="U240" i="6" l="1"/>
  <c r="P240" i="6" l="1"/>
  <c r="Q240" i="6" s="1"/>
  <c r="O241" i="6" s="1"/>
  <c r="X240" i="6"/>
  <c r="AA240" i="6" l="1"/>
  <c r="R241" i="6"/>
  <c r="U241" i="6" l="1"/>
  <c r="P241" i="6" l="1"/>
  <c r="Q241" i="6" s="1"/>
  <c r="O242" i="6" s="1"/>
  <c r="X241" i="6"/>
  <c r="AA241" i="6" l="1"/>
  <c r="R242" i="6"/>
  <c r="U242" i="6" l="1"/>
  <c r="P242" i="6" l="1"/>
  <c r="Q242" i="6" s="1"/>
  <c r="O243" i="6" s="1"/>
  <c r="X242" i="6"/>
  <c r="AA242" i="6" l="1"/>
  <c r="R243" i="6"/>
  <c r="U243" i="6" l="1"/>
  <c r="P243" i="6" l="1"/>
  <c r="Q243" i="6" s="1"/>
  <c r="O244" i="6" s="1"/>
  <c r="X243" i="6"/>
  <c r="AA243" i="6" l="1"/>
  <c r="R244" i="6"/>
  <c r="U244" i="6" l="1"/>
  <c r="P244" i="6" l="1"/>
  <c r="Q244" i="6" s="1"/>
  <c r="O245" i="6" s="1"/>
  <c r="X244" i="6"/>
  <c r="AA244" i="6" l="1"/>
  <c r="R245" i="6"/>
  <c r="U245" i="6" l="1"/>
  <c r="P245" i="6" l="1"/>
  <c r="Q245" i="6" s="1"/>
  <c r="O246" i="6" s="1"/>
  <c r="X245" i="6"/>
  <c r="R246" i="6" l="1"/>
  <c r="AA245" i="6"/>
  <c r="U246" i="6" l="1"/>
  <c r="P246" i="6" l="1"/>
  <c r="Q246" i="6" s="1"/>
  <c r="O247" i="6" s="1"/>
  <c r="X246" i="6"/>
  <c r="AA246" i="6" l="1"/>
  <c r="R247" i="6"/>
  <c r="U247" i="6" l="1"/>
  <c r="P247" i="6" l="1"/>
  <c r="Q247" i="6" s="1"/>
  <c r="O248" i="6" s="1"/>
  <c r="X247" i="6"/>
  <c r="AA247" i="6" l="1"/>
  <c r="R248" i="6"/>
  <c r="U248" i="6" l="1"/>
  <c r="P248" i="6" l="1"/>
  <c r="Q248" i="6" s="1"/>
  <c r="O249" i="6" s="1"/>
  <c r="X248" i="6"/>
  <c r="AA248" i="6" l="1"/>
  <c r="R249" i="6"/>
  <c r="U249" i="6" l="1"/>
  <c r="P249" i="6" l="1"/>
  <c r="Q249" i="6" s="1"/>
  <c r="O250" i="6" s="1"/>
  <c r="X249" i="6"/>
  <c r="AA249" i="6" l="1"/>
  <c r="R250" i="6"/>
  <c r="X250" i="6" l="1"/>
  <c r="U250" i="6"/>
  <c r="P250" i="6" s="1"/>
  <c r="Q250" i="6" s="1"/>
  <c r="O251" i="6" s="1"/>
  <c r="R251" i="6" l="1"/>
  <c r="AA250" i="6"/>
  <c r="U251" i="6" l="1"/>
  <c r="P251" i="6" l="1"/>
  <c r="Q251" i="6" s="1"/>
  <c r="O252" i="6" s="1"/>
  <c r="X251" i="6"/>
  <c r="R252" i="6" l="1"/>
  <c r="AA251" i="6"/>
  <c r="U252" i="6" l="1"/>
  <c r="P252" i="6" l="1"/>
  <c r="Q252" i="6" s="1"/>
  <c r="O253" i="6" s="1"/>
  <c r="X252" i="6"/>
  <c r="R253" i="6" l="1"/>
  <c r="AA252" i="6"/>
  <c r="U253" i="6" l="1"/>
  <c r="P253" i="6" l="1"/>
  <c r="Q253" i="6" s="1"/>
  <c r="O254" i="6" s="1"/>
  <c r="X253" i="6"/>
  <c r="AA253" i="6" l="1"/>
  <c r="R254" i="6"/>
  <c r="U254" i="6" l="1"/>
  <c r="P254" i="6" l="1"/>
  <c r="Q254" i="6" s="1"/>
  <c r="O255" i="6" s="1"/>
  <c r="X254" i="6"/>
  <c r="AA254" i="6" l="1"/>
  <c r="R255" i="6"/>
  <c r="U255" i="6" l="1"/>
  <c r="P255" i="6" l="1"/>
  <c r="Q255" i="6" s="1"/>
  <c r="O256" i="6" s="1"/>
  <c r="X255" i="6"/>
  <c r="AA255" i="6" l="1"/>
  <c r="R256" i="6"/>
  <c r="X256" i="6" l="1"/>
  <c r="U256" i="6"/>
  <c r="P256" i="6" s="1"/>
  <c r="Q256" i="6" s="1"/>
  <c r="O257" i="6" s="1"/>
  <c r="R257" i="6" l="1"/>
  <c r="AA256" i="6"/>
  <c r="U257" i="6" l="1"/>
  <c r="P257" i="6" l="1"/>
  <c r="Q257" i="6" s="1"/>
  <c r="O258" i="6" s="1"/>
  <c r="X257" i="6"/>
  <c r="AA257" i="6" l="1"/>
  <c r="R258" i="6"/>
  <c r="U258" i="6" l="1"/>
  <c r="P258" i="6" l="1"/>
  <c r="Q258" i="6" s="1"/>
  <c r="O259" i="6" s="1"/>
  <c r="X258" i="6"/>
  <c r="AA258" i="6" l="1"/>
  <c r="R259" i="6"/>
  <c r="U259" i="6" l="1"/>
  <c r="P259" i="6" l="1"/>
  <c r="Q259" i="6" s="1"/>
  <c r="O260" i="6" s="1"/>
  <c r="X259" i="6"/>
  <c r="R260" i="6" l="1"/>
  <c r="AA259" i="6"/>
  <c r="X260" i="6" l="1"/>
  <c r="U260" i="6"/>
  <c r="P260" i="6" s="1"/>
  <c r="Q260" i="6" s="1"/>
  <c r="O261" i="6" s="1"/>
  <c r="R261" i="6" l="1"/>
  <c r="AA260" i="6"/>
  <c r="X261" i="6" l="1"/>
  <c r="U261" i="6"/>
  <c r="P261" i="6" s="1"/>
  <c r="Q261" i="6" s="1"/>
  <c r="O262" i="6" s="1"/>
  <c r="R262" i="6" l="1"/>
  <c r="AA261" i="6"/>
  <c r="U262" i="6" l="1"/>
  <c r="P262" i="6" l="1"/>
  <c r="Q262" i="6" s="1"/>
  <c r="O263" i="6" s="1"/>
  <c r="X262" i="6"/>
  <c r="AA262" i="6" l="1"/>
  <c r="R263" i="6"/>
  <c r="U263" i="6" l="1"/>
  <c r="P263" i="6" l="1"/>
  <c r="Q263" i="6" s="1"/>
  <c r="O264" i="6" s="1"/>
  <c r="X263" i="6"/>
  <c r="AA263" i="6" l="1"/>
  <c r="R264" i="6"/>
  <c r="U264" i="6" l="1"/>
  <c r="P264" i="6" l="1"/>
  <c r="Q264" i="6" s="1"/>
  <c r="O265" i="6" s="1"/>
  <c r="X264" i="6"/>
  <c r="R265" i="6" l="1"/>
  <c r="AA264" i="6"/>
  <c r="X265" i="6" l="1"/>
  <c r="U265" i="6"/>
  <c r="P265" i="6" s="1"/>
  <c r="Q265" i="6" s="1"/>
  <c r="O266" i="6" s="1"/>
  <c r="R266" i="6" l="1"/>
  <c r="AA265" i="6"/>
  <c r="X266" i="6" l="1"/>
  <c r="U266" i="6"/>
  <c r="P266" i="6" s="1"/>
  <c r="Q266" i="6" s="1"/>
  <c r="O267" i="6" s="1"/>
  <c r="R267" i="6" l="1"/>
  <c r="AA266" i="6"/>
  <c r="X267" i="6" l="1"/>
  <c r="U267" i="6"/>
  <c r="P267" i="6" s="1"/>
  <c r="Q267" i="6" s="1"/>
  <c r="O268" i="6" s="1"/>
  <c r="AA267" i="6" l="1"/>
  <c r="R268" i="6"/>
  <c r="U268" i="6" l="1"/>
  <c r="P268" i="6" l="1"/>
  <c r="Q268" i="6" s="1"/>
  <c r="O269" i="6" s="1"/>
  <c r="X268" i="6"/>
  <c r="R269" i="6" l="1"/>
  <c r="AA268" i="6"/>
  <c r="U269" i="6" l="1"/>
  <c r="P269" i="6" l="1"/>
  <c r="Q269" i="6" s="1"/>
  <c r="O270" i="6" s="1"/>
  <c r="X269" i="6"/>
  <c r="AA269" i="6" l="1"/>
  <c r="R270" i="6"/>
  <c r="U270" i="6" l="1"/>
  <c r="P270" i="6" l="1"/>
  <c r="Q270" i="6" s="1"/>
  <c r="O271" i="6" s="1"/>
  <c r="X270" i="6"/>
  <c r="AA270" i="6" l="1"/>
  <c r="R271" i="6"/>
  <c r="U271" i="6" l="1"/>
  <c r="P271" i="6" l="1"/>
  <c r="Q271" i="6" s="1"/>
  <c r="O272" i="6" s="1"/>
  <c r="X271" i="6"/>
  <c r="R272" i="6" l="1"/>
  <c r="AA271" i="6"/>
  <c r="U272" i="6" l="1"/>
  <c r="P272" i="6" l="1"/>
  <c r="Q272" i="6" s="1"/>
  <c r="O273" i="6" s="1"/>
  <c r="X272" i="6"/>
  <c r="R273" i="6" l="1"/>
  <c r="AA272" i="6"/>
  <c r="U273" i="6" l="1"/>
  <c r="P273" i="6" l="1"/>
  <c r="Q273" i="6" s="1"/>
  <c r="O274" i="6" s="1"/>
  <c r="X273" i="6"/>
  <c r="AA273" i="6" l="1"/>
  <c r="R274" i="6"/>
  <c r="X274" i="6" l="1"/>
  <c r="U274" i="6"/>
  <c r="P274" i="6" s="1"/>
  <c r="Q274" i="6" s="1"/>
  <c r="O275" i="6" s="1"/>
  <c r="R275" i="6" l="1"/>
  <c r="AA274" i="6"/>
  <c r="U275" i="6" l="1"/>
  <c r="P275" i="6" l="1"/>
  <c r="Q275" i="6" s="1"/>
  <c r="O276" i="6" s="1"/>
  <c r="X275" i="6"/>
  <c r="AA275" i="6" l="1"/>
  <c r="R276" i="6"/>
  <c r="U276" i="6" l="1"/>
  <c r="P276" i="6" l="1"/>
  <c r="Q276" i="6" s="1"/>
  <c r="O277" i="6" s="1"/>
  <c r="X276" i="6"/>
  <c r="AA276" i="6" l="1"/>
  <c r="R277" i="6"/>
  <c r="U277" i="6" l="1"/>
  <c r="P277" i="6" l="1"/>
  <c r="Q277" i="6" s="1"/>
  <c r="O278" i="6" s="1"/>
  <c r="X277" i="6"/>
  <c r="AA277" i="6" l="1"/>
  <c r="R278" i="6"/>
  <c r="U278" i="6" l="1"/>
  <c r="P278" i="6" l="1"/>
  <c r="Q278" i="6" s="1"/>
  <c r="O279" i="6" s="1"/>
  <c r="X278" i="6"/>
  <c r="AA278" i="6" l="1"/>
  <c r="R279" i="6"/>
  <c r="X279" i="6" l="1"/>
  <c r="U279" i="6"/>
  <c r="P279" i="6" s="1"/>
  <c r="Q279" i="6" s="1"/>
  <c r="O280" i="6" s="1"/>
  <c r="AA279" i="6" l="1"/>
  <c r="R280" i="6"/>
  <c r="U280" i="6" l="1"/>
  <c r="P280" i="6" l="1"/>
  <c r="Q280" i="6" s="1"/>
  <c r="O281" i="6" s="1"/>
  <c r="X280" i="6"/>
  <c r="AA280" i="6" l="1"/>
  <c r="R281" i="6"/>
  <c r="U281" i="6" l="1"/>
  <c r="P281" i="6" l="1"/>
  <c r="Q281" i="6" s="1"/>
  <c r="O282" i="6" s="1"/>
  <c r="X281" i="6"/>
  <c r="R282" i="6" l="1"/>
  <c r="AA281" i="6"/>
  <c r="U282" i="6" l="1"/>
  <c r="P282" i="6" l="1"/>
  <c r="Q282" i="6" s="1"/>
  <c r="O283" i="6" s="1"/>
  <c r="X282" i="6"/>
  <c r="R283" i="6" l="1"/>
  <c r="AA282" i="6"/>
  <c r="U283" i="6" l="1"/>
  <c r="P283" i="6" l="1"/>
  <c r="Q283" i="6" s="1"/>
  <c r="O284" i="6" s="1"/>
  <c r="X283" i="6"/>
  <c r="AA283" i="6" l="1"/>
  <c r="R284" i="6"/>
  <c r="X284" i="6" l="1"/>
  <c r="U284" i="6"/>
  <c r="P284" i="6" s="1"/>
  <c r="Q284" i="6" s="1"/>
  <c r="O285" i="6" s="1"/>
  <c r="AA284" i="6" l="1"/>
  <c r="R285" i="6"/>
  <c r="U285" i="6" l="1"/>
  <c r="P285" i="6" l="1"/>
  <c r="Q285" i="6" s="1"/>
  <c r="O286" i="6" s="1"/>
  <c r="X285" i="6"/>
  <c r="AA285" i="6" l="1"/>
  <c r="R286" i="6"/>
  <c r="U286" i="6" l="1"/>
  <c r="P286" i="6" l="1"/>
  <c r="Q286" i="6" s="1"/>
  <c r="O287" i="6" s="1"/>
  <c r="X286" i="6"/>
  <c r="AA286" i="6" l="1"/>
  <c r="R287" i="6"/>
  <c r="U287" i="6" l="1"/>
  <c r="P287" i="6" l="1"/>
  <c r="Q287" i="6" s="1"/>
  <c r="O288" i="6" s="1"/>
  <c r="X287" i="6"/>
  <c r="AA287" i="6" l="1"/>
  <c r="R288" i="6"/>
  <c r="X288" i="6" l="1"/>
  <c r="U288" i="6"/>
  <c r="P288" i="6" s="1"/>
  <c r="Q288" i="6" s="1"/>
  <c r="O289" i="6" s="1"/>
  <c r="R289" i="6" l="1"/>
  <c r="AA288" i="6"/>
  <c r="U289" i="6" l="1"/>
  <c r="P289" i="6" l="1"/>
  <c r="Q289" i="6" s="1"/>
  <c r="O290" i="6" s="1"/>
  <c r="X289" i="6"/>
  <c r="R290" i="6" l="1"/>
  <c r="AA289" i="6"/>
  <c r="X290" i="6" l="1"/>
  <c r="U290" i="6"/>
  <c r="P290" i="6" s="1"/>
  <c r="Q290" i="6" s="1"/>
  <c r="O291" i="6" s="1"/>
  <c r="R291" i="6" l="1"/>
  <c r="AA290" i="6"/>
  <c r="U291" i="6" l="1"/>
  <c r="P291" i="6" l="1"/>
  <c r="Q291" i="6" s="1"/>
  <c r="O292" i="6" s="1"/>
  <c r="X291" i="6"/>
  <c r="AA291" i="6" l="1"/>
  <c r="R292" i="6"/>
  <c r="U292" i="6" l="1"/>
  <c r="P292" i="6" l="1"/>
  <c r="Q292" i="6" s="1"/>
  <c r="O293" i="6" s="1"/>
  <c r="X292" i="6"/>
  <c r="AA292" i="6" l="1"/>
  <c r="R293" i="6"/>
  <c r="X293" i="6" l="1"/>
  <c r="U293" i="6"/>
  <c r="P293" i="6" s="1"/>
  <c r="Q293" i="6" s="1"/>
  <c r="O294" i="6" s="1"/>
  <c r="R294" i="6" l="1"/>
  <c r="AA293" i="6"/>
  <c r="X294" i="6" l="1"/>
  <c r="U294" i="6"/>
  <c r="P294" i="6" s="1"/>
  <c r="Q294" i="6" s="1"/>
  <c r="O295" i="6" s="1"/>
  <c r="R295" i="6" l="1"/>
  <c r="AA294" i="6"/>
  <c r="U295" i="6" l="1"/>
  <c r="P295" i="6" l="1"/>
  <c r="Q295" i="6" s="1"/>
  <c r="O296" i="6" s="1"/>
  <c r="X295" i="6"/>
  <c r="R296" i="6" l="1"/>
  <c r="AA295" i="6"/>
  <c r="U296" i="6" l="1"/>
  <c r="P296" i="6" l="1"/>
  <c r="Q296" i="6" s="1"/>
  <c r="O297" i="6" s="1"/>
  <c r="X296" i="6"/>
  <c r="AA296" i="6" l="1"/>
  <c r="R297" i="6"/>
  <c r="U297" i="6" l="1"/>
  <c r="P297" i="6" s="1"/>
  <c r="Q297" i="6" s="1"/>
  <c r="O298" i="6" s="1"/>
  <c r="X297" i="6"/>
  <c r="R298" i="6" l="1"/>
  <c r="AA297" i="6"/>
  <c r="U298" i="6" l="1"/>
  <c r="P298" i="6" l="1"/>
  <c r="Q298" i="6" s="1"/>
  <c r="O299" i="6" s="1"/>
  <c r="X298" i="6"/>
  <c r="R299" i="6" l="1"/>
  <c r="AA298" i="6"/>
  <c r="U299" i="6" l="1"/>
  <c r="P299" i="6" l="1"/>
  <c r="Q299" i="6" s="1"/>
  <c r="O300" i="6" s="1"/>
  <c r="X299" i="6"/>
  <c r="R300" i="6" l="1"/>
  <c r="AA299" i="6"/>
  <c r="X300" i="6" l="1"/>
  <c r="U300" i="6"/>
  <c r="P300" i="6" s="1"/>
  <c r="Q300" i="6" s="1"/>
  <c r="O301" i="6" s="1"/>
  <c r="AA300" i="6" l="1"/>
  <c r="R301" i="6"/>
  <c r="U301" i="6" l="1"/>
  <c r="P301" i="6" l="1"/>
  <c r="Q301" i="6" s="1"/>
  <c r="O302" i="6" s="1"/>
  <c r="X301" i="6"/>
  <c r="AA301" i="6" l="1"/>
  <c r="R302" i="6"/>
  <c r="U302" i="6" l="1"/>
  <c r="P302" i="6" l="1"/>
  <c r="Q302" i="6" s="1"/>
  <c r="O303" i="6" s="1"/>
  <c r="X302" i="6"/>
  <c r="AA302" i="6" l="1"/>
  <c r="R303" i="6"/>
  <c r="U303" i="6" l="1"/>
  <c r="P303" i="6" l="1"/>
  <c r="Q303" i="6" s="1"/>
  <c r="O304" i="6" s="1"/>
  <c r="X303" i="6"/>
  <c r="AA303" i="6" l="1"/>
  <c r="R304" i="6"/>
  <c r="U304" i="6" l="1"/>
  <c r="P304" i="6" l="1"/>
  <c r="Q304" i="6" s="1"/>
  <c r="O305" i="6" s="1"/>
  <c r="X304" i="6"/>
  <c r="R305" i="6" l="1"/>
  <c r="AA304" i="6"/>
  <c r="U305" i="6" l="1"/>
  <c r="P305" i="6" l="1"/>
  <c r="Q305" i="6" s="1"/>
  <c r="O306" i="6" s="1"/>
  <c r="X305" i="6"/>
  <c r="AA305" i="6" l="1"/>
  <c r="R306" i="6"/>
  <c r="U306" i="6" l="1"/>
  <c r="P306" i="6" l="1"/>
  <c r="Q306" i="6" s="1"/>
  <c r="O307" i="6" s="1"/>
  <c r="X306" i="6"/>
  <c r="R307" i="6" l="1"/>
  <c r="AA306" i="6"/>
  <c r="U307" i="6" l="1"/>
  <c r="P307" i="6" l="1"/>
  <c r="Q307" i="6" s="1"/>
  <c r="O308" i="6" s="1"/>
  <c r="X307" i="6"/>
  <c r="AA307" i="6" l="1"/>
  <c r="R308" i="6"/>
  <c r="X308" i="6" l="1"/>
  <c r="U308" i="6"/>
  <c r="P308" i="6" s="1"/>
  <c r="Q308" i="6" s="1"/>
  <c r="O309" i="6" s="1"/>
  <c r="R309" i="6" l="1"/>
  <c r="AA308" i="6"/>
  <c r="U309" i="6" l="1"/>
  <c r="P309" i="6" l="1"/>
  <c r="Q309" i="6" s="1"/>
  <c r="O310" i="6" s="1"/>
  <c r="X309" i="6"/>
  <c r="R310" i="6" l="1"/>
  <c r="AA309" i="6"/>
  <c r="U310" i="6" l="1"/>
  <c r="P310" i="6" l="1"/>
  <c r="Q310" i="6" s="1"/>
  <c r="O311" i="6" s="1"/>
  <c r="X310" i="6"/>
  <c r="AA310" i="6" l="1"/>
  <c r="R311" i="6"/>
  <c r="U311" i="6" l="1"/>
  <c r="P311" i="6" l="1"/>
  <c r="Q311" i="6" s="1"/>
  <c r="O312" i="6" s="1"/>
  <c r="X311" i="6"/>
  <c r="AA311" i="6" l="1"/>
  <c r="R312" i="6"/>
  <c r="U312" i="6" l="1"/>
  <c r="P312" i="6" l="1"/>
  <c r="Q312" i="6" s="1"/>
  <c r="O313" i="6" s="1"/>
  <c r="X312" i="6"/>
  <c r="AA312" i="6" l="1"/>
  <c r="R313" i="6"/>
  <c r="X313" i="6" l="1"/>
  <c r="U313" i="6"/>
  <c r="P313" i="6" s="1"/>
  <c r="Q313" i="6" s="1"/>
  <c r="O314" i="6" s="1"/>
  <c r="R314" i="6" l="1"/>
  <c r="AA313" i="6"/>
  <c r="U314" i="6" l="1"/>
  <c r="P314" i="6" l="1"/>
  <c r="Q314" i="6" s="1"/>
  <c r="O315" i="6" s="1"/>
  <c r="X314" i="6"/>
  <c r="AA314" i="6" l="1"/>
  <c r="R315" i="6"/>
  <c r="U315" i="6" l="1"/>
  <c r="P315" i="6" l="1"/>
  <c r="Q315" i="6" s="1"/>
  <c r="O316" i="6" s="1"/>
  <c r="X315" i="6"/>
  <c r="AA315" i="6" l="1"/>
  <c r="R316" i="6"/>
  <c r="U316" i="6" l="1"/>
  <c r="P316" i="6" l="1"/>
  <c r="Q316" i="6" s="1"/>
  <c r="O317" i="6" s="1"/>
  <c r="X316" i="6"/>
  <c r="AA316" i="6" l="1"/>
  <c r="R317" i="6"/>
  <c r="U317" i="6" l="1"/>
  <c r="P317" i="6" l="1"/>
  <c r="Q317" i="6" s="1"/>
  <c r="O318" i="6" s="1"/>
  <c r="X317" i="6"/>
  <c r="AA317" i="6" l="1"/>
  <c r="R318" i="6"/>
  <c r="U318" i="6" l="1"/>
  <c r="P318" i="6" l="1"/>
  <c r="Q318" i="6" s="1"/>
  <c r="O319" i="6" s="1"/>
  <c r="X318" i="6"/>
  <c r="AA318" i="6" l="1"/>
  <c r="R319" i="6"/>
  <c r="U319" i="6" l="1"/>
  <c r="P319" i="6" l="1"/>
  <c r="Q319" i="6" s="1"/>
  <c r="O320" i="6" s="1"/>
  <c r="X319" i="6"/>
  <c r="R320" i="6" l="1"/>
  <c r="AA319" i="6"/>
  <c r="U320" i="6" l="1"/>
  <c r="P320" i="6" l="1"/>
  <c r="Q320" i="6" s="1"/>
  <c r="O321" i="6" s="1"/>
  <c r="X320" i="6"/>
  <c r="R321" i="6" l="1"/>
  <c r="AA320" i="6"/>
  <c r="U321" i="6" l="1"/>
  <c r="P321" i="6" l="1"/>
  <c r="Q321" i="6" s="1"/>
  <c r="O322" i="6" s="1"/>
  <c r="X321" i="6"/>
  <c r="AA321" i="6" l="1"/>
  <c r="R322" i="6"/>
  <c r="U322" i="6" l="1"/>
  <c r="P322" i="6" l="1"/>
  <c r="Q322" i="6" s="1"/>
  <c r="O323" i="6" s="1"/>
  <c r="X322" i="6"/>
  <c r="AA322" i="6" l="1"/>
  <c r="R323" i="6"/>
  <c r="U323" i="6" l="1"/>
  <c r="P323" i="6" l="1"/>
  <c r="Q323" i="6" s="1"/>
  <c r="O324" i="6" s="1"/>
  <c r="X323" i="6"/>
  <c r="AA323" i="6" l="1"/>
  <c r="R324" i="6"/>
  <c r="X324" i="6" l="1"/>
  <c r="U324" i="6"/>
  <c r="P324" i="6" s="1"/>
  <c r="Q324" i="6" s="1"/>
  <c r="O325" i="6" s="1"/>
  <c r="AA324" i="6" l="1"/>
  <c r="R325" i="6"/>
  <c r="U325" i="6" l="1"/>
  <c r="P325" i="6" l="1"/>
  <c r="Q325" i="6" s="1"/>
  <c r="O326" i="6" s="1"/>
  <c r="X325" i="6"/>
  <c r="AA325" i="6" l="1"/>
  <c r="R326" i="6"/>
  <c r="U326" i="6" l="1"/>
  <c r="P326" i="6" l="1"/>
  <c r="Q326" i="6" s="1"/>
  <c r="O327" i="6" s="1"/>
  <c r="X326" i="6"/>
  <c r="AA326" i="6" l="1"/>
  <c r="R327" i="6"/>
  <c r="U327" i="6" l="1"/>
  <c r="P327" i="6" l="1"/>
  <c r="Q327" i="6" s="1"/>
  <c r="O328" i="6" s="1"/>
  <c r="X327" i="6"/>
  <c r="AA327" i="6" l="1"/>
  <c r="R328" i="6"/>
  <c r="U328" i="6" l="1"/>
  <c r="P328" i="6" l="1"/>
  <c r="Q328" i="6" s="1"/>
  <c r="O329" i="6" s="1"/>
  <c r="X328" i="6"/>
  <c r="AA328" i="6" l="1"/>
  <c r="R329" i="6"/>
  <c r="U329" i="6" l="1"/>
  <c r="P329" i="6" l="1"/>
  <c r="Q329" i="6" s="1"/>
  <c r="O330" i="6" s="1"/>
  <c r="X329" i="6"/>
  <c r="AA329" i="6" l="1"/>
  <c r="R330" i="6"/>
  <c r="X330" i="6" l="1"/>
  <c r="U330" i="6"/>
  <c r="P330" i="6" s="1"/>
  <c r="Q330" i="6" s="1"/>
  <c r="O331" i="6" s="1"/>
  <c r="R331" i="6" l="1"/>
  <c r="AA330" i="6"/>
  <c r="U331" i="6" l="1"/>
  <c r="P331" i="6" l="1"/>
  <c r="Q331" i="6" s="1"/>
  <c r="O332" i="6" s="1"/>
  <c r="X331" i="6"/>
  <c r="AA331" i="6" l="1"/>
  <c r="R332" i="6"/>
  <c r="X332" i="6" l="1"/>
  <c r="U332" i="6"/>
  <c r="P332" i="6" s="1"/>
  <c r="Q332" i="6" s="1"/>
  <c r="O333" i="6" s="1"/>
  <c r="R333" i="6" l="1"/>
  <c r="AA332" i="6"/>
  <c r="U333" i="6" l="1"/>
  <c r="P333" i="6" l="1"/>
  <c r="Q333" i="6" s="1"/>
  <c r="O334" i="6" s="1"/>
  <c r="X333" i="6"/>
  <c r="AA333" i="6" l="1"/>
  <c r="R334" i="6"/>
  <c r="X334" i="6" l="1"/>
  <c r="U334" i="6"/>
  <c r="P334" i="6" s="1"/>
  <c r="Q334" i="6" s="1"/>
  <c r="O335" i="6" s="1"/>
  <c r="R335" i="6" l="1"/>
  <c r="AA334" i="6"/>
  <c r="X335" i="6" l="1"/>
  <c r="U335" i="6"/>
  <c r="P335" i="6" s="1"/>
  <c r="Q335" i="6" s="1"/>
  <c r="O336" i="6" s="1"/>
  <c r="AA335" i="6" l="1"/>
  <c r="R336" i="6"/>
  <c r="U336" i="6" l="1"/>
  <c r="P336" i="6" l="1"/>
  <c r="Q336" i="6" s="1"/>
  <c r="O337" i="6" s="1"/>
  <c r="X336" i="6"/>
  <c r="AA336" i="6" l="1"/>
  <c r="R337" i="6"/>
  <c r="U337" i="6" l="1"/>
  <c r="P337" i="6" l="1"/>
  <c r="Q337" i="6" s="1"/>
  <c r="O338" i="6" s="1"/>
  <c r="X337" i="6"/>
  <c r="R338" i="6" l="1"/>
  <c r="AA337" i="6"/>
  <c r="U338" i="6" l="1"/>
  <c r="P338" i="6" l="1"/>
  <c r="Q338" i="6" s="1"/>
  <c r="O339" i="6" s="1"/>
  <c r="X338" i="6"/>
  <c r="AA338" i="6" l="1"/>
  <c r="R339" i="6"/>
  <c r="X339" i="6" l="1"/>
  <c r="U339" i="6"/>
  <c r="P339" i="6" s="1"/>
  <c r="Q339" i="6" s="1"/>
  <c r="O340" i="6" s="1"/>
  <c r="R340" i="6" l="1"/>
  <c r="AA339" i="6"/>
  <c r="X340" i="6" l="1"/>
  <c r="U340" i="6"/>
  <c r="P340" i="6" s="1"/>
  <c r="Q340" i="6" s="1"/>
  <c r="O341" i="6" s="1"/>
  <c r="R341" i="6" l="1"/>
  <c r="AA340" i="6"/>
  <c r="X341" i="6" l="1"/>
  <c r="U341" i="6"/>
  <c r="P341" i="6" s="1"/>
  <c r="Q341" i="6" s="1"/>
  <c r="O342" i="6" s="1"/>
  <c r="R342" i="6" l="1"/>
  <c r="AA341" i="6"/>
  <c r="X342" i="6" l="1"/>
  <c r="U342" i="6"/>
  <c r="P342" i="6" s="1"/>
  <c r="Q342" i="6" s="1"/>
  <c r="O343" i="6" s="1"/>
  <c r="AA342" i="6" l="1"/>
  <c r="R343" i="6"/>
  <c r="U343" i="6" l="1"/>
  <c r="P343" i="6" l="1"/>
  <c r="Q343" i="6" s="1"/>
  <c r="O344" i="6" s="1"/>
  <c r="X343" i="6"/>
  <c r="R344" i="6" l="1"/>
  <c r="AA343" i="6"/>
  <c r="U344" i="6" l="1"/>
  <c r="P344" i="6" l="1"/>
  <c r="Q344" i="6" s="1"/>
  <c r="O345" i="6" s="1"/>
  <c r="X344" i="6"/>
  <c r="AA344" i="6" l="1"/>
  <c r="R345" i="6"/>
  <c r="U345" i="6" l="1"/>
  <c r="P345" i="6" l="1"/>
  <c r="Q345" i="6" s="1"/>
  <c r="O346" i="6" s="1"/>
  <c r="X345" i="6"/>
  <c r="R346" i="6" l="1"/>
  <c r="AA345" i="6"/>
  <c r="X346" i="6" l="1"/>
  <c r="U346" i="6"/>
  <c r="P346" i="6" s="1"/>
  <c r="Q346" i="6" s="1"/>
  <c r="O347" i="6" s="1"/>
  <c r="AA346" i="6" l="1"/>
  <c r="R347" i="6"/>
  <c r="X347" i="6" l="1"/>
  <c r="U347" i="6"/>
  <c r="P347" i="6" s="1"/>
  <c r="Q347" i="6" s="1"/>
  <c r="O348" i="6" s="1"/>
  <c r="R348" i="6" l="1"/>
  <c r="AA347" i="6"/>
  <c r="X348" i="6" l="1"/>
  <c r="U348" i="6"/>
  <c r="P348" i="6" s="1"/>
  <c r="Q348" i="6" s="1"/>
  <c r="O349" i="6" s="1"/>
  <c r="R349" i="6" l="1"/>
  <c r="AA348" i="6"/>
  <c r="U349" i="6" l="1"/>
  <c r="P349" i="6" l="1"/>
  <c r="Q349" i="6" s="1"/>
  <c r="O350" i="6" s="1"/>
  <c r="X349" i="6"/>
  <c r="R350" i="6" l="1"/>
  <c r="AA349" i="6"/>
  <c r="U350" i="6" l="1"/>
  <c r="P350" i="6" l="1"/>
  <c r="Q350" i="6" s="1"/>
  <c r="O351" i="6" s="1"/>
  <c r="X350" i="6"/>
  <c r="AA350" i="6" l="1"/>
  <c r="R351" i="6"/>
  <c r="U351" i="6" l="1"/>
  <c r="P351" i="6" l="1"/>
  <c r="Q351" i="6" s="1"/>
  <c r="O352" i="6" s="1"/>
  <c r="X351" i="6"/>
  <c r="AA351" i="6" l="1"/>
  <c r="R352" i="6"/>
  <c r="U352" i="6" l="1"/>
  <c r="P352" i="6" l="1"/>
  <c r="Q352" i="6" s="1"/>
  <c r="O353" i="6" s="1"/>
  <c r="X352" i="6"/>
  <c r="AA352" i="6" l="1"/>
  <c r="R353" i="6"/>
  <c r="U353" i="6" l="1"/>
  <c r="P353" i="6" l="1"/>
  <c r="Q353" i="6" s="1"/>
  <c r="O354" i="6" s="1"/>
  <c r="X353" i="6"/>
  <c r="AA353" i="6" l="1"/>
  <c r="R354" i="6"/>
  <c r="U354" i="6" l="1"/>
  <c r="P354" i="6" l="1"/>
  <c r="Q354" i="6" s="1"/>
  <c r="O355" i="6" s="1"/>
  <c r="X354" i="6"/>
  <c r="AA354" i="6" l="1"/>
  <c r="R355" i="6"/>
  <c r="X355" i="6" l="1"/>
  <c r="U355" i="6"/>
  <c r="P355" i="6" s="1"/>
  <c r="Q355" i="6" s="1"/>
  <c r="O356" i="6" s="1"/>
  <c r="R356" i="6" l="1"/>
  <c r="AA355" i="6"/>
  <c r="U356" i="6" l="1"/>
  <c r="P356" i="6" l="1"/>
  <c r="Q356" i="6" s="1"/>
  <c r="O357" i="6" s="1"/>
  <c r="X356" i="6"/>
  <c r="R357" i="6" l="1"/>
  <c r="AA356" i="6"/>
  <c r="X357" i="6" l="1"/>
  <c r="U357" i="6"/>
  <c r="P357" i="6" s="1"/>
  <c r="Q357" i="6" s="1"/>
  <c r="O358" i="6" s="1"/>
  <c r="R358" i="6" l="1"/>
  <c r="AA357" i="6"/>
  <c r="U358" i="6" l="1"/>
  <c r="P358" i="6" l="1"/>
  <c r="Q358" i="6" s="1"/>
  <c r="O359" i="6" s="1"/>
  <c r="X358" i="6"/>
  <c r="R359" i="6" l="1"/>
  <c r="AA358" i="6"/>
  <c r="U359" i="6" l="1"/>
  <c r="P359" i="6" l="1"/>
  <c r="Q359" i="6" s="1"/>
  <c r="O360" i="6" s="1"/>
  <c r="X359" i="6"/>
  <c r="AA359" i="6" l="1"/>
  <c r="R360" i="6"/>
  <c r="U360" i="6" l="1"/>
  <c r="P360" i="6" l="1"/>
  <c r="Q360" i="6" s="1"/>
  <c r="O361" i="6" s="1"/>
  <c r="X360" i="6"/>
  <c r="AA360" i="6" l="1"/>
  <c r="R361" i="6"/>
  <c r="U361" i="6" l="1"/>
  <c r="P361" i="6" l="1"/>
  <c r="Q361" i="6" s="1"/>
  <c r="O362" i="6" s="1"/>
  <c r="X361" i="6"/>
  <c r="AA361" i="6" l="1"/>
  <c r="R362" i="6"/>
  <c r="X362" i="6" l="1"/>
  <c r="U362" i="6"/>
  <c r="P362" i="6" s="1"/>
  <c r="Q362" i="6" s="1"/>
  <c r="O363" i="6" s="1"/>
  <c r="AA362" i="6" l="1"/>
  <c r="R363" i="6"/>
  <c r="U363" i="6" l="1"/>
  <c r="P363" i="6" l="1"/>
  <c r="Q363" i="6" s="1"/>
  <c r="O364" i="6" s="1"/>
  <c r="X363" i="6"/>
  <c r="AA363" i="6" l="1"/>
  <c r="R364" i="6"/>
  <c r="X364" i="6" l="1"/>
  <c r="U364" i="6"/>
  <c r="P364" i="6" s="1"/>
  <c r="Q364" i="6" s="1"/>
  <c r="O365" i="6" s="1"/>
  <c r="AA364" i="6" l="1"/>
  <c r="R365" i="6"/>
  <c r="U365" i="6" l="1"/>
  <c r="P365" i="6" l="1"/>
  <c r="Q365" i="6" s="1"/>
  <c r="O366" i="6" s="1"/>
  <c r="X365" i="6"/>
  <c r="AA365" i="6" l="1"/>
  <c r="R366" i="6"/>
  <c r="U366" i="6" l="1"/>
  <c r="P366" i="6" l="1"/>
  <c r="Q366" i="6" s="1"/>
  <c r="O367" i="6" s="1"/>
  <c r="X366" i="6"/>
  <c r="AA366" i="6" l="1"/>
  <c r="R367" i="6"/>
  <c r="U367" i="6" l="1"/>
  <c r="P367" i="6" l="1"/>
  <c r="Q367" i="6" s="1"/>
  <c r="O368" i="6" s="1"/>
  <c r="X367" i="6"/>
  <c r="AA367" i="6" l="1"/>
  <c r="R368" i="6"/>
  <c r="U368" i="6" l="1"/>
  <c r="P368" i="6" l="1"/>
  <c r="Q368" i="6" s="1"/>
  <c r="O369" i="6" s="1"/>
  <c r="X368" i="6"/>
  <c r="AA368" i="6" l="1"/>
  <c r="R369" i="6"/>
  <c r="U369" i="6" l="1"/>
  <c r="P369" i="6" l="1"/>
  <c r="Q369" i="6" s="1"/>
  <c r="O370" i="6" s="1"/>
  <c r="X369" i="6"/>
  <c r="R370" i="6" l="1"/>
  <c r="AA369" i="6"/>
  <c r="U370" i="6" l="1"/>
  <c r="P370" i="6" l="1"/>
  <c r="Q370" i="6" s="1"/>
  <c r="O371" i="6" s="1"/>
  <c r="X370" i="6"/>
  <c r="AA370" i="6" l="1"/>
  <c r="R371" i="6"/>
  <c r="U371" i="6" l="1"/>
  <c r="P371" i="6" l="1"/>
  <c r="Q371" i="6" s="1"/>
  <c r="O372" i="6" s="1"/>
  <c r="X371" i="6"/>
  <c r="AA371" i="6" l="1"/>
  <c r="R372" i="6"/>
  <c r="U372" i="6" l="1"/>
  <c r="P372" i="6" l="1"/>
  <c r="Q372" i="6" s="1"/>
  <c r="O373" i="6" s="1"/>
  <c r="X372" i="6"/>
  <c r="R373" i="6" l="1"/>
  <c r="AA372" i="6"/>
  <c r="U373" i="6" l="1"/>
  <c r="P373" i="6" l="1"/>
  <c r="Q373" i="6" s="1"/>
  <c r="O374" i="6" s="1"/>
  <c r="X373" i="6"/>
  <c r="AA373" i="6" l="1"/>
  <c r="R374" i="6"/>
  <c r="U374" i="6" l="1"/>
  <c r="P374" i="6" l="1"/>
  <c r="Q374" i="6" s="1"/>
  <c r="O375" i="6" s="1"/>
  <c r="X374" i="6"/>
  <c r="R375" i="6" l="1"/>
  <c r="AA374" i="6"/>
  <c r="U375" i="6" l="1"/>
  <c r="P375" i="6" l="1"/>
  <c r="Q375" i="6" s="1"/>
  <c r="O376" i="6" s="1"/>
  <c r="X375" i="6"/>
  <c r="AA375" i="6" l="1"/>
  <c r="R376" i="6"/>
  <c r="X376" i="6" l="1"/>
  <c r="U376" i="6"/>
  <c r="P376" i="6" s="1"/>
  <c r="Q376" i="6" s="1"/>
  <c r="O377" i="6" s="1"/>
  <c r="R377" i="6" l="1"/>
  <c r="AA376" i="6"/>
  <c r="U377" i="6" l="1"/>
  <c r="P377" i="6" l="1"/>
  <c r="Q377" i="6" s="1"/>
  <c r="O378" i="6" s="1"/>
  <c r="X377" i="6"/>
  <c r="AA377" i="6" l="1"/>
  <c r="R378" i="6"/>
  <c r="U378" i="6" l="1"/>
  <c r="P378" i="6" l="1"/>
  <c r="Q378" i="6" s="1"/>
  <c r="O379" i="6" s="1"/>
  <c r="X378" i="6"/>
  <c r="AA378" i="6" l="1"/>
  <c r="R379" i="6"/>
  <c r="X379" i="6" l="1"/>
  <c r="U379" i="6"/>
  <c r="P379" i="6" s="1"/>
  <c r="Q379" i="6" s="1"/>
  <c r="O380" i="6" s="1"/>
  <c r="AA379" i="6" l="1"/>
  <c r="R380" i="6"/>
  <c r="X380" i="6" l="1"/>
  <c r="U380" i="6"/>
  <c r="P380" i="6" s="1"/>
  <c r="Q380" i="6" s="1"/>
  <c r="O381" i="6" s="1"/>
  <c r="N9" i="6"/>
  <c r="D6" i="2" s="1"/>
  <c r="AA380" i="6" l="1"/>
  <c r="R381" i="6"/>
  <c r="X381" i="6" l="1"/>
  <c r="U381" i="6"/>
  <c r="P381" i="6" s="1"/>
  <c r="AA381" i="6" l="1"/>
  <c r="R382" i="6"/>
  <c r="Q381" i="6"/>
  <c r="O382" i="6" s="1"/>
  <c r="U382" i="6" l="1"/>
  <c r="P382" i="6" l="1"/>
  <c r="X382" i="6"/>
  <c r="Q382" i="6" l="1"/>
  <c r="O383" i="6" s="1"/>
  <c r="AA382" i="6"/>
  <c r="R383" i="6"/>
  <c r="U383" i="6" l="1"/>
  <c r="P383" i="6" l="1"/>
  <c r="X383" i="6"/>
  <c r="Q383" i="6" l="1"/>
  <c r="O384" i="6" s="1"/>
  <c r="R384" i="6"/>
  <c r="AA383" i="6"/>
  <c r="U384" i="6" l="1"/>
  <c r="P384" i="6" l="1"/>
  <c r="X384" i="6"/>
  <c r="Q384" i="6" l="1"/>
  <c r="O385" i="6" s="1"/>
  <c r="R385" i="6"/>
  <c r="AA384" i="6"/>
  <c r="X385" i="6" l="1"/>
  <c r="U385" i="6"/>
  <c r="P385" i="6" s="1"/>
  <c r="R386" i="6" l="1"/>
  <c r="AA385" i="6"/>
  <c r="Q385" i="6"/>
  <c r="O386" i="6" s="1"/>
  <c r="U386" i="6" l="1"/>
  <c r="P386" i="6" l="1"/>
  <c r="X386" i="6"/>
  <c r="Q386" i="6" l="1"/>
  <c r="O387" i="6" s="1"/>
  <c r="AA386" i="6"/>
  <c r="R387" i="6"/>
  <c r="X387" i="6" l="1"/>
  <c r="AA387" i="6" s="1"/>
  <c r="U387" i="6"/>
  <c r="P387" i="6" s="1"/>
  <c r="D8" i="2" l="1"/>
  <c r="C19" i="2" s="1"/>
  <c r="L3" i="1" s="1"/>
  <c r="Q387" i="6"/>
</calcChain>
</file>

<file path=xl/sharedStrings.xml><?xml version="1.0" encoding="utf-8"?>
<sst xmlns="http://schemas.openxmlformats.org/spreadsheetml/2006/main" count="546" uniqueCount="400">
  <si>
    <t>RiskLive · ¿Con qué probabilidad llego a mi meta?</t>
  </si>
  <si>
    <t>Estado del modelo</t>
  </si>
  <si>
    <t>PlanFin v1.0  ·  datos oficiales de Colombia  ·  linaje de cada cifra en la hoja Fuentes</t>
  </si>
  <si>
    <t>PROBABILIDAD DE LLEGAR A LA META</t>
  </si>
  <si>
    <t>VALOR REAL MEDIANO (COP)</t>
  </si>
  <si>
    <t>PERCENTIL 5 (COP)</t>
  </si>
  <si>
    <t>APORTE PARA 80 % (COP/MES)</t>
  </si>
  <si>
    <t>META (COP DE HOY)</t>
  </si>
  <si>
    <t>DATOS AL CORTE</t>
  </si>
  <si>
    <t>HALLAZGOS</t>
  </si>
  <si>
    <t>SALDO REAL MES A MES (MILLONES DE COP DE HOY) · PERCENTILES 5, 25, 50, 75 Y 95 VS META</t>
  </si>
  <si>
    <t>VALOR REAL FINAL (MILLONES DE COP DE HOY) · ÁMBAR: BAJO LA META · VERDE AZULADO: SOBRE LA META</t>
  </si>
  <si>
    <t>SUPUESTOS DEL DÍA</t>
  </si>
  <si>
    <t>VARIABLE</t>
  </si>
  <si>
    <t>VALOR</t>
  </si>
  <si>
    <t>FUENTE</t>
  </si>
  <si>
    <t>Mejor tasa de CDT a 360 días hoy</t>
  </si>
  <si>
    <t>Banco Pichincha (Superfinanciera, corte 2026-09-25)</t>
  </si>
  <si>
    <t>Tasa de CDT a 360 días del sistema</t>
  </si>
  <si>
    <t>BanRep Suameca</t>
  </si>
  <si>
    <t>Tasa de política monetaria</t>
  </si>
  <si>
    <t>IBR a 3 meses</t>
  </si>
  <si>
    <t>Meta de inflación</t>
  </si>
  <si>
    <t>Inflación a 12 meses (IPC)</t>
  </si>
  <si>
    <t>DANE, archivo de índices del IPC</t>
  </si>
  <si>
    <t>Educación financiera, no asesoría de inversión. Los resultados dependen de la calibración con datos históricos; ver hoja Fuentes y las limitaciones del informe.</t>
  </si>
  <si>
    <t>Controles de integridad del modelo</t>
  </si>
  <si>
    <t>ID</t>
  </si>
  <si>
    <t>Control</t>
  </si>
  <si>
    <t>Estado</t>
  </si>
  <si>
    <t>C01</t>
  </si>
  <si>
    <t>Los pesos del portafolio suman 100 %</t>
  </si>
  <si>
    <t>C02</t>
  </si>
  <si>
    <t>Tras liquidar en el horizonte el saldo del libro de caja es cero (LastBalance)</t>
  </si>
  <si>
    <t>C03</t>
  </si>
  <si>
    <t>Suma de flujos descontados a la TIR es cero (ΣXfd)</t>
  </si>
  <si>
    <t>C04</t>
  </si>
  <si>
    <t>El libro de caja no contiene errores de fórmula</t>
  </si>
  <si>
    <t>C05</t>
  </si>
  <si>
    <t>El horizonte está entre 1 y 30 años</t>
  </si>
  <si>
    <t>C06</t>
  </si>
  <si>
    <t>La matriz de correlación es definida positiva</t>
  </si>
  <si>
    <t>C07</t>
  </si>
  <si>
    <t>Al menos 60 observaciones mensuales por serie</t>
  </si>
  <si>
    <t>C08</t>
  </si>
  <si>
    <t>Dato de mercado con menos de 7 días de antigüedad</t>
  </si>
  <si>
    <t>C09</t>
  </si>
  <si>
    <t>La probabilidad de cumplir la meta está entre 0 y 1</t>
  </si>
  <si>
    <t>C10</t>
  </si>
  <si>
    <t>Los parámetros no se editaron después de la corrida</t>
  </si>
  <si>
    <t>C11</t>
  </si>
  <si>
    <t>La muestra de 1.000 corridas es consistente con la simulación completa</t>
  </si>
  <si>
    <t>C12</t>
  </si>
  <si>
    <t>Conciliación del Excel contra un cálculo independiente en Python</t>
  </si>
  <si>
    <t>OK</t>
  </si>
  <si>
    <t>Estado global del modelo</t>
  </si>
  <si>
    <t>Parámetros (celdas azules: edítelas y Modelo_Base se recalcula)</t>
  </si>
  <si>
    <t>Variable</t>
  </si>
  <si>
    <t>Valor</t>
  </si>
  <si>
    <t>Unidad</t>
  </si>
  <si>
    <t>Observación</t>
  </si>
  <si>
    <t>Ahorro inicial</t>
  </si>
  <si>
    <t>COP</t>
  </si>
  <si>
    <t>Depósito en el periodo 0</t>
  </si>
  <si>
    <t>Aporte mensual</t>
  </si>
  <si>
    <t>Al final de cada mes</t>
  </si>
  <si>
    <t>Horizonte</t>
  </si>
  <si>
    <t>años</t>
  </si>
  <si>
    <t>Hasta 30 años</t>
  </si>
  <si>
    <t>Horizonte en meses</t>
  </si>
  <si>
    <t>meses</t>
  </si>
  <si>
    <t>Calculado</t>
  </si>
  <si>
    <t>Meta</t>
  </si>
  <si>
    <t>COP de hoy</t>
  </si>
  <si>
    <t>Valor real que se quiere alcanzar</t>
  </si>
  <si>
    <t>Peso en CDT</t>
  </si>
  <si>
    <t>%</t>
  </si>
  <si>
    <t>Renta fija</t>
  </si>
  <si>
    <t>Peso en COLCAP</t>
  </si>
  <si>
    <t>Renta variable local</t>
  </si>
  <si>
    <t>Peso en dólares</t>
  </si>
  <si>
    <t>Efectivo en USD, rinde la variación de la TRM</t>
  </si>
  <si>
    <t>Suma de pesos</t>
  </si>
  <si>
    <t>Debe ser 100 %</t>
  </si>
  <si>
    <t>Rebalanceo</t>
  </si>
  <si>
    <t>Mensual</t>
  </si>
  <si>
    <t>Mensual, Anual o Ninguno</t>
  </si>
  <si>
    <t>Crecimiento del aporte</t>
  </si>
  <si>
    <t>Con IPC</t>
  </si>
  <si>
    <t>Con IPC mantiene el aporte en pesos reales</t>
  </si>
  <si>
    <t>Retención sobre rendimiento de CDT</t>
  </si>
  <si>
    <t>Verifique la tarifa vigente</t>
  </si>
  <si>
    <t>Fecha de inicio</t>
  </si>
  <si>
    <t>Periodo 0</t>
  </si>
  <si>
    <t>Simulaciones (NSim)</t>
  </si>
  <si>
    <t>corridas</t>
  </si>
  <si>
    <t>Solo cambia volviendo a correr el script</t>
  </si>
  <si>
    <t>Semilla (Seed)</t>
  </si>
  <si>
    <t>Misma semilla, mismo resultado</t>
  </si>
  <si>
    <t>Distribución de los shocks</t>
  </si>
  <si>
    <t>Normal</t>
  </si>
  <si>
    <t>Ventana de calibración</t>
  </si>
  <si>
    <t>Fecha de los datos</t>
  </si>
  <si>
    <t>Dato diario más antiguo usado</t>
  </si>
  <si>
    <t>Fecha de consulta</t>
  </si>
  <si>
    <t>2026-09-29 23:12</t>
  </si>
  <si>
    <t>Supuestos que usó el agente hoy, con su fuente</t>
  </si>
  <si>
    <t>Fuente</t>
  </si>
  <si>
    <t>IDSerie</t>
  </si>
  <si>
    <t>FechaDato</t>
  </si>
  <si>
    <t>FechaConsulta</t>
  </si>
  <si>
    <t>% EA</t>
  </si>
  <si>
    <t>axk9-g2nh</t>
  </si>
  <si>
    <t>% nominal</t>
  </si>
  <si>
    <t>% anual</t>
  </si>
  <si>
    <t>Último COLCAP</t>
  </si>
  <si>
    <t>puntos</t>
  </si>
  <si>
    <t>Última TRM</t>
  </si>
  <si>
    <t>COP/USD</t>
  </si>
  <si>
    <t>Calibración con datos oficiales (ventana de 10 años, datos mensuales)</t>
  </si>
  <si>
    <t>Parámetro</t>
  </si>
  <si>
    <t>Nota</t>
  </si>
  <si>
    <t>Media del retorno log mensual COLCAP</t>
  </si>
  <si>
    <t>mensual</t>
  </si>
  <si>
    <t>MCO / promedio de la ventana</t>
  </si>
  <si>
    <t>Volatilidad mensual COLCAP</t>
  </si>
  <si>
    <t>Media del retorno log mensual TRM</t>
  </si>
  <si>
    <t>Volatilidad mensual TRM</t>
  </si>
  <si>
    <t>CDT: tasa del sistema hoy (x0)</t>
  </si>
  <si>
    <t>BanRep serie 240</t>
  </si>
  <si>
    <t>CDT: prima de la mejor entidad (spread)</t>
  </si>
  <si>
    <t>CDT: tasa de partida (mejor de hoy)</t>
  </si>
  <si>
    <t>x0 + spread</t>
  </si>
  <si>
    <t>CDT: velocidad de reversión (a)</t>
  </si>
  <si>
    <t>Modo: vasicek</t>
  </si>
  <si>
    <t>CDT: nivel de largo plazo (b)</t>
  </si>
  <si>
    <t>Reversión a la media (Vasicek discreto)</t>
  </si>
  <si>
    <t>CDT: volatilidad mensual (sigma)</t>
  </si>
  <si>
    <t>Desviación de los residuos MCO</t>
  </si>
  <si>
    <t>Inflación mensual de partida (pi0)</t>
  </si>
  <si>
    <t>Equivalente mensual del IPC a 12 meses</t>
  </si>
  <si>
    <t>Inflación: velocidad de reversión (a)</t>
  </si>
  <si>
    <t>Inflación: nivel de largo plazo (b)</t>
  </si>
  <si>
    <t>Meta de inflación del BanRep en base mensual</t>
  </si>
  <si>
    <t>Inflación: volatilidad mensual (sigma)</t>
  </si>
  <si>
    <t>Observaciones mensuales mínimas por serie</t>
  </si>
  <si>
    <t>Mínimo exigido: 60</t>
  </si>
  <si>
    <t>Grados de libertad t de Student</t>
  </si>
  <si>
    <t>Solo se usan con distribución t</t>
  </si>
  <si>
    <t>Pruebas de normalidad de los retornos mensuales</t>
  </si>
  <si>
    <t>Serie</t>
  </si>
  <si>
    <t>Asimetría</t>
  </si>
  <si>
    <t>Curtosis (exceso)</t>
  </si>
  <si>
    <t>Jarque-Bera</t>
  </si>
  <si>
    <t>Valor p</t>
  </si>
  <si>
    <t>Normal rechazada (5 %)</t>
  </si>
  <si>
    <t>Observaciones</t>
  </si>
  <si>
    <t>COLCAP</t>
  </si>
  <si>
    <t>Sí</t>
  </si>
  <si>
    <t>TRM</t>
  </si>
  <si>
    <t>No</t>
  </si>
  <si>
    <t>Matriz de correlación de los shocks (estandarizados)</t>
  </si>
  <si>
    <t>CDT</t>
  </si>
  <si>
    <t>IPC</t>
  </si>
  <si>
    <t>Definida positiva</t>
  </si>
  <si>
    <t>Autovalor mínimo</t>
  </si>
  <si>
    <t>Modelo base: escenario esperado con fórmulas vivas</t>
  </si>
  <si>
    <t>Libro de caja con la estructura del Model Risk del curso (perspectiva del inversionista); los rendimientos son los valores esperados de la calibración.</t>
  </si>
  <si>
    <t>ITEM</t>
  </si>
  <si>
    <t>DESCRIPTION</t>
  </si>
  <si>
    <t>VALUE</t>
  </si>
  <si>
    <t>UNIT</t>
  </si>
  <si>
    <t>SALIDAS DEL ESCENARIO ESPERADO</t>
  </si>
  <si>
    <t>Type of asset</t>
  </si>
  <si>
    <t>Portafolio de ahorro</t>
  </si>
  <si>
    <t>Saldo final nominal (antes de liquidar)</t>
  </si>
  <si>
    <t>Value of the asset</t>
  </si>
  <si>
    <t>Asset</t>
  </si>
  <si>
    <t>Saldo final real (pesos de hoy)</t>
  </si>
  <si>
    <t>Downpayment (%)</t>
  </si>
  <si>
    <t>DownpaymentP</t>
  </si>
  <si>
    <t>LastBalance (debe ser 0 tras liquidar)</t>
  </si>
  <si>
    <t>Downpayment ($)</t>
  </si>
  <si>
    <t>Downpayment</t>
  </si>
  <si>
    <t>Sum Xfd (debe ser 0)</t>
  </si>
  <si>
    <t>Value invested (Principal)</t>
  </si>
  <si>
    <t>Principal</t>
  </si>
  <si>
    <t>Total aportado (nominal)</t>
  </si>
  <si>
    <t>Term (years)</t>
  </si>
  <si>
    <t>Term</t>
  </si>
  <si>
    <t>Frequency of payments</t>
  </si>
  <si>
    <t>Freq</t>
  </si>
  <si>
    <t>Monthly</t>
  </si>
  <si>
    <t>Number of payments per year</t>
  </si>
  <si>
    <t>m</t>
  </si>
  <si>
    <t>Effective annual rate (EAR) implícita</t>
  </si>
  <si>
    <t>EAR</t>
  </si>
  <si>
    <t>Nominal annual rate (NOM) implícita</t>
  </si>
  <si>
    <t>NOM</t>
  </si>
  <si>
    <t>NAMV</t>
  </si>
  <si>
    <t>Periodic rate (TIR mensual del flujo)</t>
  </si>
  <si>
    <t>PerRate</t>
  </si>
  <si>
    <t>EM</t>
  </si>
  <si>
    <t>Disbursement date</t>
  </si>
  <si>
    <t>Disbursement</t>
  </si>
  <si>
    <t>Number of installments</t>
  </si>
  <si>
    <t>nInstallments</t>
  </si>
  <si>
    <t>aportes</t>
  </si>
  <si>
    <t>Value of the installment (aporte inicial)</t>
  </si>
  <si>
    <t>Installment</t>
  </si>
  <si>
    <t>Perspective</t>
  </si>
  <si>
    <t>Investor</t>
  </si>
  <si>
    <t>LIBRO DE CAJA · PERIODO 0 = DEPÓSITO INICIAL, APORTES AL FINAL DE CADA MES · FILAS FUERA DEL HORIZONTE EN GRIS</t>
  </si>
  <si>
    <t>CALENDARIO Y MACRO</t>
  </si>
  <si>
    <t>RENDIMIENTOS ESPERADOS</t>
  </si>
  <si>
    <t>LIBRO DE CAJA (ESTRUCTURA DEL PROFE)</t>
  </si>
  <si>
    <t>INTERESES POR ACTIVO</t>
  </si>
  <si>
    <t>SALDOS POR ACTIVO</t>
  </si>
  <si>
    <t>SALIDAS</t>
  </si>
  <si>
    <t>Period</t>
  </si>
  <si>
    <t>Date</t>
  </si>
  <si>
    <t>Act</t>
  </si>
  <si>
    <t>InflMes</t>
  </si>
  <si>
    <t>CumInfl</t>
  </si>
  <si>
    <t>TasaCDT</t>
  </si>
  <si>
    <t>RetCDT</t>
  </si>
  <si>
    <t>RetCOLCAP</t>
  </si>
  <si>
    <t>RetUSD</t>
  </si>
  <si>
    <t>Rebal</t>
  </si>
  <si>
    <t>Outflow</t>
  </si>
  <si>
    <t>Inflow</t>
  </si>
  <si>
    <t>NetCF</t>
  </si>
  <si>
    <t>InitialBalance</t>
  </si>
  <si>
    <t>Interest</t>
  </si>
  <si>
    <t>Balance</t>
  </si>
  <si>
    <t>IniCDT</t>
  </si>
  <si>
    <t>IniCOLCAP</t>
  </si>
  <si>
    <t>IniUSD</t>
  </si>
  <si>
    <t>IntCDT</t>
  </si>
  <si>
    <t>IntCOLCAP</t>
  </si>
  <si>
    <t>IntUSD</t>
  </si>
  <si>
    <t>BalCDT</t>
  </si>
  <si>
    <t>BalCOLCAP</t>
  </si>
  <si>
    <t>BalUSD</t>
  </si>
  <si>
    <t>TotalPreLiq</t>
  </si>
  <si>
    <t>RealBalance</t>
  </si>
  <si>
    <t>fd</t>
  </si>
  <si>
    <t>Xfd</t>
  </si>
  <si>
    <t>Muestra de las primeras 1.000 corridas de 10.000 (las estadísticas usan todas)</t>
  </si>
  <si>
    <t>ESTADÍSTICAS DE LA MUESTRA (EN VIVO)</t>
  </si>
  <si>
    <t>P(cumplir la meta) en la muestra</t>
  </si>
  <si>
    <t>Mediana del valor real</t>
  </si>
  <si>
    <t>Percentil 5 del valor real</t>
  </si>
  <si>
    <t>Corrida</t>
  </si>
  <si>
    <t>ValorFinalNominal</t>
  </si>
  <si>
    <t>AportesReales</t>
  </si>
  <si>
    <t>ValorFinalReal</t>
  </si>
  <si>
    <t>GananciaReal</t>
  </si>
  <si>
    <t>CumpleMeta</t>
  </si>
  <si>
    <t>MaxDrawdown</t>
  </si>
  <si>
    <t>Resultados de la simulación (valores calculados por Python en la corrida)</t>
  </si>
  <si>
    <t>Resultado</t>
  </si>
  <si>
    <t>P(cumplir la meta)</t>
  </si>
  <si>
    <t>% de corridas</t>
  </si>
  <si>
    <t>Valor real final &gt;= meta</t>
  </si>
  <si>
    <t>Peor caso razonable</t>
  </si>
  <si>
    <t>Percentil 25</t>
  </si>
  <si>
    <t>Percentil 75</t>
  </si>
  <si>
    <t>Percentil 95</t>
  </si>
  <si>
    <t>Media del valor real</t>
  </si>
  <si>
    <t>Valor final nominal (mediana)</t>
  </si>
  <si>
    <t>COP futuros</t>
  </si>
  <si>
    <t>Aportes reales medios</t>
  </si>
  <si>
    <t>Ahorro inicial + aportes en pesos de hoy</t>
  </si>
  <si>
    <t>VaR 95 % de la ganancia real</t>
  </si>
  <si>
    <t>Pérdida real en el percentil 95; negativo = aún hay ganancia real en el peor 5 %</t>
  </si>
  <si>
    <t>CVaR 95 % de la ganancia real</t>
  </si>
  <si>
    <t>Promedio de la cola del peor 5 %</t>
  </si>
  <si>
    <t>P(perder poder adquisitivo)</t>
  </si>
  <si>
    <t>Valor real final &lt; aportes reales</t>
  </si>
  <si>
    <t>Caída máxima mediana del saldo real</t>
  </si>
  <si>
    <t>Desde el máximo previo</t>
  </si>
  <si>
    <t>Caída máxima, percentil 95</t>
  </si>
  <si>
    <t>Aporte mensual para 80 % de probabilidad</t>
  </si>
  <si>
    <t>COP por mes</t>
  </si>
  <si>
    <t>Misma semilla; solución exacta por cuantil</t>
  </si>
  <si>
    <t>PARÁMETROS DE LA CORRIDA (Controles avisa si Parametros se edita después)</t>
  </si>
  <si>
    <t>AhorroInicialCorrida</t>
  </si>
  <si>
    <t>AporteMensualCorrida</t>
  </si>
  <si>
    <t>HorizonteMesesCorrida</t>
  </si>
  <si>
    <t>MetaCorrida</t>
  </si>
  <si>
    <t>PesoCDTCorrida</t>
  </si>
  <si>
    <t>PesoCOLCAPCorrida</t>
  </si>
  <si>
    <t>PesoUSDCorrida</t>
  </si>
  <si>
    <t>RebalanceoCorrida</t>
  </si>
  <si>
    <t>CrecimientoCorrida</t>
  </si>
  <si>
    <t>RetencionCorrida</t>
  </si>
  <si>
    <t>SENSIBILIDAD AL APORTE MENSUAL (misma simulación)</t>
  </si>
  <si>
    <t>CambioAporte</t>
  </si>
  <si>
    <t>AporteMensual</t>
  </si>
  <si>
    <t>PMeta</t>
  </si>
  <si>
    <t>MedianaReal</t>
  </si>
  <si>
    <t>SENSIBILIDAD AL PESO EN COLCAP (el resto se reparte en la proporción original)</t>
  </si>
  <si>
    <t>PesoCOLCAP</t>
  </si>
  <si>
    <t>PesoCDT</t>
  </si>
  <si>
    <t>PesoUSD</t>
  </si>
  <si>
    <t>P5Real</t>
  </si>
  <si>
    <t>DISTRIBUCIÓN DEL VALOR REAL FINAL (30 intervalos entre los percentiles 0,5 y 99,5)</t>
  </si>
  <si>
    <t>Centro</t>
  </si>
  <si>
    <t>Desde</t>
  </si>
  <si>
    <t>Hasta</t>
  </si>
  <si>
    <t>Corridas</t>
  </si>
  <si>
    <t>Zona</t>
  </si>
  <si>
    <t>62,5</t>
  </si>
  <si>
    <t>Bajo la meta</t>
  </si>
  <si>
    <t>63,6</t>
  </si>
  <si>
    <t>64,7</t>
  </si>
  <si>
    <t>65,8</t>
  </si>
  <si>
    <t>66,9</t>
  </si>
  <si>
    <t>68,1</t>
  </si>
  <si>
    <t>69,2</t>
  </si>
  <si>
    <t>70,3</t>
  </si>
  <si>
    <t>71,4</t>
  </si>
  <si>
    <t>72,5</t>
  </si>
  <si>
    <t>73,6</t>
  </si>
  <si>
    <t>74,8</t>
  </si>
  <si>
    <t>75,9</t>
  </si>
  <si>
    <t>77,0</t>
  </si>
  <si>
    <t>78,1</t>
  </si>
  <si>
    <t>79,2</t>
  </si>
  <si>
    <t>80,4</t>
  </si>
  <si>
    <t>Sobre la meta</t>
  </si>
  <si>
    <t>81,5</t>
  </si>
  <si>
    <t>82,6</t>
  </si>
  <si>
    <t>83,7</t>
  </si>
  <si>
    <t>84,8</t>
  </si>
  <si>
    <t>85,9</t>
  </si>
  <si>
    <t>87,1</t>
  </si>
  <si>
    <t>88,2</t>
  </si>
  <si>
    <t>89,3</t>
  </si>
  <si>
    <t>90,4</t>
  </si>
  <si>
    <t>91,5</t>
  </si>
  <si>
    <t>92,7</t>
  </si>
  <si>
    <t>93,8</t>
  </si>
  <si>
    <t>94,9</t>
  </si>
  <si>
    <t>Percentiles del saldo real mes a mes (tabla detrás del fan chart)</t>
  </si>
  <si>
    <t>Mes</t>
  </si>
  <si>
    <t>P5</t>
  </si>
  <si>
    <t>P25</t>
  </si>
  <si>
    <t>P50</t>
  </si>
  <si>
    <t>P75</t>
  </si>
  <si>
    <t>P95</t>
  </si>
  <si>
    <t>Fuentes, validaciones y notas metodológicas</t>
  </si>
  <si>
    <t>URL</t>
  </si>
  <si>
    <t>FechaHoraConsulta</t>
  </si>
  <si>
    <t>Detalle</t>
  </si>
  <si>
    <t>https://suameca.banrep.gov.co/estadisticas-economicas-back/rest/estadisticaEconomicaRestService/consultaInformacionSerie?idSerie=6</t>
  </si>
  <si>
    <t>Último dato 2026-09-29, 121 meses en la ventana</t>
  </si>
  <si>
    <t>https://suameca.banrep.gov.co/estadisticas-economicas-back/rest/estadisticaEconomicaRestService/consultaInformacionSerie?idSerie=1</t>
  </si>
  <si>
    <t>CDT 360 días (sistema)</t>
  </si>
  <si>
    <t>https://suameca.banrep.gov.co/estadisticas-economicas-back/rest/estadisticaEconomicaRestService/consultaInformacionSerie?idSerie=240</t>
  </si>
  <si>
    <t>Último dato 2026-09-25, 121 meses en la ventana</t>
  </si>
  <si>
    <t>Mejor CDT 360 días (Superfinanciera)</t>
  </si>
  <si>
    <t>https://www.datos.gov.co/resource/axk9-g2nh.json?$where=fechacorte&gt;='2026-09-18T00:00:00.000' AND uca in('1')&amp;$limit=50000</t>
  </si>
  <si>
    <t>Último dato 2026-09-25</t>
  </si>
  <si>
    <t>IPC total nacional (DANE)</t>
  </si>
  <si>
    <t>https://www.dane.gov.co/files/operaciones/IPC/ago2026/anex-IPC-Indices-ago2026.xlsx</t>
  </si>
  <si>
    <t>Último dato 2026-08-31, 120 meses en la ventana</t>
  </si>
  <si>
    <t>Meta de inflación (BanRep)</t>
  </si>
  <si>
    <t>https://suameca.banrep.gov.co/estadisticas-economicas-back/rest/estadisticaEconomicaRestService/consultaInformacionSerie?idSerie=853</t>
  </si>
  <si>
    <t>Último dato 2026-08-31</t>
  </si>
  <si>
    <t>BanRep Suameca serie 59</t>
  </si>
  <si>
    <t>https://suameca.banrep.gov.co/estadisticas-economicas-back/rest/estadisticaEconomicaRestService/consultaInformacionSerie?idSerie=59</t>
  </si>
  <si>
    <t>BanRep Suameca serie 243</t>
  </si>
  <si>
    <t>https://suameca.banrep.gov.co/estadisticas-economicas-back/rest/estadisticaEconomicaRestService/consultaInformacionSerie?idSerie=243</t>
  </si>
  <si>
    <t>Indicador Bancario de Referencia (IBR) a 3 meses, nominal</t>
  </si>
  <si>
    <t>Validacion</t>
  </si>
  <si>
    <t>Los pesos suman 100 %</t>
  </si>
  <si>
    <t>Suma = 100 %</t>
  </si>
  <si>
    <t>Matriz de correlación definida positiva</t>
  </si>
  <si>
    <t>Autovalor mínimo 0.4577</t>
  </si>
  <si>
    <t>Mínimo 119 meses</t>
  </si>
  <si>
    <t>P(meta) entre 0 y 1</t>
  </si>
  <si>
    <t>P(meta) = 0.3180</t>
  </si>
  <si>
    <t>Con volatilidad cero la simulación coincide con el escenario esperado (tolerancia $1)</t>
  </si>
  <si>
    <t>Diferencia máxima $0.000000</t>
  </si>
  <si>
    <t>Fecha de los datos con menos de 7 días</t>
  </si>
  <si>
    <t>Dato más antiguo 2026-09-25 (4 días)</t>
  </si>
  <si>
    <t>Aporte para 80 % coincide con la búsqueda binaria</t>
  </si>
  <si>
    <t>Cuantil 1,127,533 vs bisección 1,127,524</t>
  </si>
  <si>
    <t>Excel recalculado coincide con Python; al duplicar el aporte todo se recalcula</t>
  </si>
  <si>
    <t>0 errores de fórmula; saldo final nominal $90,230,039</t>
  </si>
  <si>
    <t>Activos: CDT (tasa EA simulada, retención sobre el rendimiento), COLCAP (retorno logarítmico normal o t de Student) y dólares (variación de la TRM; efectivo en USD sin rendimiento propio).</t>
  </si>
  <si>
    <t>Renta fija: el saldo rota; cada mes rinde a la tasa vigente simulada. Es una aproximación a una escalera de CDT, no el rendimiento de un CDT único con tasa fija.</t>
  </si>
  <si>
    <t>Escenario esperado (hoja Modelo_Base): sin shocks; COLCAP y USD con el retorno aritmético esperado exp(mu + sigma²/2) − 1; inflación y tasa de CDT siguen su reversión a la media sin ruido.</t>
  </si>
  <si>
    <t>Calendario: periodo 0 = depósito inicial; los aportes entran al final de cada mes; el saldo rinde durante el mes. El aporte crece con la inflación acumulada si se eligió 'Con IPC'.</t>
  </si>
  <si>
    <t>VaR y CVaR: se calculan sobre la ganancia real (valor real final menos aportes reales). Valor negativo significa que en el peor 5 % de los casos todavía hay ganancia real.</t>
  </si>
  <si>
    <t>Aporte para 80 %: como el valor final es lineal en el aporte, se resuelve exactamente con el cuantil 80 % del aporte exigido en cada corrida; se verifica contra una búsqueda binaria en los tests.</t>
  </si>
  <si>
    <t>El dataset de la Superfinanciera de rentabilidad de fondos de pensiones (gfy9-fpbr) no expone columnas por la API y no se usó.</t>
  </si>
  <si>
    <t>Educación financiera, no asesoría de inversión.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</si>
</sst>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0.0000%"/>
    <numFmt numFmtId="166" formatCode="0.0000"/>
    <numFmt numFmtId="167" formatCode="0.000"/>
    <numFmt numFmtId="168" formatCode="0.000000"/>
    <numFmt numFmtId="169" formatCode="0.000%"/>
    <numFmt numFmtId="170" formatCode="#,##0;[Color10]\-#,##0"/>
    <numFmt numFmtId="171" formatCode="\+0%;\-0%;0%"/>
  </numFmts>
  <fonts count="16">
    <font>
      <sz val="11"/>
      <color theme="1"/>
      <name val="Calibri"/>
      <family val="2"/>
      <scheme val="minor"/>
    </font>
    <font>
      <b/>
      <sz val="8"/>
      <color rgb="FF6B7280"/>
      <name val="Calibri"/>
    </font>
    <font>
      <b/>
      <sz val="22"/>
      <color rgb="FF111827"/>
      <name val="Segoe UI"/>
    </font>
    <font>
      <sz val="10"/>
      <color rgb="FF6B7280"/>
      <name val="Segoe UI"/>
    </font>
    <font>
      <sz val="8"/>
      <color rgb="FF9CA3AF"/>
      <name val="Segoe UI"/>
    </font>
    <font>
      <sz val="8"/>
      <color rgb="FF7F7F7F"/>
      <name val="Segoe UI"/>
    </font>
    <font>
      <b/>
      <sz val="10"/>
      <name val="Segoe UI"/>
    </font>
    <font>
      <b/>
      <sz val="8"/>
      <color rgb="FF6B7280"/>
      <name val="Segoe UI"/>
    </font>
    <font>
      <b/>
      <sz val="20"/>
      <color rgb="FF111827"/>
      <name val="Segoe UI"/>
    </font>
    <font>
      <sz val="10"/>
      <color theme="1"/>
      <name val="Calibri"/>
      <family val="2"/>
      <scheme val="minor"/>
    </font>
    <font>
      <i/>
      <sz val="8"/>
      <color rgb="FF6B7280"/>
      <name val="Segoe UI"/>
    </font>
    <font>
      <b/>
      <sz val="16"/>
      <color rgb="FF111827"/>
      <name val="Segoe UI"/>
    </font>
    <font>
      <b/>
      <sz val="12"/>
      <name val="Segoe UI"/>
    </font>
    <font>
      <b/>
      <sz val="14"/>
      <color rgb="FF111827"/>
      <name val="Segoe UI"/>
    </font>
    <font>
      <sz val="10"/>
      <color rgb="FF0000FF"/>
      <name val="Calibri"/>
      <family val="2"/>
      <scheme val="minor"/>
    </font>
    <font>
      <b/>
      <sz val="8"/>
      <color rgb="FF0F766E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111827"/>
      </bottom>
      <diagonal/>
    </border>
    <border>
      <left/>
      <right/>
      <top/>
      <bottom style="hair">
        <color rgb="FF9CA3AF"/>
      </bottom>
      <diagonal/>
    </border>
    <border>
      <left/>
      <right/>
      <top/>
      <bottom style="thin">
        <color rgb="FFE5E7EB"/>
      </bottom>
      <diagonal/>
    </border>
    <border>
      <left/>
      <right/>
      <top style="medium">
        <color rgb="FF0F766E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4" fillId="0" borderId="3" xfId="0" applyFont="1" applyBorder="1"/>
    <xf numFmtId="0" fontId="0" fillId="0" borderId="3" xfId="0" applyBorder="1"/>
    <xf numFmtId="0" fontId="7" fillId="0" borderId="0" xfId="0" applyFont="1"/>
    <xf numFmtId="0" fontId="9" fillId="0" borderId="0" xfId="0" applyFont="1"/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2" xfId="0" applyFont="1" applyBorder="1"/>
    <xf numFmtId="0" fontId="0" fillId="0" borderId="2" xfId="0" applyBorder="1"/>
    <xf numFmtId="10" fontId="9" fillId="0" borderId="2" xfId="0" applyNumberFormat="1" applyFont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3" fontId="14" fillId="2" borderId="2" xfId="0" applyNumberFormat="1" applyFont="1" applyFill="1" applyBorder="1"/>
    <xf numFmtId="1" fontId="14" fillId="2" borderId="2" xfId="0" applyNumberFormat="1" applyFont="1" applyFill="1" applyBorder="1"/>
    <xf numFmtId="1" fontId="9" fillId="0" borderId="2" xfId="0" applyNumberFormat="1" applyFont="1" applyBorder="1"/>
    <xf numFmtId="10" fontId="14" fillId="2" borderId="2" xfId="0" applyNumberFormat="1" applyFont="1" applyFill="1" applyBorder="1"/>
    <xf numFmtId="10" fontId="9" fillId="0" borderId="2" xfId="0" applyNumberFormat="1" applyFont="1" applyBorder="1"/>
    <xf numFmtId="0" fontId="14" fillId="2" borderId="2" xfId="0" applyFont="1" applyFill="1" applyBorder="1"/>
    <xf numFmtId="164" fontId="14" fillId="2" borderId="2" xfId="0" applyNumberFormat="1" applyFont="1" applyFill="1" applyBorder="1"/>
    <xf numFmtId="3" fontId="9" fillId="0" borderId="2" xfId="0" applyNumberFormat="1" applyFont="1" applyBorder="1"/>
    <xf numFmtId="164" fontId="9" fillId="0" borderId="2" xfId="0" applyNumberFormat="1" applyFont="1" applyBorder="1"/>
    <xf numFmtId="4" fontId="9" fillId="0" borderId="2" xfId="0" applyNumberFormat="1" applyFont="1" applyBorder="1" applyAlignment="1">
      <alignment horizontal="right"/>
    </xf>
    <xf numFmtId="165" fontId="9" fillId="0" borderId="2" xfId="0" applyNumberFormat="1" applyFont="1" applyBorder="1"/>
    <xf numFmtId="166" fontId="9" fillId="0" borderId="2" xfId="0" applyNumberFormat="1" applyFont="1" applyBorder="1"/>
    <xf numFmtId="2" fontId="9" fillId="0" borderId="2" xfId="0" applyNumberFormat="1" applyFont="1" applyBorder="1"/>
    <xf numFmtId="0" fontId="7" fillId="0" borderId="1" xfId="0" applyFont="1" applyBorder="1" applyAlignment="1">
      <alignment horizontal="right" vertical="center" wrapText="1"/>
    </xf>
    <xf numFmtId="167" fontId="9" fillId="0" borderId="2" xfId="0" applyNumberFormat="1" applyFont="1" applyBorder="1"/>
    <xf numFmtId="0" fontId="7" fillId="0" borderId="1" xfId="0" applyFont="1" applyBorder="1" applyAlignment="1">
      <alignment horizontal="right"/>
    </xf>
    <xf numFmtId="166" fontId="9" fillId="0" borderId="0" xfId="0" applyNumberFormat="1" applyFont="1"/>
    <xf numFmtId="0" fontId="9" fillId="0" borderId="2" xfId="0" applyFont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168" fontId="9" fillId="0" borderId="2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right"/>
    </xf>
    <xf numFmtId="165" fontId="9" fillId="0" borderId="2" xfId="0" applyNumberFormat="1" applyFont="1" applyBorder="1" applyAlignment="1">
      <alignment horizontal="right"/>
    </xf>
    <xf numFmtId="164" fontId="9" fillId="0" borderId="2" xfId="0" applyNumberFormat="1" applyFont="1" applyBorder="1" applyAlignment="1">
      <alignment horizontal="right"/>
    </xf>
    <xf numFmtId="169" fontId="9" fillId="0" borderId="2" xfId="0" applyNumberFormat="1" applyFont="1" applyBorder="1"/>
    <xf numFmtId="168" fontId="9" fillId="0" borderId="2" xfId="0" applyNumberFormat="1" applyFont="1" applyBorder="1"/>
    <xf numFmtId="4" fontId="9" fillId="0" borderId="2" xfId="0" applyNumberFormat="1" applyFont="1" applyBorder="1"/>
    <xf numFmtId="10" fontId="9" fillId="0" borderId="0" xfId="0" applyNumberFormat="1" applyFont="1"/>
    <xf numFmtId="3" fontId="9" fillId="0" borderId="0" xfId="0" applyNumberFormat="1" applyFont="1"/>
    <xf numFmtId="170" fontId="9" fillId="0" borderId="2" xfId="0" applyNumberFormat="1" applyFont="1" applyBorder="1"/>
    <xf numFmtId="171" fontId="9" fillId="0" borderId="2" xfId="0" applyNumberFormat="1" applyFont="1" applyBorder="1"/>
    <xf numFmtId="9" fontId="9" fillId="0" borderId="2" xfId="0" applyNumberFormat="1" applyFont="1" applyBorder="1"/>
    <xf numFmtId="3" fontId="0" fillId="0" borderId="2" xfId="0" applyNumberFormat="1" applyBorder="1"/>
    <xf numFmtId="0" fontId="7" fillId="0" borderId="4" xfId="0" applyFont="1" applyBorder="1" applyAlignment="1">
      <alignment horizontal="left"/>
    </xf>
    <xf numFmtId="0" fontId="0" fillId="0" borderId="4" xfId="0" applyBorder="1"/>
    <xf numFmtId="3" fontId="8" fillId="0" borderId="0" xfId="0" applyNumberFormat="1" applyFont="1" applyAlignment="1">
      <alignment horizontal="left" vertical="center"/>
    </xf>
    <xf numFmtId="0" fontId="0" fillId="0" borderId="0" xfId="0"/>
    <xf numFmtId="10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top" wrapText="1"/>
    </xf>
    <xf numFmtId="0" fontId="9" fillId="0" borderId="2" xfId="0" applyFont="1" applyBorder="1"/>
    <xf numFmtId="0" fontId="0" fillId="0" borderId="2" xfId="0" applyBorder="1"/>
    <xf numFmtId="0" fontId="15" fillId="0" borderId="0" xfId="0" applyFont="1" applyAlignment="1">
      <alignment horizontal="left"/>
    </xf>
  </cellXfs>
  <cellStyles count="1">
    <cellStyle name="Normal" xfId="0" builtinId="0"/>
  </cellStyles>
  <dxfs count="13">
    <dxf>
      <font>
        <color rgb="FFC0C4CC"/>
      </font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Percentiles_Mes!$B$4</c:f>
              <c:strCache>
                <c:ptCount val="1"/>
                <c:pt idx="0">
                  <c:v>P5</c:v>
                </c:pt>
              </c:strCache>
            </c:strRef>
          </c:tx>
          <c:spPr>
            <a:ln w="12000">
              <a:solidFill>
                <a:srgbClr val="99E0D6"/>
              </a:solidFill>
              <a:prstDash val="solid"/>
            </a:ln>
          </c:spPr>
          <c:marker>
            <c:symbol val="none"/>
          </c:marker>
          <c:cat>
            <c:numRef>
              <c:f>Percentiles_Mes!$A$5:$A$65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Percentiles_Mes!$B$5:$B$65</c:f>
              <c:numCache>
                <c:formatCode>#,##0</c:formatCode>
                <c:ptCount val="61"/>
                <c:pt idx="0">
                  <c:v>5000000</c:v>
                </c:pt>
                <c:pt idx="1">
                  <c:v>5914311.0957680512</c:v>
                </c:pt>
                <c:pt idx="2">
                  <c:v>6876860.3478176128</c:v>
                </c:pt>
                <c:pt idx="3">
                  <c:v>7843810.0021850485</c:v>
                </c:pt>
                <c:pt idx="4">
                  <c:v>8809775.1189210564</c:v>
                </c:pt>
                <c:pt idx="5">
                  <c:v>9781661.804553451</c:v>
                </c:pt>
                <c:pt idx="6">
                  <c:v>10750270.69378135</c:v>
                </c:pt>
                <c:pt idx="7">
                  <c:v>11722005.142916691</c:v>
                </c:pt>
                <c:pt idx="8">
                  <c:v>12703761.81234728</c:v>
                </c:pt>
                <c:pt idx="9">
                  <c:v>13680477.98820482</c:v>
                </c:pt>
                <c:pt idx="10">
                  <c:v>14657271.18712334</c:v>
                </c:pt>
                <c:pt idx="11">
                  <c:v>15647565.158354539</c:v>
                </c:pt>
                <c:pt idx="12">
                  <c:v>16620267.526401879</c:v>
                </c:pt>
                <c:pt idx="13">
                  <c:v>17618799.700630762</c:v>
                </c:pt>
                <c:pt idx="14">
                  <c:v>18612920.55820743</c:v>
                </c:pt>
                <c:pt idx="15">
                  <c:v>19607327.059962109</c:v>
                </c:pt>
                <c:pt idx="16">
                  <c:v>20588392.353834528</c:v>
                </c:pt>
                <c:pt idx="17">
                  <c:v>21590847.409647949</c:v>
                </c:pt>
                <c:pt idx="18">
                  <c:v>22582443.059432659</c:v>
                </c:pt>
                <c:pt idx="19">
                  <c:v>23606536.62981255</c:v>
                </c:pt>
                <c:pt idx="20">
                  <c:v>24593127.994593412</c:v>
                </c:pt>
                <c:pt idx="21">
                  <c:v>25617153.82058309</c:v>
                </c:pt>
                <c:pt idx="22">
                  <c:v>26622663.229220498</c:v>
                </c:pt>
                <c:pt idx="23">
                  <c:v>27643960.84696145</c:v>
                </c:pt>
                <c:pt idx="24">
                  <c:v>28654528.692935642</c:v>
                </c:pt>
                <c:pt idx="25">
                  <c:v>29700988.48547088</c:v>
                </c:pt>
                <c:pt idx="26">
                  <c:v>30740405.806315269</c:v>
                </c:pt>
                <c:pt idx="27">
                  <c:v>31778898.30893413</c:v>
                </c:pt>
                <c:pt idx="28">
                  <c:v>32797802.621791661</c:v>
                </c:pt>
                <c:pt idx="29">
                  <c:v>33846346.329761647</c:v>
                </c:pt>
                <c:pt idx="30">
                  <c:v>34928576.449988849</c:v>
                </c:pt>
                <c:pt idx="31">
                  <c:v>35937591.676451951</c:v>
                </c:pt>
                <c:pt idx="32">
                  <c:v>36991893.402888447</c:v>
                </c:pt>
                <c:pt idx="33">
                  <c:v>37981854.560316518</c:v>
                </c:pt>
                <c:pt idx="34">
                  <c:v>39001318.307798669</c:v>
                </c:pt>
                <c:pt idx="35">
                  <c:v>40067575.936313868</c:v>
                </c:pt>
                <c:pt idx="36">
                  <c:v>41098888.994973823</c:v>
                </c:pt>
                <c:pt idx="37">
                  <c:v>42134425.616808102</c:v>
                </c:pt>
                <c:pt idx="38">
                  <c:v>43207245.290766887</c:v>
                </c:pt>
                <c:pt idx="39">
                  <c:v>44247926.503457613</c:v>
                </c:pt>
                <c:pt idx="40">
                  <c:v>45320130.232167147</c:v>
                </c:pt>
                <c:pt idx="41">
                  <c:v>46326580.003991053</c:v>
                </c:pt>
                <c:pt idx="42">
                  <c:v>47394989.734912284</c:v>
                </c:pt>
                <c:pt idx="43">
                  <c:v>48482117.640881993</c:v>
                </c:pt>
                <c:pt idx="44">
                  <c:v>49510883.586181954</c:v>
                </c:pt>
                <c:pt idx="45">
                  <c:v>50616041.854898527</c:v>
                </c:pt>
                <c:pt idx="46">
                  <c:v>51623300.62565504</c:v>
                </c:pt>
                <c:pt idx="47">
                  <c:v>52709698.109702677</c:v>
                </c:pt>
                <c:pt idx="48">
                  <c:v>53776889.157706782</c:v>
                </c:pt>
                <c:pt idx="49">
                  <c:v>54906610.060701363</c:v>
                </c:pt>
                <c:pt idx="50">
                  <c:v>55979616.939374954</c:v>
                </c:pt>
                <c:pt idx="51">
                  <c:v>57017617.355486043</c:v>
                </c:pt>
                <c:pt idx="52">
                  <c:v>58076989.815078422</c:v>
                </c:pt>
                <c:pt idx="53">
                  <c:v>59313674.636237957</c:v>
                </c:pt>
                <c:pt idx="54">
                  <c:v>60387583.467135631</c:v>
                </c:pt>
                <c:pt idx="55">
                  <c:v>61475841.229134277</c:v>
                </c:pt>
                <c:pt idx="56">
                  <c:v>62552951.468391508</c:v>
                </c:pt>
                <c:pt idx="57">
                  <c:v>63689244.317130178</c:v>
                </c:pt>
                <c:pt idx="58">
                  <c:v>64737057.448821127</c:v>
                </c:pt>
                <c:pt idx="59">
                  <c:v>65922205.11576771</c:v>
                </c:pt>
                <c:pt idx="60">
                  <c:v>66949561.611366928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1-47EB-9815-A85D5C3DD615}"/>
            </c:ext>
          </c:extLst>
        </c:ser>
        <c:ser>
          <c:idx val="1"/>
          <c:order val="1"/>
          <c:tx>
            <c:strRef>
              <c:f>Percentiles_Mes!$C$4</c:f>
              <c:strCache>
                <c:ptCount val="1"/>
                <c:pt idx="0">
                  <c:v>P25</c:v>
                </c:pt>
              </c:strCache>
            </c:strRef>
          </c:tx>
          <c:spPr>
            <a:ln w="15000">
              <a:solidFill>
                <a:srgbClr val="4CC0B0"/>
              </a:solidFill>
              <a:prstDash val="solid"/>
            </a:ln>
          </c:spPr>
          <c:marker>
            <c:symbol val="none"/>
          </c:marker>
          <c:cat>
            <c:numRef>
              <c:f>Percentiles_Mes!$A$5:$A$65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Percentiles_Mes!$C$5:$C$65</c:f>
              <c:numCache>
                <c:formatCode>#,##0</c:formatCode>
                <c:ptCount val="61"/>
                <c:pt idx="0">
                  <c:v>5000000</c:v>
                </c:pt>
                <c:pt idx="1">
                  <c:v>5970658.9583435114</c:v>
                </c:pt>
                <c:pt idx="2">
                  <c:v>6965446.7962542335</c:v>
                </c:pt>
                <c:pt idx="3">
                  <c:v>7967608.418006856</c:v>
                </c:pt>
                <c:pt idx="4">
                  <c:v>8974395.8522101454</c:v>
                </c:pt>
                <c:pt idx="5">
                  <c:v>9985234.6579554081</c:v>
                </c:pt>
                <c:pt idx="6">
                  <c:v>11001875.540273899</c:v>
                </c:pt>
                <c:pt idx="7">
                  <c:v>12022127.31649648</c:v>
                </c:pt>
                <c:pt idx="8">
                  <c:v>13048981.871647861</c:v>
                </c:pt>
                <c:pt idx="9">
                  <c:v>14080079.04047329</c:v>
                </c:pt>
                <c:pt idx="10">
                  <c:v>15111578.22669523</c:v>
                </c:pt>
                <c:pt idx="11">
                  <c:v>16147947.49436455</c:v>
                </c:pt>
                <c:pt idx="12">
                  <c:v>17185552.95954857</c:v>
                </c:pt>
                <c:pt idx="13">
                  <c:v>18238473.58741371</c:v>
                </c:pt>
                <c:pt idx="14">
                  <c:v>19288402.752294108</c:v>
                </c:pt>
                <c:pt idx="15">
                  <c:v>20351969.602300711</c:v>
                </c:pt>
                <c:pt idx="16">
                  <c:v>21399750.361858409</c:v>
                </c:pt>
                <c:pt idx="17">
                  <c:v>22471579.162588671</c:v>
                </c:pt>
                <c:pt idx="18">
                  <c:v>23541495.124201689</c:v>
                </c:pt>
                <c:pt idx="19">
                  <c:v>24620348.526029568</c:v>
                </c:pt>
                <c:pt idx="20">
                  <c:v>25698216.857431859</c:v>
                </c:pt>
                <c:pt idx="21">
                  <c:v>26778882.60072187</c:v>
                </c:pt>
                <c:pt idx="22">
                  <c:v>27857465.792972129</c:v>
                </c:pt>
                <c:pt idx="23">
                  <c:v>28955855.24860967</c:v>
                </c:pt>
                <c:pt idx="24">
                  <c:v>30042052.6188493</c:v>
                </c:pt>
                <c:pt idx="25">
                  <c:v>31143814.96709507</c:v>
                </c:pt>
                <c:pt idx="26">
                  <c:v>32255743.726280458</c:v>
                </c:pt>
                <c:pt idx="27">
                  <c:v>33364161.091216389</c:v>
                </c:pt>
                <c:pt idx="28">
                  <c:v>34483582.64117904</c:v>
                </c:pt>
                <c:pt idx="29">
                  <c:v>35601292.015197054</c:v>
                </c:pt>
                <c:pt idx="30">
                  <c:v>36716999.474604823</c:v>
                </c:pt>
                <c:pt idx="31">
                  <c:v>37850283.700010598</c:v>
                </c:pt>
                <c:pt idx="32">
                  <c:v>38978682.975111723</c:v>
                </c:pt>
                <c:pt idx="33">
                  <c:v>40124596.394229412</c:v>
                </c:pt>
                <c:pt idx="34">
                  <c:v>41269858.343034603</c:v>
                </c:pt>
                <c:pt idx="35">
                  <c:v>42417403.105086736</c:v>
                </c:pt>
                <c:pt idx="36">
                  <c:v>43559789.570940718</c:v>
                </c:pt>
                <c:pt idx="37">
                  <c:v>44722498.180594772</c:v>
                </c:pt>
                <c:pt idx="38">
                  <c:v>45882470.231170401</c:v>
                </c:pt>
                <c:pt idx="39">
                  <c:v>47048473.089172758</c:v>
                </c:pt>
                <c:pt idx="40">
                  <c:v>48201737.876624197</c:v>
                </c:pt>
                <c:pt idx="41">
                  <c:v>49347648.715186812</c:v>
                </c:pt>
                <c:pt idx="42">
                  <c:v>50543806.346343078</c:v>
                </c:pt>
                <c:pt idx="43">
                  <c:v>51722935.448754176</c:v>
                </c:pt>
                <c:pt idx="44">
                  <c:v>52846893.46265775</c:v>
                </c:pt>
                <c:pt idx="45">
                  <c:v>54075552.505053744</c:v>
                </c:pt>
                <c:pt idx="46">
                  <c:v>55267001.365616627</c:v>
                </c:pt>
                <c:pt idx="47">
                  <c:v>56508001.082696453</c:v>
                </c:pt>
                <c:pt idx="48">
                  <c:v>57673560.060979962</c:v>
                </c:pt>
                <c:pt idx="49">
                  <c:v>58923958.734634399</c:v>
                </c:pt>
                <c:pt idx="50">
                  <c:v>60156719.120063066</c:v>
                </c:pt>
                <c:pt idx="51">
                  <c:v>61340135.452610306</c:v>
                </c:pt>
                <c:pt idx="52">
                  <c:v>62603715.070966698</c:v>
                </c:pt>
                <c:pt idx="53">
                  <c:v>63849883.474785797</c:v>
                </c:pt>
                <c:pt idx="54">
                  <c:v>65133520.340913042</c:v>
                </c:pt>
                <c:pt idx="55">
                  <c:v>66391675.311264507</c:v>
                </c:pt>
                <c:pt idx="56">
                  <c:v>67661897.016370744</c:v>
                </c:pt>
                <c:pt idx="57">
                  <c:v>68916663.97920844</c:v>
                </c:pt>
                <c:pt idx="58">
                  <c:v>70151680.817064866</c:v>
                </c:pt>
                <c:pt idx="59">
                  <c:v>71397963.728307977</c:v>
                </c:pt>
                <c:pt idx="60">
                  <c:v>72633769.823238388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1-47EB-9815-A85D5C3DD615}"/>
            </c:ext>
          </c:extLst>
        </c:ser>
        <c:ser>
          <c:idx val="2"/>
          <c:order val="2"/>
          <c:tx>
            <c:strRef>
              <c:f>Percentiles_Mes!$D$4</c:f>
              <c:strCache>
                <c:ptCount val="1"/>
                <c:pt idx="0">
                  <c:v>P50</c:v>
                </c:pt>
              </c:strCache>
            </c:strRef>
          </c:tx>
          <c:spPr>
            <a:ln w="30000">
              <a:solidFill>
                <a:srgbClr val="0F766E"/>
              </a:solidFill>
              <a:prstDash val="solid"/>
            </a:ln>
          </c:spPr>
          <c:marker>
            <c:symbol val="none"/>
          </c:marker>
          <c:cat>
            <c:numRef>
              <c:f>Percentiles_Mes!$A$5:$A$65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Percentiles_Mes!$D$5:$D$65</c:f>
              <c:numCache>
                <c:formatCode>#,##0</c:formatCode>
                <c:ptCount val="61"/>
                <c:pt idx="0">
                  <c:v>5000000</c:v>
                </c:pt>
                <c:pt idx="1">
                  <c:v>6012783.4301931188</c:v>
                </c:pt>
                <c:pt idx="2">
                  <c:v>7031267.9093130464</c:v>
                </c:pt>
                <c:pt idx="3">
                  <c:v>8059385.4046132807</c:v>
                </c:pt>
                <c:pt idx="4">
                  <c:v>9091684.1835331433</c:v>
                </c:pt>
                <c:pt idx="5">
                  <c:v>10132247.603068151</c:v>
                </c:pt>
                <c:pt idx="6">
                  <c:v>11184535.91886826</c:v>
                </c:pt>
                <c:pt idx="7">
                  <c:v>12230077.247674219</c:v>
                </c:pt>
                <c:pt idx="8">
                  <c:v>13297261.17913047</c:v>
                </c:pt>
                <c:pt idx="9">
                  <c:v>14359869.17251442</c:v>
                </c:pt>
                <c:pt idx="10">
                  <c:v>15431822.55119752</c:v>
                </c:pt>
                <c:pt idx="11">
                  <c:v>16508646.118593561</c:v>
                </c:pt>
                <c:pt idx="12">
                  <c:v>17589377.103122558</c:v>
                </c:pt>
                <c:pt idx="13">
                  <c:v>18677515.130876519</c:v>
                </c:pt>
                <c:pt idx="14">
                  <c:v>19785026.94765107</c:v>
                </c:pt>
                <c:pt idx="15">
                  <c:v>20888703.32582581</c:v>
                </c:pt>
                <c:pt idx="16">
                  <c:v>21990108.99239859</c:v>
                </c:pt>
                <c:pt idx="17">
                  <c:v>23104692.347539499</c:v>
                </c:pt>
                <c:pt idx="18">
                  <c:v>24228080.736668061</c:v>
                </c:pt>
                <c:pt idx="19">
                  <c:v>25353426.418905001</c:v>
                </c:pt>
                <c:pt idx="20">
                  <c:v>26492924.490131419</c:v>
                </c:pt>
                <c:pt idx="21">
                  <c:v>27620216.403022438</c:v>
                </c:pt>
                <c:pt idx="22">
                  <c:v>28758051.0691524</c:v>
                </c:pt>
                <c:pt idx="23">
                  <c:v>29892201.198605381</c:v>
                </c:pt>
                <c:pt idx="24">
                  <c:v>31047207.70733951</c:v>
                </c:pt>
                <c:pt idx="25">
                  <c:v>32225795.15206518</c:v>
                </c:pt>
                <c:pt idx="26">
                  <c:v>33412016.445284959</c:v>
                </c:pt>
                <c:pt idx="27">
                  <c:v>34590366.567070603</c:v>
                </c:pt>
                <c:pt idx="28">
                  <c:v>35789043.217935607</c:v>
                </c:pt>
                <c:pt idx="29">
                  <c:v>36998825.273730949</c:v>
                </c:pt>
                <c:pt idx="30">
                  <c:v>38136586.458772913</c:v>
                </c:pt>
                <c:pt idx="31">
                  <c:v>39349759.912033923</c:v>
                </c:pt>
                <c:pt idx="32">
                  <c:v>40544463.854389913</c:v>
                </c:pt>
                <c:pt idx="33">
                  <c:v>41746195.517038539</c:v>
                </c:pt>
                <c:pt idx="34">
                  <c:v>42962244.23602394</c:v>
                </c:pt>
                <c:pt idx="35">
                  <c:v>44198350.996051162</c:v>
                </c:pt>
                <c:pt idx="36">
                  <c:v>45394230.644574352</c:v>
                </c:pt>
                <c:pt idx="37">
                  <c:v>46633363.454796121</c:v>
                </c:pt>
                <c:pt idx="38">
                  <c:v>47895724.400571018</c:v>
                </c:pt>
                <c:pt idx="39">
                  <c:v>49132191.784466967</c:v>
                </c:pt>
                <c:pt idx="40">
                  <c:v>50385787.242980011</c:v>
                </c:pt>
                <c:pt idx="41">
                  <c:v>51648611.322775543</c:v>
                </c:pt>
                <c:pt idx="42">
                  <c:v>52979864.813921116</c:v>
                </c:pt>
                <c:pt idx="43">
                  <c:v>54266860.277984381</c:v>
                </c:pt>
                <c:pt idx="44">
                  <c:v>55523450.256445572</c:v>
                </c:pt>
                <c:pt idx="45">
                  <c:v>56797856.200117528</c:v>
                </c:pt>
                <c:pt idx="46">
                  <c:v>58089418.372589007</c:v>
                </c:pt>
                <c:pt idx="47">
                  <c:v>59383708.560543209</c:v>
                </c:pt>
                <c:pt idx="48">
                  <c:v>60749965.252172962</c:v>
                </c:pt>
                <c:pt idx="49">
                  <c:v>62042527.9313934</c:v>
                </c:pt>
                <c:pt idx="50">
                  <c:v>63406280.255532771</c:v>
                </c:pt>
                <c:pt idx="51">
                  <c:v>64685475.392038107</c:v>
                </c:pt>
                <c:pt idx="52">
                  <c:v>66046041.467728063</c:v>
                </c:pt>
                <c:pt idx="53">
                  <c:v>67372393.580884516</c:v>
                </c:pt>
                <c:pt idx="54">
                  <c:v>68748551.167880476</c:v>
                </c:pt>
                <c:pt idx="55">
                  <c:v>70051905.749069124</c:v>
                </c:pt>
                <c:pt idx="56">
                  <c:v>71439294.433142036</c:v>
                </c:pt>
                <c:pt idx="57">
                  <c:v>72775306.699326009</c:v>
                </c:pt>
                <c:pt idx="58">
                  <c:v>74164374.572013229</c:v>
                </c:pt>
                <c:pt idx="59">
                  <c:v>75562473.241845265</c:v>
                </c:pt>
                <c:pt idx="60">
                  <c:v>76928501.273786187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71-47EB-9815-A85D5C3DD615}"/>
            </c:ext>
          </c:extLst>
        </c:ser>
        <c:ser>
          <c:idx val="3"/>
          <c:order val="3"/>
          <c:tx>
            <c:strRef>
              <c:f>Percentiles_Mes!$E$4</c:f>
              <c:strCache>
                <c:ptCount val="1"/>
                <c:pt idx="0">
                  <c:v>P75</c:v>
                </c:pt>
              </c:strCache>
            </c:strRef>
          </c:tx>
          <c:spPr>
            <a:ln w="15000">
              <a:solidFill>
                <a:srgbClr val="4CC0B0"/>
              </a:solidFill>
              <a:prstDash val="solid"/>
            </a:ln>
          </c:spPr>
          <c:marker>
            <c:symbol val="none"/>
          </c:marker>
          <c:cat>
            <c:numRef>
              <c:f>Percentiles_Mes!$A$5:$A$65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Percentiles_Mes!$E$5:$E$65</c:f>
              <c:numCache>
                <c:formatCode>#,##0</c:formatCode>
                <c:ptCount val="61"/>
                <c:pt idx="0">
                  <c:v>5000000</c:v>
                </c:pt>
                <c:pt idx="1">
                  <c:v>6055711.625942599</c:v>
                </c:pt>
                <c:pt idx="2">
                  <c:v>7097986.7914266046</c:v>
                </c:pt>
                <c:pt idx="3">
                  <c:v>8153867.1305992994</c:v>
                </c:pt>
                <c:pt idx="4">
                  <c:v>9214662.512683928</c:v>
                </c:pt>
                <c:pt idx="5">
                  <c:v>10284493.206963919</c:v>
                </c:pt>
                <c:pt idx="6">
                  <c:v>11364505.943479721</c:v>
                </c:pt>
                <c:pt idx="7">
                  <c:v>12451302.727312529</c:v>
                </c:pt>
                <c:pt idx="8">
                  <c:v>13554686.175693169</c:v>
                </c:pt>
                <c:pt idx="9">
                  <c:v>14654771.15653442</c:v>
                </c:pt>
                <c:pt idx="10">
                  <c:v>15771460.17370089</c:v>
                </c:pt>
                <c:pt idx="11">
                  <c:v>16892681.193124201</c:v>
                </c:pt>
                <c:pt idx="12">
                  <c:v>18012578.84650426</c:v>
                </c:pt>
                <c:pt idx="13">
                  <c:v>19152703.854511689</c:v>
                </c:pt>
                <c:pt idx="14">
                  <c:v>20296724.41263761</c:v>
                </c:pt>
                <c:pt idx="15">
                  <c:v>21443508.94464406</c:v>
                </c:pt>
                <c:pt idx="16">
                  <c:v>22606754.85451258</c:v>
                </c:pt>
                <c:pt idx="17">
                  <c:v>23769463.62563261</c:v>
                </c:pt>
                <c:pt idx="18">
                  <c:v>24929105.43825129</c:v>
                </c:pt>
                <c:pt idx="19">
                  <c:v>26099669.77999796</c:v>
                </c:pt>
                <c:pt idx="20">
                  <c:v>27297582.05980172</c:v>
                </c:pt>
                <c:pt idx="21">
                  <c:v>28485864.219582651</c:v>
                </c:pt>
                <c:pt idx="22">
                  <c:v>29685255.716975689</c:v>
                </c:pt>
                <c:pt idx="23">
                  <c:v>30908195.116148591</c:v>
                </c:pt>
                <c:pt idx="24">
                  <c:v>32119071.961214781</c:v>
                </c:pt>
                <c:pt idx="25">
                  <c:v>33360450.25967053</c:v>
                </c:pt>
                <c:pt idx="26">
                  <c:v>34591583.64582859</c:v>
                </c:pt>
                <c:pt idx="27">
                  <c:v>35842158.224658944</c:v>
                </c:pt>
                <c:pt idx="28">
                  <c:v>37090174.301770963</c:v>
                </c:pt>
                <c:pt idx="29">
                  <c:v>38374388.62950401</c:v>
                </c:pt>
                <c:pt idx="30">
                  <c:v>39629829.27955354</c:v>
                </c:pt>
                <c:pt idx="31">
                  <c:v>40905339.571963347</c:v>
                </c:pt>
                <c:pt idx="32">
                  <c:v>42198375.12926437</c:v>
                </c:pt>
                <c:pt idx="33">
                  <c:v>43498338.292909794</c:v>
                </c:pt>
                <c:pt idx="34">
                  <c:v>44778074.779455557</c:v>
                </c:pt>
                <c:pt idx="35">
                  <c:v>46089806.061171673</c:v>
                </c:pt>
                <c:pt idx="36">
                  <c:v>47379959.984533288</c:v>
                </c:pt>
                <c:pt idx="37">
                  <c:v>48719736.404444687</c:v>
                </c:pt>
                <c:pt idx="38">
                  <c:v>50049382.466823548</c:v>
                </c:pt>
                <c:pt idx="39">
                  <c:v>51392296.657995403</c:v>
                </c:pt>
                <c:pt idx="40">
                  <c:v>52741862.784243748</c:v>
                </c:pt>
                <c:pt idx="41">
                  <c:v>54099403.867382951</c:v>
                </c:pt>
                <c:pt idx="42">
                  <c:v>55481745.820616089</c:v>
                </c:pt>
                <c:pt idx="43">
                  <c:v>56831549.575846143</c:v>
                </c:pt>
                <c:pt idx="44">
                  <c:v>58185525.032167003</c:v>
                </c:pt>
                <c:pt idx="45">
                  <c:v>59602336.08033973</c:v>
                </c:pt>
                <c:pt idx="46">
                  <c:v>60956139.723076388</c:v>
                </c:pt>
                <c:pt idx="47">
                  <c:v>62338835.730106667</c:v>
                </c:pt>
                <c:pt idx="48">
                  <c:v>63726330.336737163</c:v>
                </c:pt>
                <c:pt idx="49">
                  <c:v>65182865.889050417</c:v>
                </c:pt>
                <c:pt idx="50">
                  <c:v>66607856.795996644</c:v>
                </c:pt>
                <c:pt idx="51">
                  <c:v>68085043.140727699</c:v>
                </c:pt>
                <c:pt idx="52">
                  <c:v>69503002.98510237</c:v>
                </c:pt>
                <c:pt idx="53">
                  <c:v>70962587.621793568</c:v>
                </c:pt>
                <c:pt idx="54">
                  <c:v>72402921.135644287</c:v>
                </c:pt>
                <c:pt idx="55">
                  <c:v>73850822.387012348</c:v>
                </c:pt>
                <c:pt idx="56">
                  <c:v>75394087.875479817</c:v>
                </c:pt>
                <c:pt idx="57">
                  <c:v>76886432.908124223</c:v>
                </c:pt>
                <c:pt idx="58">
                  <c:v>78408253.309020281</c:v>
                </c:pt>
                <c:pt idx="59">
                  <c:v>79914369.411914602</c:v>
                </c:pt>
                <c:pt idx="60">
                  <c:v>81340499.812420964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71-47EB-9815-A85D5C3DD615}"/>
            </c:ext>
          </c:extLst>
        </c:ser>
        <c:ser>
          <c:idx val="4"/>
          <c:order val="4"/>
          <c:tx>
            <c:strRef>
              <c:f>Percentiles_Mes!$F$4</c:f>
              <c:strCache>
                <c:ptCount val="1"/>
                <c:pt idx="0">
                  <c:v>P95</c:v>
                </c:pt>
              </c:strCache>
            </c:strRef>
          </c:tx>
          <c:spPr>
            <a:ln w="12000">
              <a:solidFill>
                <a:srgbClr val="99E0D6"/>
              </a:solidFill>
              <a:prstDash val="solid"/>
            </a:ln>
          </c:spPr>
          <c:marker>
            <c:symbol val="none"/>
          </c:marker>
          <c:cat>
            <c:numRef>
              <c:f>Percentiles_Mes!$A$5:$A$65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Percentiles_Mes!$F$5:$F$65</c:f>
              <c:numCache>
                <c:formatCode>#,##0</c:formatCode>
                <c:ptCount val="61"/>
                <c:pt idx="0">
                  <c:v>5000000</c:v>
                </c:pt>
                <c:pt idx="1">
                  <c:v>6121883.5615045074</c:v>
                </c:pt>
                <c:pt idx="2">
                  <c:v>7202875.3792618401</c:v>
                </c:pt>
                <c:pt idx="3">
                  <c:v>8292185.7687944993</c:v>
                </c:pt>
                <c:pt idx="4">
                  <c:v>9393808.4587146472</c:v>
                </c:pt>
                <c:pt idx="5">
                  <c:v>10510087.64073565</c:v>
                </c:pt>
                <c:pt idx="6">
                  <c:v>11638485.36673061</c:v>
                </c:pt>
                <c:pt idx="7">
                  <c:v>12773818.02362638</c:v>
                </c:pt>
                <c:pt idx="8">
                  <c:v>13914411.345293971</c:v>
                </c:pt>
                <c:pt idx="9">
                  <c:v>15085012.652345531</c:v>
                </c:pt>
                <c:pt idx="10">
                  <c:v>16257028.78103612</c:v>
                </c:pt>
                <c:pt idx="11">
                  <c:v>17441403.663830418</c:v>
                </c:pt>
                <c:pt idx="12">
                  <c:v>18636247.152596131</c:v>
                </c:pt>
                <c:pt idx="13">
                  <c:v>19859196.626488149</c:v>
                </c:pt>
                <c:pt idx="14">
                  <c:v>21068919.58854631</c:v>
                </c:pt>
                <c:pt idx="15">
                  <c:v>22292330.22927177</c:v>
                </c:pt>
                <c:pt idx="16">
                  <c:v>23548861.20447756</c:v>
                </c:pt>
                <c:pt idx="17">
                  <c:v>24750767.095136989</c:v>
                </c:pt>
                <c:pt idx="18">
                  <c:v>26038985.661626041</c:v>
                </c:pt>
                <c:pt idx="19">
                  <c:v>27276243.195474248</c:v>
                </c:pt>
                <c:pt idx="20">
                  <c:v>28515495.16302371</c:v>
                </c:pt>
                <c:pt idx="21">
                  <c:v>29836435.27849162</c:v>
                </c:pt>
                <c:pt idx="22">
                  <c:v>31147583.248609051</c:v>
                </c:pt>
                <c:pt idx="23">
                  <c:v>32457929.2239802</c:v>
                </c:pt>
                <c:pt idx="24">
                  <c:v>33766130.587860659</c:v>
                </c:pt>
                <c:pt idx="25">
                  <c:v>35077321.175093703</c:v>
                </c:pt>
                <c:pt idx="26">
                  <c:v>36453182.639543913</c:v>
                </c:pt>
                <c:pt idx="27">
                  <c:v>37790267.896097802</c:v>
                </c:pt>
                <c:pt idx="28">
                  <c:v>39118125.214515351</c:v>
                </c:pt>
                <c:pt idx="29">
                  <c:v>40513341.180617183</c:v>
                </c:pt>
                <c:pt idx="30">
                  <c:v>41928254.733595356</c:v>
                </c:pt>
                <c:pt idx="31">
                  <c:v>43335776.921875313</c:v>
                </c:pt>
                <c:pt idx="32">
                  <c:v>44721662.135244541</c:v>
                </c:pt>
                <c:pt idx="33">
                  <c:v>46100249.768688381</c:v>
                </c:pt>
                <c:pt idx="34">
                  <c:v>47546919.56951917</c:v>
                </c:pt>
                <c:pt idx="35">
                  <c:v>49036445.279062338</c:v>
                </c:pt>
                <c:pt idx="36">
                  <c:v>50442980.52347564</c:v>
                </c:pt>
                <c:pt idx="37">
                  <c:v>51843084.610425077</c:v>
                </c:pt>
                <c:pt idx="38">
                  <c:v>53306875.696509443</c:v>
                </c:pt>
                <c:pt idx="39">
                  <c:v>54741598.924187921</c:v>
                </c:pt>
                <c:pt idx="40">
                  <c:v>56260017.89996852</c:v>
                </c:pt>
                <c:pt idx="41">
                  <c:v>57798380.828501523</c:v>
                </c:pt>
                <c:pt idx="42">
                  <c:v>59229595.168133587</c:v>
                </c:pt>
                <c:pt idx="43">
                  <c:v>60797543.906318948</c:v>
                </c:pt>
                <c:pt idx="44">
                  <c:v>62344256.755749144</c:v>
                </c:pt>
                <c:pt idx="45">
                  <c:v>63775552.345505252</c:v>
                </c:pt>
                <c:pt idx="46">
                  <c:v>65454924.481305636</c:v>
                </c:pt>
                <c:pt idx="47">
                  <c:v>66980483.345466733</c:v>
                </c:pt>
                <c:pt idx="48">
                  <c:v>68499109.40196985</c:v>
                </c:pt>
                <c:pt idx="49">
                  <c:v>70201344.853406549</c:v>
                </c:pt>
                <c:pt idx="50">
                  <c:v>71866638.577742919</c:v>
                </c:pt>
                <c:pt idx="51">
                  <c:v>73529060.335764796</c:v>
                </c:pt>
                <c:pt idx="52">
                  <c:v>75051975.400906757</c:v>
                </c:pt>
                <c:pt idx="53">
                  <c:v>76660048.815711975</c:v>
                </c:pt>
                <c:pt idx="54">
                  <c:v>78388045.283831745</c:v>
                </c:pt>
                <c:pt idx="55">
                  <c:v>80034895.10892038</c:v>
                </c:pt>
                <c:pt idx="56">
                  <c:v>81584912.125740513</c:v>
                </c:pt>
                <c:pt idx="57">
                  <c:v>83224390.36497876</c:v>
                </c:pt>
                <c:pt idx="58">
                  <c:v>84935948.665965483</c:v>
                </c:pt>
                <c:pt idx="59">
                  <c:v>86803471.154746756</c:v>
                </c:pt>
                <c:pt idx="60">
                  <c:v>88411987.731544197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71-47EB-9815-A85D5C3DD615}"/>
            </c:ext>
          </c:extLst>
        </c:ser>
        <c:ser>
          <c:idx val="5"/>
          <c:order val="5"/>
          <c:tx>
            <c:strRef>
              <c:f>Percentiles_Mes!$G$4</c:f>
              <c:strCache>
                <c:ptCount val="1"/>
                <c:pt idx="0">
                  <c:v>Meta</c:v>
                </c:pt>
              </c:strCache>
            </c:strRef>
          </c:tx>
          <c:spPr>
            <a:ln w="19000">
              <a:solidFill>
                <a:srgbClr val="DC2626"/>
              </a:solidFill>
              <a:prstDash val="dash"/>
            </a:ln>
          </c:spPr>
          <c:marker>
            <c:symbol val="none"/>
          </c:marker>
          <c:cat>
            <c:numRef>
              <c:f>Percentiles_Mes!$A$5:$A$65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Percentiles_Mes!$G$5:$G$65</c:f>
              <c:numCache>
                <c:formatCode>#,##0</c:formatCode>
                <c:ptCount val="61"/>
                <c:pt idx="0">
                  <c:v>80000000</c:v>
                </c:pt>
                <c:pt idx="1">
                  <c:v>80000000</c:v>
                </c:pt>
                <c:pt idx="2">
                  <c:v>80000000</c:v>
                </c:pt>
                <c:pt idx="3">
                  <c:v>80000000</c:v>
                </c:pt>
                <c:pt idx="4">
                  <c:v>80000000</c:v>
                </c:pt>
                <c:pt idx="5">
                  <c:v>80000000</c:v>
                </c:pt>
                <c:pt idx="6">
                  <c:v>80000000</c:v>
                </c:pt>
                <c:pt idx="7">
                  <c:v>80000000</c:v>
                </c:pt>
                <c:pt idx="8">
                  <c:v>80000000</c:v>
                </c:pt>
                <c:pt idx="9">
                  <c:v>80000000</c:v>
                </c:pt>
                <c:pt idx="10">
                  <c:v>80000000</c:v>
                </c:pt>
                <c:pt idx="11">
                  <c:v>80000000</c:v>
                </c:pt>
                <c:pt idx="12">
                  <c:v>80000000</c:v>
                </c:pt>
                <c:pt idx="13">
                  <c:v>80000000</c:v>
                </c:pt>
                <c:pt idx="14">
                  <c:v>80000000</c:v>
                </c:pt>
                <c:pt idx="15">
                  <c:v>80000000</c:v>
                </c:pt>
                <c:pt idx="16">
                  <c:v>80000000</c:v>
                </c:pt>
                <c:pt idx="17">
                  <c:v>80000000</c:v>
                </c:pt>
                <c:pt idx="18">
                  <c:v>80000000</c:v>
                </c:pt>
                <c:pt idx="19">
                  <c:v>80000000</c:v>
                </c:pt>
                <c:pt idx="20">
                  <c:v>80000000</c:v>
                </c:pt>
                <c:pt idx="21">
                  <c:v>80000000</c:v>
                </c:pt>
                <c:pt idx="22">
                  <c:v>80000000</c:v>
                </c:pt>
                <c:pt idx="23">
                  <c:v>80000000</c:v>
                </c:pt>
                <c:pt idx="24">
                  <c:v>80000000</c:v>
                </c:pt>
                <c:pt idx="25">
                  <c:v>80000000</c:v>
                </c:pt>
                <c:pt idx="26">
                  <c:v>80000000</c:v>
                </c:pt>
                <c:pt idx="27">
                  <c:v>80000000</c:v>
                </c:pt>
                <c:pt idx="28">
                  <c:v>80000000</c:v>
                </c:pt>
                <c:pt idx="29">
                  <c:v>80000000</c:v>
                </c:pt>
                <c:pt idx="30">
                  <c:v>80000000</c:v>
                </c:pt>
                <c:pt idx="31">
                  <c:v>80000000</c:v>
                </c:pt>
                <c:pt idx="32">
                  <c:v>80000000</c:v>
                </c:pt>
                <c:pt idx="33">
                  <c:v>80000000</c:v>
                </c:pt>
                <c:pt idx="34">
                  <c:v>80000000</c:v>
                </c:pt>
                <c:pt idx="35">
                  <c:v>80000000</c:v>
                </c:pt>
                <c:pt idx="36">
                  <c:v>80000000</c:v>
                </c:pt>
                <c:pt idx="37">
                  <c:v>80000000</c:v>
                </c:pt>
                <c:pt idx="38">
                  <c:v>80000000</c:v>
                </c:pt>
                <c:pt idx="39">
                  <c:v>80000000</c:v>
                </c:pt>
                <c:pt idx="40">
                  <c:v>80000000</c:v>
                </c:pt>
                <c:pt idx="41">
                  <c:v>80000000</c:v>
                </c:pt>
                <c:pt idx="42">
                  <c:v>80000000</c:v>
                </c:pt>
                <c:pt idx="43">
                  <c:v>80000000</c:v>
                </c:pt>
                <c:pt idx="44">
                  <c:v>80000000</c:v>
                </c:pt>
                <c:pt idx="45">
                  <c:v>80000000</c:v>
                </c:pt>
                <c:pt idx="46">
                  <c:v>80000000</c:v>
                </c:pt>
                <c:pt idx="47">
                  <c:v>80000000</c:v>
                </c:pt>
                <c:pt idx="48">
                  <c:v>80000000</c:v>
                </c:pt>
                <c:pt idx="49">
                  <c:v>80000000</c:v>
                </c:pt>
                <c:pt idx="50">
                  <c:v>80000000</c:v>
                </c:pt>
                <c:pt idx="51">
                  <c:v>80000000</c:v>
                </c:pt>
                <c:pt idx="52">
                  <c:v>80000000</c:v>
                </c:pt>
                <c:pt idx="53">
                  <c:v>80000000</c:v>
                </c:pt>
                <c:pt idx="54">
                  <c:v>80000000</c:v>
                </c:pt>
                <c:pt idx="55">
                  <c:v>80000000</c:v>
                </c:pt>
                <c:pt idx="56">
                  <c:v>80000000</c:v>
                </c:pt>
                <c:pt idx="57">
                  <c:v>80000000</c:v>
                </c:pt>
                <c:pt idx="58">
                  <c:v>80000000</c:v>
                </c:pt>
                <c:pt idx="59">
                  <c:v>80000000</c:v>
                </c:pt>
                <c:pt idx="60">
                  <c:v>80000000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71-47EB-9815-A85D5C3DD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6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7EB"/>
              </a:solidFill>
              <a:prstDash val="solid"/>
            </a:ln>
          </c:spPr>
        </c:majorGridlines>
        <c:numFmt formatCode="#,##0,,&quot;M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Resultados!$E$54</c:f>
              <c:strCache>
                <c:ptCount val="1"/>
                <c:pt idx="0">
                  <c:v>Corridas</c:v>
                </c:pt>
              </c:strCache>
            </c:strRef>
          </c:tx>
          <c:spPr>
            <a:solidFill>
              <a:srgbClr val="0D9488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E1-4805-B443-1F4ADC35CEAC}"/>
              </c:ext>
            </c:extLst>
          </c:dPt>
          <c:dPt>
            <c:idx val="1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E1-4805-B443-1F4ADC35CEAC}"/>
              </c:ext>
            </c:extLst>
          </c:dPt>
          <c:dPt>
            <c:idx val="2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E1-4805-B443-1F4ADC35CEAC}"/>
              </c:ext>
            </c:extLst>
          </c:dPt>
          <c:dPt>
            <c:idx val="3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BE1-4805-B443-1F4ADC35CEAC}"/>
              </c:ext>
            </c:extLst>
          </c:dPt>
          <c:dPt>
            <c:idx val="4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BE1-4805-B443-1F4ADC35CEAC}"/>
              </c:ext>
            </c:extLst>
          </c:dPt>
          <c:dPt>
            <c:idx val="5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BE1-4805-B443-1F4ADC35CEAC}"/>
              </c:ext>
            </c:extLst>
          </c:dPt>
          <c:dPt>
            <c:idx val="6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BE1-4805-B443-1F4ADC35CEAC}"/>
              </c:ext>
            </c:extLst>
          </c:dPt>
          <c:dPt>
            <c:idx val="7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BE1-4805-B443-1F4ADC35CEAC}"/>
              </c:ext>
            </c:extLst>
          </c:dPt>
          <c:dPt>
            <c:idx val="8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BE1-4805-B443-1F4ADC35CEAC}"/>
              </c:ext>
            </c:extLst>
          </c:dPt>
          <c:dPt>
            <c:idx val="9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BE1-4805-B443-1F4ADC35CEAC}"/>
              </c:ext>
            </c:extLst>
          </c:dPt>
          <c:dPt>
            <c:idx val="10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BE1-4805-B443-1F4ADC35CEAC}"/>
              </c:ext>
            </c:extLst>
          </c:dPt>
          <c:dPt>
            <c:idx val="11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BE1-4805-B443-1F4ADC35CEAC}"/>
              </c:ext>
            </c:extLst>
          </c:dPt>
          <c:dPt>
            <c:idx val="12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8BE1-4805-B443-1F4ADC35CEAC}"/>
              </c:ext>
            </c:extLst>
          </c:dPt>
          <c:dPt>
            <c:idx val="13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8BE1-4805-B443-1F4ADC35CEAC}"/>
              </c:ext>
            </c:extLst>
          </c:dPt>
          <c:dPt>
            <c:idx val="14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8BE1-4805-B443-1F4ADC35CEAC}"/>
              </c:ext>
            </c:extLst>
          </c:dPt>
          <c:dPt>
            <c:idx val="15"/>
            <c:invertIfNegative val="1"/>
            <c:bubble3D val="0"/>
            <c:spPr>
              <a:solidFill>
                <a:srgbClr val="F59E0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8BE1-4805-B443-1F4ADC35CEAC}"/>
              </c:ext>
            </c:extLst>
          </c:dPt>
          <c:dPt>
            <c:idx val="1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8BE1-4805-B443-1F4ADC35CEAC}"/>
              </c:ext>
            </c:extLst>
          </c:dPt>
          <c:dPt>
            <c:idx val="1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8BE1-4805-B443-1F4ADC35CEAC}"/>
              </c:ext>
            </c:extLst>
          </c:dPt>
          <c:dPt>
            <c:idx val="1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5-8BE1-4805-B443-1F4ADC35CEAC}"/>
              </c:ext>
            </c:extLst>
          </c:dPt>
          <c:dPt>
            <c:idx val="1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7-8BE1-4805-B443-1F4ADC35CEAC}"/>
              </c:ext>
            </c:extLst>
          </c:dPt>
          <c:dPt>
            <c:idx val="2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9-8BE1-4805-B443-1F4ADC35CEAC}"/>
              </c:ext>
            </c:extLst>
          </c:dPt>
          <c:dPt>
            <c:idx val="2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B-8BE1-4805-B443-1F4ADC35CEAC}"/>
              </c:ext>
            </c:extLst>
          </c:dPt>
          <c:dPt>
            <c:idx val="2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D-8BE1-4805-B443-1F4ADC35CEAC}"/>
              </c:ext>
            </c:extLst>
          </c:dPt>
          <c:dPt>
            <c:idx val="2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F-8BE1-4805-B443-1F4ADC35CEAC}"/>
              </c:ext>
            </c:extLst>
          </c:dPt>
          <c:dPt>
            <c:idx val="2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1-8BE1-4805-B443-1F4ADC35CEAC}"/>
              </c:ext>
            </c:extLst>
          </c:dPt>
          <c:dPt>
            <c:idx val="2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3-8BE1-4805-B443-1F4ADC35CEAC}"/>
              </c:ext>
            </c:extLst>
          </c:dPt>
          <c:dPt>
            <c:idx val="2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5-8BE1-4805-B443-1F4ADC35CEAC}"/>
              </c:ext>
            </c:extLst>
          </c:dPt>
          <c:dPt>
            <c:idx val="2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8BE1-4805-B443-1F4ADC35CEAC}"/>
              </c:ext>
            </c:extLst>
          </c:dPt>
          <c:dPt>
            <c:idx val="2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9-8BE1-4805-B443-1F4ADC35CEAC}"/>
              </c:ext>
            </c:extLst>
          </c:dPt>
          <c:dPt>
            <c:idx val="2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B-8BE1-4805-B443-1F4ADC35CEAC}"/>
              </c:ext>
            </c:extLst>
          </c:dPt>
          <c:cat>
            <c:strRef>
              <c:f>Resultados!$B$55:$B$84</c:f>
              <c:strCache>
                <c:ptCount val="30"/>
                <c:pt idx="0">
                  <c:v>62,5</c:v>
                </c:pt>
                <c:pt idx="1">
                  <c:v>63,6</c:v>
                </c:pt>
                <c:pt idx="2">
                  <c:v>64,7</c:v>
                </c:pt>
                <c:pt idx="3">
                  <c:v>65,8</c:v>
                </c:pt>
                <c:pt idx="4">
                  <c:v>66,9</c:v>
                </c:pt>
                <c:pt idx="5">
                  <c:v>68,1</c:v>
                </c:pt>
                <c:pt idx="6">
                  <c:v>69,2</c:v>
                </c:pt>
                <c:pt idx="7">
                  <c:v>70,3</c:v>
                </c:pt>
                <c:pt idx="8">
                  <c:v>71,4</c:v>
                </c:pt>
                <c:pt idx="9">
                  <c:v>72,5</c:v>
                </c:pt>
                <c:pt idx="10">
                  <c:v>73,6</c:v>
                </c:pt>
                <c:pt idx="11">
                  <c:v>74,8</c:v>
                </c:pt>
                <c:pt idx="12">
                  <c:v>75,9</c:v>
                </c:pt>
                <c:pt idx="13">
                  <c:v>77,0</c:v>
                </c:pt>
                <c:pt idx="14">
                  <c:v>78,1</c:v>
                </c:pt>
                <c:pt idx="15">
                  <c:v>79,2</c:v>
                </c:pt>
                <c:pt idx="16">
                  <c:v>80,4</c:v>
                </c:pt>
                <c:pt idx="17">
                  <c:v>81,5</c:v>
                </c:pt>
                <c:pt idx="18">
                  <c:v>82,6</c:v>
                </c:pt>
                <c:pt idx="19">
                  <c:v>83,7</c:v>
                </c:pt>
                <c:pt idx="20">
                  <c:v>84,8</c:v>
                </c:pt>
                <c:pt idx="21">
                  <c:v>85,9</c:v>
                </c:pt>
                <c:pt idx="22">
                  <c:v>87,1</c:v>
                </c:pt>
                <c:pt idx="23">
                  <c:v>88,2</c:v>
                </c:pt>
                <c:pt idx="24">
                  <c:v>89,3</c:v>
                </c:pt>
                <c:pt idx="25">
                  <c:v>90,4</c:v>
                </c:pt>
                <c:pt idx="26">
                  <c:v>91,5</c:v>
                </c:pt>
                <c:pt idx="27">
                  <c:v>92,7</c:v>
                </c:pt>
                <c:pt idx="28">
                  <c:v>93,8</c:v>
                </c:pt>
                <c:pt idx="29">
                  <c:v>94,9</c:v>
                </c:pt>
              </c:strCache>
            </c:strRef>
          </c:cat>
          <c:val>
            <c:numRef>
              <c:f>Resultados!$E$55:$E$84</c:f>
              <c:numCache>
                <c:formatCode>#,##0</c:formatCode>
                <c:ptCount val="30"/>
                <c:pt idx="0">
                  <c:v>89</c:v>
                </c:pt>
                <c:pt idx="1">
                  <c:v>74</c:v>
                </c:pt>
                <c:pt idx="2">
                  <c:v>98</c:v>
                </c:pt>
                <c:pt idx="3">
                  <c:v>141</c:v>
                </c:pt>
                <c:pt idx="4">
                  <c:v>217</c:v>
                </c:pt>
                <c:pt idx="5">
                  <c:v>252</c:v>
                </c:pt>
                <c:pt idx="6">
                  <c:v>355</c:v>
                </c:pt>
                <c:pt idx="7">
                  <c:v>428</c:v>
                </c:pt>
                <c:pt idx="8">
                  <c:v>505</c:v>
                </c:pt>
                <c:pt idx="9">
                  <c:v>572</c:v>
                </c:pt>
                <c:pt idx="10">
                  <c:v>647</c:v>
                </c:pt>
                <c:pt idx="11">
                  <c:v>649</c:v>
                </c:pt>
                <c:pt idx="12">
                  <c:v>680</c:v>
                </c:pt>
                <c:pt idx="13">
                  <c:v>683</c:v>
                </c:pt>
                <c:pt idx="14">
                  <c:v>685</c:v>
                </c:pt>
                <c:pt idx="15">
                  <c:v>641</c:v>
                </c:pt>
                <c:pt idx="16">
                  <c:v>578</c:v>
                </c:pt>
                <c:pt idx="17">
                  <c:v>520</c:v>
                </c:pt>
                <c:pt idx="18">
                  <c:v>437</c:v>
                </c:pt>
                <c:pt idx="19">
                  <c:v>390</c:v>
                </c:pt>
                <c:pt idx="20">
                  <c:v>282</c:v>
                </c:pt>
                <c:pt idx="21">
                  <c:v>282</c:v>
                </c:pt>
                <c:pt idx="22">
                  <c:v>187</c:v>
                </c:pt>
                <c:pt idx="23">
                  <c:v>153</c:v>
                </c:pt>
                <c:pt idx="24">
                  <c:v>123</c:v>
                </c:pt>
                <c:pt idx="25">
                  <c:v>97</c:v>
                </c:pt>
                <c:pt idx="26">
                  <c:v>52</c:v>
                </c:pt>
                <c:pt idx="27">
                  <c:v>62</c:v>
                </c:pt>
                <c:pt idx="28">
                  <c:v>37</c:v>
                </c:pt>
                <c:pt idx="29">
                  <c:v>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C-8BE1-4805-B443-1F4ADC35C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5E7EB"/>
              </a:solidFill>
              <a:prstDash val="solid"/>
            </a:ln>
          </c:spPr>
        </c:majorGridlines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5940000" cy="316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</xdr:row>
      <xdr:rowOff>0</xdr:rowOff>
    </xdr:from>
    <xdr:ext cx="5940000" cy="316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ontroles" displayName="TControles" ref="B4:D16">
  <autoFilter ref="B4:D16" xr:uid="{00000000-0009-0000-0100-000001000000}"/>
  <tableColumns count="3">
    <tableColumn id="2" xr3:uid="{00000000-0010-0000-0000-000002000000}" name="ID"/>
    <tableColumn id="3" xr3:uid="{00000000-0010-0000-0000-000003000000}" name="Control"/>
    <tableColumn id="4" xr3:uid="{00000000-0010-0000-0000-000004000000}" name="Est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Supuestos" displayName="TSupuestos" ref="A4:G12">
  <autoFilter ref="A4:G12" xr:uid="{00000000-0009-0000-0100-000002000000}"/>
  <tableColumns count="7">
    <tableColumn id="1" xr3:uid="{00000000-0010-0000-0100-000001000000}" name="Variable"/>
    <tableColumn id="2" xr3:uid="{00000000-0010-0000-0100-000002000000}" name="Valor"/>
    <tableColumn id="3" xr3:uid="{00000000-0010-0000-0100-000003000000}" name="Unidad"/>
    <tableColumn id="4" xr3:uid="{00000000-0010-0000-0100-000004000000}" name="Fuente"/>
    <tableColumn id="5" xr3:uid="{00000000-0010-0000-0100-000005000000}" name="IDSerie"/>
    <tableColumn id="6" xr3:uid="{00000000-0010-0000-0100-000006000000}" name="FechaDato"/>
    <tableColumn id="7" xr3:uid="{00000000-0010-0000-0100-000007000000}" name="FechaConsult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Modelo" displayName="TModelo" ref="B26:AD387">
  <autoFilter ref="B26:AD387" xr:uid="{00000000-0009-0000-0100-000003000000}"/>
  <tableColumns count="29">
    <tableColumn id="2" xr3:uid="{00000000-0010-0000-0200-000002000000}" name="Period"/>
    <tableColumn id="3" xr3:uid="{00000000-0010-0000-0200-000003000000}" name="Date"/>
    <tableColumn id="4" xr3:uid="{00000000-0010-0000-0200-000004000000}" name="Act"/>
    <tableColumn id="5" xr3:uid="{00000000-0010-0000-0200-000005000000}" name="InflMes"/>
    <tableColumn id="6" xr3:uid="{00000000-0010-0000-0200-000006000000}" name="CumInfl"/>
    <tableColumn id="7" xr3:uid="{00000000-0010-0000-0200-000007000000}" name="TasaCDT"/>
    <tableColumn id="8" xr3:uid="{00000000-0010-0000-0200-000008000000}" name="RetCDT"/>
    <tableColumn id="9" xr3:uid="{00000000-0010-0000-0200-000009000000}" name="RetCOLCAP"/>
    <tableColumn id="10" xr3:uid="{00000000-0010-0000-0200-00000A000000}" name="RetUSD"/>
    <tableColumn id="11" xr3:uid="{00000000-0010-0000-0200-00000B000000}" name="Rebal"/>
    <tableColumn id="12" xr3:uid="{00000000-0010-0000-0200-00000C000000}" name="Outflow"/>
    <tableColumn id="13" xr3:uid="{00000000-0010-0000-0200-00000D000000}" name="Inflow"/>
    <tableColumn id="14" xr3:uid="{00000000-0010-0000-0200-00000E000000}" name="NetCF"/>
    <tableColumn id="15" xr3:uid="{00000000-0010-0000-0200-00000F000000}" name="InitialBalance"/>
    <tableColumn id="16" xr3:uid="{00000000-0010-0000-0200-000010000000}" name="Interest"/>
    <tableColumn id="17" xr3:uid="{00000000-0010-0000-0200-000011000000}" name="Balance"/>
    <tableColumn id="18" xr3:uid="{00000000-0010-0000-0200-000012000000}" name="IniCDT"/>
    <tableColumn id="19" xr3:uid="{00000000-0010-0000-0200-000013000000}" name="IniCOLCAP"/>
    <tableColumn id="20" xr3:uid="{00000000-0010-0000-0200-000014000000}" name="IniUSD"/>
    <tableColumn id="21" xr3:uid="{00000000-0010-0000-0200-000015000000}" name="IntCDT"/>
    <tableColumn id="22" xr3:uid="{00000000-0010-0000-0200-000016000000}" name="IntCOLCAP"/>
    <tableColumn id="23" xr3:uid="{00000000-0010-0000-0200-000017000000}" name="IntUSD"/>
    <tableColumn id="24" xr3:uid="{00000000-0010-0000-0200-000018000000}" name="BalCDT"/>
    <tableColumn id="25" xr3:uid="{00000000-0010-0000-0200-000019000000}" name="BalCOLCAP"/>
    <tableColumn id="26" xr3:uid="{00000000-0010-0000-0200-00001A000000}" name="BalUSD"/>
    <tableColumn id="27" xr3:uid="{00000000-0010-0000-0200-00001B000000}" name="TotalPreLiq"/>
    <tableColumn id="28" xr3:uid="{00000000-0010-0000-0200-00001C000000}" name="RealBalance"/>
    <tableColumn id="29" xr3:uid="{00000000-0010-0000-0200-00001D000000}" name="fd"/>
    <tableColumn id="30" xr3:uid="{00000000-0010-0000-0200-00001E000000}" name="Xfd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Sim" displayName="TSim" ref="A8:G1008">
  <autoFilter ref="A8:G1008" xr:uid="{00000000-0009-0000-0100-000004000000}"/>
  <tableColumns count="7">
    <tableColumn id="1" xr3:uid="{00000000-0010-0000-0300-000001000000}" name="Corrida"/>
    <tableColumn id="2" xr3:uid="{00000000-0010-0000-0300-000002000000}" name="ValorFinalNominal"/>
    <tableColumn id="3" xr3:uid="{00000000-0010-0000-0300-000003000000}" name="AportesReales"/>
    <tableColumn id="4" xr3:uid="{00000000-0010-0000-0300-000004000000}" name="ValorFinalReal"/>
    <tableColumn id="5" xr3:uid="{00000000-0010-0000-0300-000005000000}" name="GananciaReal"/>
    <tableColumn id="6" xr3:uid="{00000000-0010-0000-0300-000006000000}" name="CumpleMeta"/>
    <tableColumn id="7" xr3:uid="{00000000-0010-0000-0300-000007000000}" name="MaxDrawdow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SensAporte" displayName="TSensAporte" ref="B34:E41">
  <autoFilter ref="B34:E41" xr:uid="{00000000-0009-0000-0100-000005000000}"/>
  <tableColumns count="4">
    <tableColumn id="2" xr3:uid="{00000000-0010-0000-0400-000002000000}" name="CambioAporte"/>
    <tableColumn id="3" xr3:uid="{00000000-0010-0000-0400-000003000000}" name="AporteMensual"/>
    <tableColumn id="4" xr3:uid="{00000000-0010-0000-0400-000004000000}" name="PMeta"/>
    <tableColumn id="5" xr3:uid="{00000000-0010-0000-0400-000005000000}" name="MedianaReal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SensCOLCAP" displayName="TSensCOLCAP" ref="B44:G51">
  <autoFilter ref="B44:G51" xr:uid="{00000000-0009-0000-0100-000006000000}"/>
  <tableColumns count="6">
    <tableColumn id="2" xr3:uid="{00000000-0010-0000-0500-000002000000}" name="PesoCOLCAP"/>
    <tableColumn id="3" xr3:uid="{00000000-0010-0000-0500-000003000000}" name="PesoCDT"/>
    <tableColumn id="4" xr3:uid="{00000000-0010-0000-0500-000004000000}" name="PesoUSD"/>
    <tableColumn id="5" xr3:uid="{00000000-0010-0000-0500-000005000000}" name="PMeta"/>
    <tableColumn id="6" xr3:uid="{00000000-0010-0000-0500-000006000000}" name="MedianaReal"/>
    <tableColumn id="7" xr3:uid="{00000000-0010-0000-0500-000007000000}" name="P5Real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Hist" displayName="THist" ref="B54:F84">
  <autoFilter ref="B54:F84" xr:uid="{00000000-0009-0000-0100-000007000000}"/>
  <tableColumns count="5">
    <tableColumn id="2" xr3:uid="{00000000-0010-0000-0600-000002000000}" name="Centro"/>
    <tableColumn id="3" xr3:uid="{00000000-0010-0000-0600-000003000000}" name="Desde"/>
    <tableColumn id="4" xr3:uid="{00000000-0010-0000-0600-000004000000}" name="Hasta"/>
    <tableColumn id="5" xr3:uid="{00000000-0010-0000-0600-000005000000}" name="Corridas"/>
    <tableColumn id="6" xr3:uid="{00000000-0010-0000-0600-000006000000}" name="Zon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PercMes" displayName="TPercMes" ref="A4:G65">
  <autoFilter ref="A4:G65" xr:uid="{00000000-0009-0000-0100-000008000000}"/>
  <tableColumns count="7">
    <tableColumn id="1" xr3:uid="{00000000-0010-0000-0700-000001000000}" name="Mes"/>
    <tableColumn id="2" xr3:uid="{00000000-0010-0000-0700-000002000000}" name="P5"/>
    <tableColumn id="3" xr3:uid="{00000000-0010-0000-0700-000003000000}" name="P25"/>
    <tableColumn id="4" xr3:uid="{00000000-0010-0000-0700-000004000000}" name="P50"/>
    <tableColumn id="5" xr3:uid="{00000000-0010-0000-0700-000005000000}" name="P75"/>
    <tableColumn id="6" xr3:uid="{00000000-0010-0000-0700-000006000000}" name="P95"/>
    <tableColumn id="7" xr3:uid="{00000000-0010-0000-0700-000007000000}" name="Meta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Fuentes" displayName="TFuentes" ref="A4:E12">
  <autoFilter ref="A4:E12" xr:uid="{00000000-0009-0000-0100-000009000000}"/>
  <tableColumns count="5">
    <tableColumn id="1" xr3:uid="{00000000-0010-0000-0800-000001000000}" name="Fuente"/>
    <tableColumn id="2" xr3:uid="{00000000-0010-0000-0800-000002000000}" name="URL"/>
    <tableColumn id="3" xr3:uid="{00000000-0010-0000-0800-000003000000}" name="FechaHoraConsulta"/>
    <tableColumn id="4" xr3:uid="{00000000-0010-0000-0800-000004000000}" name="Observaciones"/>
    <tableColumn id="5" xr3:uid="{00000000-0010-0000-0800-000005000000}" name="Detalle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Validaciones" displayName="TValidaciones" ref="A15:C23">
  <autoFilter ref="A15:C23" xr:uid="{00000000-0009-0000-0100-00000A000000}"/>
  <tableColumns count="3">
    <tableColumn id="1" xr3:uid="{00000000-0010-0000-0900-000001000000}" name="Validacion"/>
    <tableColumn id="2" xr3:uid="{00000000-0010-0000-0900-000002000000}" name="Resultado"/>
    <tableColumn id="3" xr3:uid="{00000000-0010-0000-0900-000003000000}" name="Detal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B2:M44"/>
  <sheetViews>
    <sheetView showGridLines="0" tabSelected="1" workbookViewId="0"/>
  </sheetViews>
  <sheetFormatPr baseColWidth="10" defaultColWidth="8.88671875" defaultRowHeight="14.4"/>
  <cols>
    <col min="1" max="1" width="3" customWidth="1"/>
    <col min="2" max="13" width="14" customWidth="1"/>
  </cols>
  <sheetData>
    <row r="2" spans="2:13" ht="34.049999999999997" customHeight="1">
      <c r="B2" s="1" t="s">
        <v>0</v>
      </c>
      <c r="L2" s="2" t="s">
        <v>1</v>
      </c>
    </row>
    <row r="3" spans="2:13" ht="15">
      <c r="B3" s="3" t="str">
        <f>"Aporte de $"&amp;FIXED(AporteMensualCorrida,0)&amp;" al mes durante "&amp;HorizonteAnios&amp;" años · portafolio "&amp;ROUND(PesoCDTCorrida*100,0)&amp;"/"&amp;ROUND(PesoCOLCAPCorrida*100,0)&amp;"/"&amp;ROUND(PesoUSDCorrida*100,0)&amp;" CDT/COLCAP/USD · "&amp;NSim&amp;" simulaciones"</f>
        <v>Aporte de $1,000,000 al mes durante 5 años · portafolio 60/25/15 CDT/COLCAP/USD · 10000 simulaciones</v>
      </c>
      <c r="L3" s="4" t="str">
        <f ca="1">ModeloOK</f>
        <v>OK</v>
      </c>
    </row>
    <row r="4" spans="2:13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2:13" ht="19.95" customHeight="1">
      <c r="B6" s="49" t="s">
        <v>3</v>
      </c>
      <c r="C6" s="50"/>
      <c r="D6" s="49" t="s">
        <v>4</v>
      </c>
      <c r="E6" s="50"/>
      <c r="F6" s="49" t="s">
        <v>5</v>
      </c>
      <c r="G6" s="50"/>
      <c r="H6" s="49" t="s">
        <v>6</v>
      </c>
      <c r="I6" s="50"/>
      <c r="J6" s="49" t="s">
        <v>7</v>
      </c>
      <c r="K6" s="50"/>
      <c r="L6" s="49" t="s">
        <v>8</v>
      </c>
      <c r="M6" s="50"/>
    </row>
    <row r="7" spans="2:13" ht="34.049999999999997" customHeight="1">
      <c r="B7" s="53">
        <f>PMeta</f>
        <v>0.318</v>
      </c>
      <c r="C7" s="52"/>
      <c r="D7" s="51">
        <f>MedianaReal</f>
        <v>76928501.273786187</v>
      </c>
      <c r="E7" s="52"/>
      <c r="F7" s="51">
        <f>P5Real</f>
        <v>66949561.611366928</v>
      </c>
      <c r="G7" s="52"/>
      <c r="H7" s="51">
        <f>Aporte80</f>
        <v>1127533.1600974761</v>
      </c>
      <c r="I7" s="52"/>
      <c r="J7" s="51">
        <f>MetaCorrida</f>
        <v>80000000</v>
      </c>
      <c r="K7" s="52"/>
      <c r="L7" s="54" t="str">
        <f>YEAR(FechaDatos)&amp;"-"&amp;RIGHT("0"&amp;MONTH(FechaDatos),2)&amp;"-"&amp;RIGHT("0"&amp;DAY(FechaDatos),2)</f>
        <v>2026-09-25</v>
      </c>
      <c r="M7" s="52"/>
    </row>
    <row r="9" spans="2:13">
      <c r="B9" s="7" t="s">
        <v>9</v>
      </c>
    </row>
    <row r="10" spans="2:13">
      <c r="B10" s="8" t="str">
        <f>"1. Con $"&amp;FIXED(AporteMensualCorrida,0)&amp;" al mes durante "&amp;HorizonteAnios&amp;" años, la probabilidad de llegar a $"&amp;FIXED(MetaCorrida,0)&amp;" (pesos de hoy) es "&amp;ROUND(PMeta*100,1)&amp;" %."</f>
        <v>1. Con $1,000,000 al mes durante 5 años, la probabilidad de llegar a $80,000,000 (pesos de hoy) es 31.8 %.</v>
      </c>
    </row>
    <row r="11" spans="2:13">
      <c r="B11" s="8" t="str">
        <f>"2. El 90 % de los resultados queda entre $"&amp;FIXED(P5Real,0)&amp;" y $"&amp;FIXED(P95Real,0)&amp;" en pesos de hoy; el peor caso razonable (percentil 5) es $"&amp;FIXED(P5Real,0)&amp;"."</f>
        <v>2. El 90 % de los resultados queda entre $66,949,562 y $88,411,988 en pesos de hoy; el peor caso razonable (percentil 5) es $66,949,562.</v>
      </c>
    </row>
    <row r="12" spans="2:13">
      <c r="B12" s="8" t="str">
        <f>"3. Para tener 80 % de probabilidad hace falta aportar $"&amp;FIXED(Aporte80,0)&amp;" al mes, "&amp;IF(Aporte80&gt;AporteMensualCorrida,"más","menos")&amp;" que los $"&amp;FIXED(AporteMensualCorrida,0)&amp;" actuales."</f>
        <v>3. Para tener 80 % de probabilidad hace falta aportar $1,127,533 al mes, más que los $1,000,000 actuales.</v>
      </c>
    </row>
    <row r="14" spans="2:13">
      <c r="B14" s="7" t="s">
        <v>10</v>
      </c>
      <c r="H14" s="7" t="s">
        <v>11</v>
      </c>
    </row>
    <row r="35" spans="2:13">
      <c r="B35" s="7" t="s">
        <v>12</v>
      </c>
    </row>
    <row r="36" spans="2:13">
      <c r="B36" s="9" t="s">
        <v>13</v>
      </c>
      <c r="C36" s="9"/>
      <c r="D36" s="10"/>
      <c r="F36" s="9" t="s">
        <v>14</v>
      </c>
      <c r="H36" s="9" t="s">
        <v>15</v>
      </c>
    </row>
    <row r="37" spans="2:13">
      <c r="B37" s="11" t="s">
        <v>16</v>
      </c>
      <c r="C37" s="12"/>
      <c r="D37" s="12"/>
      <c r="E37" s="12"/>
      <c r="F37" s="13">
        <f>INDEX(TSupuestos[Valor],1)</f>
        <v>0.1346</v>
      </c>
      <c r="G37" s="12"/>
      <c r="H37" s="11" t="s">
        <v>17</v>
      </c>
      <c r="I37" s="12"/>
      <c r="J37" s="12"/>
      <c r="K37" s="12"/>
      <c r="L37" s="12"/>
    </row>
    <row r="38" spans="2:13">
      <c r="B38" s="11" t="s">
        <v>18</v>
      </c>
      <c r="C38" s="12"/>
      <c r="D38" s="12"/>
      <c r="E38" s="12"/>
      <c r="F38" s="13">
        <f>INDEX(TSupuestos[Valor],2)</f>
        <v>0.1208</v>
      </c>
      <c r="G38" s="12"/>
      <c r="H38" s="11" t="s">
        <v>19</v>
      </c>
      <c r="I38" s="12"/>
      <c r="J38" s="12"/>
      <c r="K38" s="12"/>
      <c r="L38" s="12"/>
    </row>
    <row r="39" spans="2:13">
      <c r="B39" s="11" t="s">
        <v>20</v>
      </c>
      <c r="C39" s="12"/>
      <c r="D39" s="12"/>
      <c r="E39" s="12"/>
      <c r="F39" s="13">
        <f>INDEX(TSupuestos[Valor],3)</f>
        <v>0.12</v>
      </c>
      <c r="G39" s="12"/>
      <c r="H39" s="11" t="s">
        <v>19</v>
      </c>
      <c r="I39" s="12"/>
      <c r="J39" s="12"/>
      <c r="K39" s="12"/>
      <c r="L39" s="12"/>
    </row>
    <row r="40" spans="2:13">
      <c r="B40" s="11" t="s">
        <v>21</v>
      </c>
      <c r="C40" s="12"/>
      <c r="D40" s="12"/>
      <c r="E40" s="12"/>
      <c r="F40" s="13">
        <f>INDEX(TSupuestos[Valor],4)</f>
        <v>0.1154</v>
      </c>
      <c r="G40" s="12"/>
      <c r="H40" s="11" t="s">
        <v>19</v>
      </c>
      <c r="I40" s="12"/>
      <c r="J40" s="12"/>
      <c r="K40" s="12"/>
      <c r="L40" s="12"/>
    </row>
    <row r="41" spans="2:13">
      <c r="B41" s="11" t="s">
        <v>22</v>
      </c>
      <c r="C41" s="12"/>
      <c r="D41" s="12"/>
      <c r="E41" s="12"/>
      <c r="F41" s="13">
        <f>INDEX(TSupuestos[Valor],5)</f>
        <v>0.03</v>
      </c>
      <c r="G41" s="12"/>
      <c r="H41" s="11" t="s">
        <v>19</v>
      </c>
      <c r="I41" s="12"/>
      <c r="J41" s="12"/>
      <c r="K41" s="12"/>
      <c r="L41" s="12"/>
    </row>
    <row r="42" spans="2:13">
      <c r="B42" s="11" t="s">
        <v>23</v>
      </c>
      <c r="C42" s="12"/>
      <c r="D42" s="12"/>
      <c r="E42" s="12"/>
      <c r="F42" s="13">
        <f>INDEX(TSupuestos[Valor],6)</f>
        <v>6.2454467183256979E-2</v>
      </c>
      <c r="G42" s="12"/>
      <c r="H42" s="11" t="s">
        <v>24</v>
      </c>
      <c r="I42" s="12"/>
      <c r="J42" s="12"/>
      <c r="K42" s="12"/>
      <c r="L42" s="12"/>
    </row>
    <row r="44" spans="2:13" ht="31.95" customHeight="1">
      <c r="B44" s="55" t="s">
        <v>25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</row>
  </sheetData>
  <mergeCells count="13">
    <mergeCell ref="B44:M44"/>
    <mergeCell ref="F7:G7"/>
    <mergeCell ref="J6:K6"/>
    <mergeCell ref="L6:M6"/>
    <mergeCell ref="H7:I7"/>
    <mergeCell ref="L7:M7"/>
    <mergeCell ref="J7:K7"/>
    <mergeCell ref="D6:E6"/>
    <mergeCell ref="B6:C6"/>
    <mergeCell ref="D7:E7"/>
    <mergeCell ref="B7:C7"/>
    <mergeCell ref="H6:I6"/>
    <mergeCell ref="F6:G6"/>
  </mergeCells>
  <conditionalFormatting sqref="L3">
    <cfRule type="cellIs" dxfId="12" priority="1" operator="equal">
      <formula>"OK"</formula>
    </cfRule>
    <cfRule type="expression" dxfId="11" priority="2">
      <formula>LEFT(L3,2)="OK"</formula>
    </cfRule>
    <cfRule type="expression" dxfId="10" priority="3">
      <formula>LEFT(L3,11)="ADVERTENCIA"</formula>
    </cfRule>
    <cfRule type="expression" dxfId="9" priority="4">
      <formula>OR(LEFT(L3,5)="ERROR",LEFT(L3,7)="REVISAR")</formula>
    </cfRule>
  </conditionalFormatting>
  <printOptions horizontalCentered="1"/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  <pageSetUpPr fitToPage="1"/>
  </sheetPr>
  <dimension ref="B2:D19"/>
  <sheetViews>
    <sheetView showGridLines="0" workbookViewId="0"/>
  </sheetViews>
  <sheetFormatPr baseColWidth="10" defaultColWidth="8.88671875" defaultRowHeight="14.4"/>
  <cols>
    <col min="2" max="2" width="8" customWidth="1"/>
    <col min="3" max="3" width="78" customWidth="1"/>
    <col min="4" max="4" width="52" customWidth="1"/>
  </cols>
  <sheetData>
    <row r="2" spans="2:4" ht="24.6">
      <c r="B2" s="14" t="s">
        <v>26</v>
      </c>
    </row>
    <row r="4" spans="2:4" ht="22.05" customHeight="1">
      <c r="B4" s="9" t="s">
        <v>27</v>
      </c>
      <c r="C4" s="9" t="s">
        <v>28</v>
      </c>
      <c r="D4" s="9" t="s">
        <v>29</v>
      </c>
    </row>
    <row r="5" spans="2:4" ht="16.95" customHeight="1">
      <c r="B5" s="11" t="s">
        <v>30</v>
      </c>
      <c r="C5" s="11" t="s">
        <v>31</v>
      </c>
      <c r="D5" s="11" t="str">
        <f>IF(ABS(SumaPesos-1)&lt;0.0001,"OK","ERROR: los pesos no suman 100 %")</f>
        <v>OK</v>
      </c>
    </row>
    <row r="6" spans="2:4" ht="16.95" customHeight="1">
      <c r="B6" s="11" t="s">
        <v>32</v>
      </c>
      <c r="C6" s="11" t="s">
        <v>33</v>
      </c>
      <c r="D6" s="11" t="str">
        <f>IF(ABS(LastBalance)&lt;1,"OK","ERROR")</f>
        <v>OK</v>
      </c>
    </row>
    <row r="7" spans="2:4" ht="16.95" customHeight="1">
      <c r="B7" s="11" t="s">
        <v>34</v>
      </c>
      <c r="C7" s="11" t="s">
        <v>35</v>
      </c>
      <c r="D7" s="11" t="str">
        <f>IF(ABS(SumXfd)&lt;1,"OK","ERROR")</f>
        <v>OK</v>
      </c>
    </row>
    <row r="8" spans="2:4" ht="16.95" customHeight="1">
      <c r="B8" s="11" t="s">
        <v>36</v>
      </c>
      <c r="C8" s="11" t="s">
        <v>37</v>
      </c>
      <c r="D8" s="11" t="str">
        <f>IF(SUMPRODUCT(--ISERROR(TModelo[[Period]:[Xfd]]))=0,"OK","ERROR")</f>
        <v>OK</v>
      </c>
    </row>
    <row r="9" spans="2:4" ht="16.95" customHeight="1">
      <c r="B9" s="11" t="s">
        <v>38</v>
      </c>
      <c r="C9" s="11" t="s">
        <v>39</v>
      </c>
      <c r="D9" s="11" t="str">
        <f>IF(AND(HorizonteAnios&gt;=1,HorizonteAnios&lt;=30),"OK","ERROR")</f>
        <v>OK</v>
      </c>
    </row>
    <row r="10" spans="2:4" ht="16.95" customHeight="1">
      <c r="B10" s="11" t="s">
        <v>40</v>
      </c>
      <c r="C10" s="11" t="s">
        <v>41</v>
      </c>
      <c r="D10" s="11" t="str">
        <f>IF(CorrPSD="Sí","OK","ADVERTENCIA: se corrigió a la PSD más cercana")</f>
        <v>OK</v>
      </c>
    </row>
    <row r="11" spans="2:4" ht="16.95" customHeight="1">
      <c r="B11" s="11" t="s">
        <v>42</v>
      </c>
      <c r="C11" s="11" t="s">
        <v>43</v>
      </c>
      <c r="D11" s="11" t="str">
        <f>IF(NObsMin&gt;=60,"OK","ERROR")</f>
        <v>OK</v>
      </c>
    </row>
    <row r="12" spans="2:4" ht="16.95" customHeight="1">
      <c r="B12" s="11" t="s">
        <v>44</v>
      </c>
      <c r="C12" s="11" t="s">
        <v>45</v>
      </c>
      <c r="D12" s="11" t="str">
        <f ca="1">IF(TODAY()-FechaDatos&lt;7,"OK","ADVERTENCIA: dato con "&amp;(TODAY()-FechaDatos)&amp;" días")</f>
        <v>OK</v>
      </c>
    </row>
    <row r="13" spans="2:4" ht="16.95" customHeight="1">
      <c r="B13" s="11" t="s">
        <v>46</v>
      </c>
      <c r="C13" s="11" t="s">
        <v>47</v>
      </c>
      <c r="D13" s="11" t="str">
        <f>IF(AND(PMeta&gt;=0,PMeta&lt;=1),"OK","ERROR")</f>
        <v>OK</v>
      </c>
    </row>
    <row r="14" spans="2:4" ht="16.95" customHeight="1">
      <c r="B14" s="11" t="s">
        <v>48</v>
      </c>
      <c r="C14" s="11" t="s">
        <v>49</v>
      </c>
      <c r="D14" s="11" t="str">
        <f>IF(AND(AhorroInicial=AhorroInicialCorrida,AporteMensual=AporteMensualCorrida,HorizonteMeses=HorizonteMesesCorrida,Meta=MetaCorrida,PesoCDT=PesoCDTCorrida,PesoCOLCAP=PesoCOLCAPCorrida,PesoUSD=PesoUSDCorrida,Rebalanceo=RebalanceoCorrida,CrecimientoAporte=CrecimientoCorrida,Retencion=RetencionCorrida),"OK","ADVERTENCIA: parámetros editados; Resultados corresponde a la corrida original")</f>
        <v>OK</v>
      </c>
    </row>
    <row r="15" spans="2:4" ht="16.95" customHeight="1">
      <c r="B15" s="11" t="s">
        <v>50</v>
      </c>
      <c r="C15" s="11" t="s">
        <v>51</v>
      </c>
      <c r="D15" s="11" t="str">
        <f>IF(Meta&lt;&gt;MetaCorrida,"ADVERTENCIA: la Meta cambió",IF(ABS(PMetaMuestra-PMeta)&lt;=4*SQRT(MAX(PMeta*(1-PMeta),0.0001)/COUNT(TSim[ValorFinalReal])),"OK","ADVERTENCIA: la muestra se aleja de la simulación completa"))</f>
        <v>OK</v>
      </c>
    </row>
    <row r="16" spans="2:4" ht="16.95" customHeight="1">
      <c r="B16" s="11" t="s">
        <v>52</v>
      </c>
      <c r="C16" s="11" t="s">
        <v>53</v>
      </c>
      <c r="D16" s="11" t="s">
        <v>54</v>
      </c>
    </row>
    <row r="18" spans="3:3" ht="15">
      <c r="C18" s="4" t="s">
        <v>55</v>
      </c>
    </row>
    <row r="19" spans="3:3" ht="19.2">
      <c r="C19" s="15" t="str">
        <f ca="1">IF(COUNTIF(TControles[Estado],"ERROR*")&gt;0,"REVISAR: hay controles en error",IF(COUNTIF(TControles[Estado],"ADVERTENCIA*")&gt;0,"OK CON ADVERTENCIAS","OK"))</f>
        <v>OK</v>
      </c>
    </row>
  </sheetData>
  <conditionalFormatting sqref="C19">
    <cfRule type="cellIs" dxfId="8" priority="5" operator="equal">
      <formula>"OK"</formula>
    </cfRule>
    <cfRule type="expression" dxfId="7" priority="6">
      <formula>LEFT(C19,2)="OK"</formula>
    </cfRule>
    <cfRule type="expression" dxfId="6" priority="7">
      <formula>LEFT(C19,11)="ADVERTENCIA"</formula>
    </cfRule>
    <cfRule type="expression" dxfId="5" priority="8">
      <formula>OR(LEFT(C19,5)="ERROR",LEFT(C19,7)="REVISAR")</formula>
    </cfRule>
  </conditionalFormatting>
  <conditionalFormatting sqref="D5:D16">
    <cfRule type="cellIs" dxfId="4" priority="1" operator="equal">
      <formula>"OK"</formula>
    </cfRule>
    <cfRule type="expression" dxfId="3" priority="2">
      <formula>LEFT(D5,2)="OK"</formula>
    </cfRule>
    <cfRule type="expression" dxfId="2" priority="3">
      <formula>LEFT(D5,11)="ADVERTENCIA"</formula>
    </cfRule>
    <cfRule type="expression" dxfId="1" priority="4">
      <formula>OR(LEFT(D5,5)="ERROR",LEFT(D5,7)="REVISAR")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82F6"/>
    <pageSetUpPr fitToPage="1"/>
  </sheetPr>
  <dimension ref="B2:E24"/>
  <sheetViews>
    <sheetView showGridLines="0" workbookViewId="0"/>
  </sheetViews>
  <sheetFormatPr baseColWidth="10" defaultColWidth="8.88671875" defaultRowHeight="14.4"/>
  <cols>
    <col min="2" max="2" width="34" customWidth="1"/>
    <col min="3" max="3" width="18" customWidth="1"/>
    <col min="4" max="4" width="12" customWidth="1"/>
    <col min="5" max="5" width="52" customWidth="1"/>
  </cols>
  <sheetData>
    <row r="2" spans="2:5" ht="20.399999999999999">
      <c r="B2" s="16" t="s">
        <v>56</v>
      </c>
    </row>
    <row r="4" spans="2:5">
      <c r="B4" s="9" t="s">
        <v>57</v>
      </c>
      <c r="C4" s="9" t="s">
        <v>58</v>
      </c>
      <c r="D4" s="9" t="s">
        <v>59</v>
      </c>
      <c r="E4" s="9" t="s">
        <v>60</v>
      </c>
    </row>
    <row r="5" spans="2:5" ht="15">
      <c r="B5" s="4" t="s">
        <v>61</v>
      </c>
      <c r="C5" s="17">
        <v>5000000</v>
      </c>
      <c r="D5" s="8" t="s">
        <v>62</v>
      </c>
      <c r="E5" s="8" t="s">
        <v>63</v>
      </c>
    </row>
    <row r="6" spans="2:5" ht="15">
      <c r="B6" s="4" t="s">
        <v>64</v>
      </c>
      <c r="C6" s="17">
        <v>1000000</v>
      </c>
      <c r="D6" s="8" t="s">
        <v>62</v>
      </c>
      <c r="E6" s="8" t="s">
        <v>65</v>
      </c>
    </row>
    <row r="7" spans="2:5" ht="15">
      <c r="B7" s="4" t="s">
        <v>66</v>
      </c>
      <c r="C7" s="18">
        <v>5</v>
      </c>
      <c r="D7" s="8" t="s">
        <v>67</v>
      </c>
      <c r="E7" s="8" t="s">
        <v>68</v>
      </c>
    </row>
    <row r="8" spans="2:5" ht="15">
      <c r="B8" s="4" t="s">
        <v>69</v>
      </c>
      <c r="C8" s="19">
        <f>HorizonteAnios*12</f>
        <v>60</v>
      </c>
      <c r="D8" s="8" t="s">
        <v>70</v>
      </c>
      <c r="E8" s="8" t="s">
        <v>71</v>
      </c>
    </row>
    <row r="9" spans="2:5" ht="15">
      <c r="B9" s="4" t="s">
        <v>72</v>
      </c>
      <c r="C9" s="17">
        <v>80000000</v>
      </c>
      <c r="D9" s="8" t="s">
        <v>73</v>
      </c>
      <c r="E9" s="8" t="s">
        <v>74</v>
      </c>
    </row>
    <row r="10" spans="2:5" ht="15">
      <c r="B10" s="4" t="s">
        <v>75</v>
      </c>
      <c r="C10" s="20">
        <v>0.6</v>
      </c>
      <c r="D10" s="8" t="s">
        <v>76</v>
      </c>
      <c r="E10" s="8" t="s">
        <v>77</v>
      </c>
    </row>
    <row r="11" spans="2:5" ht="15">
      <c r="B11" s="4" t="s">
        <v>78</v>
      </c>
      <c r="C11" s="20">
        <v>0.25</v>
      </c>
      <c r="D11" s="8" t="s">
        <v>76</v>
      </c>
      <c r="E11" s="8" t="s">
        <v>79</v>
      </c>
    </row>
    <row r="12" spans="2:5" ht="15">
      <c r="B12" s="4" t="s">
        <v>80</v>
      </c>
      <c r="C12" s="20">
        <v>0.15</v>
      </c>
      <c r="D12" s="8" t="s">
        <v>76</v>
      </c>
      <c r="E12" s="8" t="s">
        <v>81</v>
      </c>
    </row>
    <row r="13" spans="2:5" ht="15">
      <c r="B13" s="4" t="s">
        <v>82</v>
      </c>
      <c r="C13" s="21">
        <f>PesoCDT+PesoCOLCAP+PesoUSD</f>
        <v>1</v>
      </c>
      <c r="D13" s="8" t="s">
        <v>76</v>
      </c>
      <c r="E13" s="8" t="s">
        <v>83</v>
      </c>
    </row>
    <row r="14" spans="2:5" ht="15">
      <c r="B14" s="4" t="s">
        <v>84</v>
      </c>
      <c r="C14" s="22" t="s">
        <v>85</v>
      </c>
      <c r="D14" s="8"/>
      <c r="E14" s="8" t="s">
        <v>86</v>
      </c>
    </row>
    <row r="15" spans="2:5" ht="15">
      <c r="B15" s="4" t="s">
        <v>87</v>
      </c>
      <c r="C15" s="22" t="s">
        <v>88</v>
      </c>
      <c r="D15" s="8"/>
      <c r="E15" s="8" t="s">
        <v>89</v>
      </c>
    </row>
    <row r="16" spans="2:5" ht="15">
      <c r="B16" s="4" t="s">
        <v>90</v>
      </c>
      <c r="C16" s="20">
        <v>0.04</v>
      </c>
      <c r="D16" s="8" t="s">
        <v>76</v>
      </c>
      <c r="E16" s="8" t="s">
        <v>91</v>
      </c>
    </row>
    <row r="17" spans="2:5" ht="15">
      <c r="B17" s="4" t="s">
        <v>92</v>
      </c>
      <c r="C17" s="23">
        <v>46294</v>
      </c>
      <c r="D17" s="8"/>
      <c r="E17" s="8" t="s">
        <v>93</v>
      </c>
    </row>
    <row r="19" spans="2:5" ht="15">
      <c r="B19" s="4" t="s">
        <v>94</v>
      </c>
      <c r="C19" s="24">
        <v>10000</v>
      </c>
      <c r="D19" s="8" t="s">
        <v>95</v>
      </c>
      <c r="E19" s="8" t="s">
        <v>96</v>
      </c>
    </row>
    <row r="20" spans="2:5" ht="15">
      <c r="B20" s="4" t="s">
        <v>97</v>
      </c>
      <c r="C20" s="19">
        <v>42</v>
      </c>
      <c r="D20" s="8"/>
      <c r="E20" s="8" t="s">
        <v>98</v>
      </c>
    </row>
    <row r="21" spans="2:5" ht="15">
      <c r="B21" s="4" t="s">
        <v>99</v>
      </c>
      <c r="C21" s="11" t="s">
        <v>100</v>
      </c>
      <c r="D21" s="8"/>
      <c r="E21" s="8" t="s">
        <v>96</v>
      </c>
    </row>
    <row r="22" spans="2:5" ht="15">
      <c r="B22" s="4" t="s">
        <v>101</v>
      </c>
      <c r="C22" s="19">
        <v>10</v>
      </c>
      <c r="D22" s="8" t="s">
        <v>67</v>
      </c>
      <c r="E22" s="8" t="s">
        <v>96</v>
      </c>
    </row>
    <row r="23" spans="2:5" ht="15">
      <c r="B23" s="4" t="s">
        <v>102</v>
      </c>
      <c r="C23" s="25">
        <v>46290</v>
      </c>
      <c r="D23" s="8"/>
      <c r="E23" s="8" t="s">
        <v>103</v>
      </c>
    </row>
    <row r="24" spans="2:5" ht="15">
      <c r="B24" s="4" t="s">
        <v>104</v>
      </c>
      <c r="C24" s="11" t="s">
        <v>105</v>
      </c>
      <c r="D24" s="8"/>
      <c r="E24" s="8"/>
    </row>
  </sheetData>
  <dataValidations count="2">
    <dataValidation type="list" sqref="C14" xr:uid="{00000000-0002-0000-0200-000000000000}">
      <formula1>"Mensual,Anual,Ninguno"</formula1>
    </dataValidation>
    <dataValidation type="list" sqref="C15" xr:uid="{00000000-0002-0000-0200-000001000000}">
      <formula1>"Con IPC,Fijo"</formula1>
    </dataValidation>
  </dataValidations>
  <printOptions horizontalCentered="1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1D5DB"/>
    <pageSetUpPr fitToPage="1"/>
  </sheetPr>
  <dimension ref="A2:G12"/>
  <sheetViews>
    <sheetView showGridLines="0" workbookViewId="0"/>
  </sheetViews>
  <sheetFormatPr baseColWidth="10" defaultColWidth="8.88671875" defaultRowHeight="14.4"/>
  <cols>
    <col min="1" max="1" width="40" customWidth="1"/>
    <col min="2" max="2" width="21" customWidth="1"/>
    <col min="3" max="3" width="12" customWidth="1"/>
    <col min="4" max="4" width="53" customWidth="1"/>
    <col min="5" max="6" width="12" customWidth="1"/>
    <col min="7" max="7" width="18" customWidth="1"/>
  </cols>
  <sheetData>
    <row r="2" spans="1:7" ht="20.399999999999999">
      <c r="A2" s="16" t="s">
        <v>106</v>
      </c>
    </row>
    <row r="4" spans="1:7" ht="22.05" customHeight="1">
      <c r="A4" s="9" t="s">
        <v>57</v>
      </c>
      <c r="B4" s="9" t="s">
        <v>58</v>
      </c>
      <c r="C4" s="9" t="s">
        <v>59</v>
      </c>
      <c r="D4" s="9" t="s">
        <v>107</v>
      </c>
      <c r="E4" s="9" t="s">
        <v>108</v>
      </c>
      <c r="F4" s="9" t="s">
        <v>109</v>
      </c>
      <c r="G4" s="9" t="s">
        <v>110</v>
      </c>
    </row>
    <row r="5" spans="1:7" ht="16.95" customHeight="1">
      <c r="A5" s="11" t="s">
        <v>16</v>
      </c>
      <c r="B5" s="13">
        <v>0.1346</v>
      </c>
      <c r="C5" s="11" t="s">
        <v>111</v>
      </c>
      <c r="D5" s="11" t="s">
        <v>17</v>
      </c>
      <c r="E5" s="11" t="s">
        <v>112</v>
      </c>
      <c r="F5" s="25">
        <v>46290</v>
      </c>
      <c r="G5" s="11" t="s">
        <v>105</v>
      </c>
    </row>
    <row r="6" spans="1:7" ht="16.95" customHeight="1">
      <c r="A6" s="11" t="s">
        <v>18</v>
      </c>
      <c r="B6" s="13">
        <v>0.1208</v>
      </c>
      <c r="C6" s="11" t="s">
        <v>111</v>
      </c>
      <c r="D6" s="11" t="s">
        <v>19</v>
      </c>
      <c r="E6" s="11">
        <v>240</v>
      </c>
      <c r="F6" s="25">
        <v>46290</v>
      </c>
      <c r="G6" s="11" t="s">
        <v>105</v>
      </c>
    </row>
    <row r="7" spans="1:7" ht="16.95" customHeight="1">
      <c r="A7" s="11" t="s">
        <v>20</v>
      </c>
      <c r="B7" s="13">
        <v>0.12</v>
      </c>
      <c r="C7" s="11" t="s">
        <v>111</v>
      </c>
      <c r="D7" s="11" t="s">
        <v>19</v>
      </c>
      <c r="E7" s="11">
        <v>59</v>
      </c>
      <c r="F7" s="25">
        <v>46294</v>
      </c>
      <c r="G7" s="11" t="s">
        <v>105</v>
      </c>
    </row>
    <row r="8" spans="1:7" ht="16.95" customHeight="1">
      <c r="A8" s="11" t="s">
        <v>21</v>
      </c>
      <c r="B8" s="13">
        <v>0.1154</v>
      </c>
      <c r="C8" s="11" t="s">
        <v>113</v>
      </c>
      <c r="D8" s="11" t="s">
        <v>19</v>
      </c>
      <c r="E8" s="11">
        <v>243</v>
      </c>
      <c r="F8" s="25">
        <v>46294</v>
      </c>
      <c r="G8" s="11" t="s">
        <v>105</v>
      </c>
    </row>
    <row r="9" spans="1:7" ht="16.95" customHeight="1">
      <c r="A9" s="11" t="s">
        <v>22</v>
      </c>
      <c r="B9" s="13">
        <v>0.03</v>
      </c>
      <c r="C9" s="11" t="s">
        <v>114</v>
      </c>
      <c r="D9" s="11" t="s">
        <v>19</v>
      </c>
      <c r="E9" s="11">
        <v>853</v>
      </c>
      <c r="F9" s="25">
        <v>46265</v>
      </c>
      <c r="G9" s="11" t="s">
        <v>105</v>
      </c>
    </row>
    <row r="10" spans="1:7" ht="16.95" customHeight="1">
      <c r="A10" s="11" t="s">
        <v>23</v>
      </c>
      <c r="B10" s="13">
        <v>6.2454467183256979E-2</v>
      </c>
      <c r="C10" s="11" t="s">
        <v>114</v>
      </c>
      <c r="D10" s="11" t="s">
        <v>24</v>
      </c>
      <c r="E10" s="11"/>
      <c r="F10" s="25">
        <v>46265</v>
      </c>
      <c r="G10" s="11" t="s">
        <v>105</v>
      </c>
    </row>
    <row r="11" spans="1:7" ht="16.95" customHeight="1">
      <c r="A11" s="11" t="s">
        <v>115</v>
      </c>
      <c r="B11" s="26">
        <v>2558.92</v>
      </c>
      <c r="C11" s="11" t="s">
        <v>116</v>
      </c>
      <c r="D11" s="11" t="s">
        <v>19</v>
      </c>
      <c r="E11" s="11">
        <v>6</v>
      </c>
      <c r="F11" s="25">
        <v>46294</v>
      </c>
      <c r="G11" s="11" t="s">
        <v>105</v>
      </c>
    </row>
    <row r="12" spans="1:7" ht="16.95" customHeight="1">
      <c r="A12" s="11" t="s">
        <v>117</v>
      </c>
      <c r="B12" s="26">
        <v>3349.63</v>
      </c>
      <c r="C12" s="11" t="s">
        <v>118</v>
      </c>
      <c r="D12" s="11" t="s">
        <v>19</v>
      </c>
      <c r="E12" s="11">
        <v>1</v>
      </c>
      <c r="F12" s="25">
        <v>46294</v>
      </c>
      <c r="G12" s="11" t="s">
        <v>105</v>
      </c>
    </row>
  </sheetData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1D5DB"/>
    <pageSetUpPr fitToPage="1"/>
  </sheetPr>
  <dimension ref="B2:H36"/>
  <sheetViews>
    <sheetView showGridLines="0" workbookViewId="0"/>
  </sheetViews>
  <sheetFormatPr baseColWidth="10" defaultColWidth="8.88671875" defaultRowHeight="14.4"/>
  <cols>
    <col min="2" max="2" width="44" customWidth="1"/>
    <col min="3" max="4" width="16" customWidth="1"/>
    <col min="5" max="5" width="22" customWidth="1"/>
    <col min="6" max="6" width="40" customWidth="1"/>
    <col min="7" max="8" width="16" customWidth="1"/>
  </cols>
  <sheetData>
    <row r="2" spans="2:5" ht="20.399999999999999">
      <c r="B2" s="16" t="s">
        <v>119</v>
      </c>
    </row>
    <row r="4" spans="2:5">
      <c r="B4" s="9" t="s">
        <v>120</v>
      </c>
      <c r="C4" s="9" t="s">
        <v>58</v>
      </c>
      <c r="D4" s="9" t="s">
        <v>59</v>
      </c>
      <c r="E4" s="9" t="s">
        <v>121</v>
      </c>
    </row>
    <row r="5" spans="2:5" ht="15">
      <c r="B5" s="4" t="s">
        <v>122</v>
      </c>
      <c r="C5" s="27">
        <v>5.3982433020543334E-3</v>
      </c>
      <c r="D5" s="8" t="s">
        <v>123</v>
      </c>
      <c r="E5" s="8" t="s">
        <v>124</v>
      </c>
    </row>
    <row r="6" spans="2:5" ht="15">
      <c r="B6" s="4" t="s">
        <v>125</v>
      </c>
      <c r="C6" s="27">
        <v>5.8387974135465592E-2</v>
      </c>
      <c r="D6" s="8" t="s">
        <v>123</v>
      </c>
      <c r="E6" s="8"/>
    </row>
    <row r="7" spans="2:5" ht="15">
      <c r="B7" s="4" t="s">
        <v>126</v>
      </c>
      <c r="C7" s="27">
        <v>1.2589746590828379E-3</v>
      </c>
      <c r="D7" s="8" t="s">
        <v>123</v>
      </c>
      <c r="E7" s="8"/>
    </row>
    <row r="8" spans="2:5" ht="15">
      <c r="B8" s="4" t="s">
        <v>127</v>
      </c>
      <c r="C8" s="27">
        <v>3.5948906721893853E-2</v>
      </c>
      <c r="D8" s="8" t="s">
        <v>123</v>
      </c>
      <c r="E8" s="8"/>
    </row>
    <row r="9" spans="2:5" ht="15">
      <c r="B9" s="4" t="s">
        <v>128</v>
      </c>
      <c r="C9" s="21">
        <v>0.1208</v>
      </c>
      <c r="D9" s="8" t="s">
        <v>111</v>
      </c>
      <c r="E9" s="8" t="s">
        <v>129</v>
      </c>
    </row>
    <row r="10" spans="2:5" ht="15">
      <c r="B10" s="4" t="s">
        <v>130</v>
      </c>
      <c r="C10" s="21">
        <v>1.3799999999999989E-2</v>
      </c>
      <c r="D10" s="8" t="s">
        <v>111</v>
      </c>
      <c r="E10" s="8" t="s">
        <v>17</v>
      </c>
    </row>
    <row r="11" spans="2:5" ht="15">
      <c r="B11" s="4" t="s">
        <v>131</v>
      </c>
      <c r="C11" s="21">
        <v>0.1346</v>
      </c>
      <c r="D11" s="8" t="s">
        <v>111</v>
      </c>
      <c r="E11" s="8" t="s">
        <v>132</v>
      </c>
    </row>
    <row r="12" spans="2:5" ht="15">
      <c r="B12" s="4" t="s">
        <v>133</v>
      </c>
      <c r="C12" s="28">
        <v>1.5551620729655319E-2</v>
      </c>
      <c r="D12" s="8" t="s">
        <v>123</v>
      </c>
      <c r="E12" s="8" t="s">
        <v>134</v>
      </c>
    </row>
    <row r="13" spans="2:5" ht="15">
      <c r="B13" s="4" t="s">
        <v>135</v>
      </c>
      <c r="C13" s="21">
        <v>0.1027993562518545</v>
      </c>
      <c r="D13" s="8" t="s">
        <v>111</v>
      </c>
      <c r="E13" s="8" t="s">
        <v>136</v>
      </c>
    </row>
    <row r="14" spans="2:5" ht="15">
      <c r="B14" s="4" t="s">
        <v>137</v>
      </c>
      <c r="C14" s="27">
        <v>7.5762347207928397E-3</v>
      </c>
      <c r="D14" s="8" t="s">
        <v>111</v>
      </c>
      <c r="E14" s="8" t="s">
        <v>138</v>
      </c>
    </row>
    <row r="15" spans="2:5" ht="15">
      <c r="B15" s="4" t="s">
        <v>139</v>
      </c>
      <c r="C15" s="27">
        <v>5.0612455904111009E-3</v>
      </c>
      <c r="D15" s="8" t="s">
        <v>123</v>
      </c>
      <c r="E15" s="8" t="s">
        <v>140</v>
      </c>
    </row>
    <row r="16" spans="2:5" ht="15">
      <c r="B16" s="4" t="s">
        <v>141</v>
      </c>
      <c r="C16" s="28">
        <v>0.21507296378409901</v>
      </c>
      <c r="D16" s="8" t="s">
        <v>123</v>
      </c>
      <c r="E16" s="8"/>
    </row>
    <row r="17" spans="2:8" ht="15">
      <c r="B17" s="4" t="s">
        <v>142</v>
      </c>
      <c r="C17" s="27">
        <v>2.4662697723036859E-3</v>
      </c>
      <c r="D17" s="8" t="s">
        <v>123</v>
      </c>
      <c r="E17" s="8" t="s">
        <v>143</v>
      </c>
    </row>
    <row r="18" spans="2:8" ht="15">
      <c r="B18" s="4" t="s">
        <v>144</v>
      </c>
      <c r="C18" s="27">
        <v>2.8416449672277249E-3</v>
      </c>
      <c r="D18" s="8" t="s">
        <v>123</v>
      </c>
      <c r="E18" s="8"/>
    </row>
    <row r="19" spans="2:8" ht="15">
      <c r="B19" s="4" t="s">
        <v>145</v>
      </c>
      <c r="C19" s="19">
        <v>119</v>
      </c>
      <c r="D19" s="8" t="s">
        <v>70</v>
      </c>
      <c r="E19" s="8" t="s">
        <v>146</v>
      </c>
    </row>
    <row r="20" spans="2:8" ht="15">
      <c r="B20" s="4" t="s">
        <v>147</v>
      </c>
      <c r="C20" s="29">
        <v>3.6180501485410872</v>
      </c>
      <c r="D20" s="8"/>
      <c r="E20" s="8" t="s">
        <v>148</v>
      </c>
    </row>
    <row r="23" spans="2:8">
      <c r="B23" s="7" t="s">
        <v>149</v>
      </c>
    </row>
    <row r="24" spans="2:8" ht="22.8">
      <c r="B24" s="9" t="s">
        <v>150</v>
      </c>
      <c r="C24" s="30" t="s">
        <v>151</v>
      </c>
      <c r="D24" s="30" t="s">
        <v>152</v>
      </c>
      <c r="E24" s="30" t="s">
        <v>153</v>
      </c>
      <c r="F24" s="30" t="s">
        <v>154</v>
      </c>
      <c r="G24" s="30" t="s">
        <v>155</v>
      </c>
      <c r="H24" s="30" t="s">
        <v>156</v>
      </c>
    </row>
    <row r="25" spans="2:8">
      <c r="B25" s="11" t="s">
        <v>157</v>
      </c>
      <c r="C25" s="31">
        <v>-1.5570222126072011</v>
      </c>
      <c r="D25" s="31">
        <v>8.06238479799892</v>
      </c>
      <c r="E25" s="31">
        <v>373.49660656606488</v>
      </c>
      <c r="F25" s="31">
        <v>7.8748516188177822E-82</v>
      </c>
      <c r="G25" s="11" t="s">
        <v>158</v>
      </c>
      <c r="H25" s="11">
        <v>120</v>
      </c>
    </row>
    <row r="26" spans="2:8">
      <c r="B26" s="11" t="s">
        <v>159</v>
      </c>
      <c r="C26" s="31">
        <v>0.21750972670535229</v>
      </c>
      <c r="D26" s="31">
        <v>0.97769388357100206</v>
      </c>
      <c r="E26" s="31">
        <v>5.7256362740894824</v>
      </c>
      <c r="F26" s="31">
        <v>5.7107596248462469E-2</v>
      </c>
      <c r="G26" s="11" t="s">
        <v>160</v>
      </c>
      <c r="H26" s="11">
        <v>120</v>
      </c>
    </row>
    <row r="28" spans="2:8">
      <c r="B28" s="7" t="s">
        <v>161</v>
      </c>
    </row>
    <row r="29" spans="2:8">
      <c r="B29" s="9"/>
      <c r="C29" s="32" t="s">
        <v>157</v>
      </c>
      <c r="D29" s="32" t="s">
        <v>159</v>
      </c>
      <c r="E29" s="32" t="s">
        <v>162</v>
      </c>
      <c r="F29" s="32" t="s">
        <v>163</v>
      </c>
    </row>
    <row r="30" spans="2:8">
      <c r="B30" s="11" t="s">
        <v>157</v>
      </c>
      <c r="C30" s="31">
        <v>1</v>
      </c>
      <c r="D30" s="31">
        <v>-0.5107773381777182</v>
      </c>
      <c r="E30" s="31">
        <v>-2.1872679029259511E-2</v>
      </c>
      <c r="F30" s="31">
        <v>0.15311463495489591</v>
      </c>
    </row>
    <row r="31" spans="2:8">
      <c r="B31" s="11" t="s">
        <v>159</v>
      </c>
      <c r="C31" s="31">
        <v>-0.5107773381777182</v>
      </c>
      <c r="D31" s="31">
        <v>1</v>
      </c>
      <c r="E31" s="31">
        <v>8.3157306765424169E-2</v>
      </c>
      <c r="F31" s="31">
        <v>3.0175941364922129E-2</v>
      </c>
    </row>
    <row r="32" spans="2:8">
      <c r="B32" s="11" t="s">
        <v>162</v>
      </c>
      <c r="C32" s="31">
        <v>-2.1872679029259511E-2</v>
      </c>
      <c r="D32" s="31">
        <v>8.3157306765424169E-2</v>
      </c>
      <c r="E32" s="31">
        <v>1</v>
      </c>
      <c r="F32" s="31">
        <v>0.20784236667498909</v>
      </c>
    </row>
    <row r="33" spans="2:6">
      <c r="B33" s="11" t="s">
        <v>163</v>
      </c>
      <c r="C33" s="31">
        <v>0.15311463495489591</v>
      </c>
      <c r="D33" s="31">
        <v>3.0175941364922129E-2</v>
      </c>
      <c r="E33" s="31">
        <v>0.20784236667498909</v>
      </c>
      <c r="F33" s="31">
        <v>1</v>
      </c>
    </row>
    <row r="35" spans="2:6" ht="15">
      <c r="B35" s="4" t="s">
        <v>164</v>
      </c>
      <c r="C35" s="8" t="s">
        <v>158</v>
      </c>
    </row>
    <row r="36" spans="2:6" ht="15">
      <c r="B36" s="4" t="s">
        <v>165</v>
      </c>
      <c r="C36" s="33">
        <v>0.45767434038762361</v>
      </c>
    </row>
  </sheetData>
  <printOptions horizontalCentered="1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  <pageSetUpPr fitToPage="1"/>
  </sheetPr>
  <dimension ref="B2:AD387"/>
  <sheetViews>
    <sheetView showGridLines="0" workbookViewId="0">
      <pane xSplit="3" ySplit="26" topLeftCell="D27" activePane="bottomRight" state="frozen"/>
      <selection pane="topRight"/>
      <selection pane="bottomLeft"/>
      <selection pane="bottomRight"/>
    </sheetView>
  </sheetViews>
  <sheetFormatPr baseColWidth="10" defaultColWidth="8.88671875" defaultRowHeight="14.4"/>
  <cols>
    <col min="2" max="2" width="8" customWidth="1"/>
    <col min="3" max="3" width="12" customWidth="1"/>
    <col min="4" max="30" width="13" customWidth="1"/>
  </cols>
  <sheetData>
    <row r="2" spans="2:14" ht="34.049999999999997" customHeight="1">
      <c r="B2" s="1" t="s">
        <v>166</v>
      </c>
    </row>
    <row r="3" spans="2:14" ht="15">
      <c r="B3" s="3" t="s">
        <v>167</v>
      </c>
    </row>
    <row r="4" spans="2:14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2:14">
      <c r="B6" s="9" t="s">
        <v>168</v>
      </c>
      <c r="C6" s="9" t="s">
        <v>169</v>
      </c>
      <c r="D6" s="10"/>
      <c r="E6" s="10"/>
      <c r="F6" s="9" t="s">
        <v>13</v>
      </c>
      <c r="G6" s="9" t="s">
        <v>170</v>
      </c>
      <c r="H6" s="9" t="s">
        <v>171</v>
      </c>
      <c r="J6" s="7" t="s">
        <v>172</v>
      </c>
    </row>
    <row r="7" spans="2:14">
      <c r="B7" s="11">
        <v>1</v>
      </c>
      <c r="C7" s="56" t="s">
        <v>173</v>
      </c>
      <c r="D7" s="57"/>
      <c r="E7" s="57"/>
      <c r="F7" s="11"/>
      <c r="G7" s="34" t="s">
        <v>174</v>
      </c>
      <c r="H7" s="11"/>
      <c r="J7" s="56" t="s">
        <v>175</v>
      </c>
      <c r="K7" s="57"/>
      <c r="L7" s="57"/>
      <c r="M7" s="57"/>
      <c r="N7" s="35">
        <f>INDEX(TModelo[TotalPreLiq],HorizonteMeses+1)</f>
        <v>90230039.134416521</v>
      </c>
    </row>
    <row r="8" spans="2:14">
      <c r="B8" s="11">
        <v>2</v>
      </c>
      <c r="C8" s="56" t="s">
        <v>176</v>
      </c>
      <c r="D8" s="57"/>
      <c r="E8" s="57"/>
      <c r="F8" s="11" t="s">
        <v>177</v>
      </c>
      <c r="G8" s="35">
        <f>AhorroInicial</f>
        <v>5000000</v>
      </c>
      <c r="H8" s="11" t="s">
        <v>62</v>
      </c>
      <c r="J8" s="56" t="s">
        <v>178</v>
      </c>
      <c r="K8" s="57"/>
      <c r="L8" s="57"/>
      <c r="M8" s="57"/>
      <c r="N8" s="35">
        <f>INDEX(TModelo[RealBalance],HorizonteMeses+1)</f>
        <v>77101788.689082801</v>
      </c>
    </row>
    <row r="9" spans="2:14">
      <c r="B9" s="11">
        <v>3</v>
      </c>
      <c r="C9" s="56" t="s">
        <v>179</v>
      </c>
      <c r="D9" s="57"/>
      <c r="E9" s="57"/>
      <c r="F9" s="11" t="s">
        <v>180</v>
      </c>
      <c r="G9" s="13">
        <v>0</v>
      </c>
      <c r="H9" s="11"/>
      <c r="J9" s="56" t="s">
        <v>181</v>
      </c>
      <c r="K9" s="57"/>
      <c r="L9" s="57"/>
      <c r="M9" s="57"/>
      <c r="N9" s="36">
        <f>INDEX(TModelo[Balance],HorizonteMeses+1)</f>
        <v>0</v>
      </c>
    </row>
    <row r="10" spans="2:14">
      <c r="B10" s="11">
        <v>4</v>
      </c>
      <c r="C10" s="56" t="s">
        <v>182</v>
      </c>
      <c r="D10" s="57"/>
      <c r="E10" s="57"/>
      <c r="F10" s="11" t="s">
        <v>183</v>
      </c>
      <c r="G10" s="35">
        <f>Asset*DownpaymentP</f>
        <v>0</v>
      </c>
      <c r="H10" s="11" t="s">
        <v>62</v>
      </c>
      <c r="J10" s="56" t="s">
        <v>184</v>
      </c>
      <c r="K10" s="57"/>
      <c r="L10" s="57"/>
      <c r="M10" s="57"/>
      <c r="N10" s="36">
        <f>SUM(TModelo[Xfd])</f>
        <v>-5.9604644775390625E-8</v>
      </c>
    </row>
    <row r="11" spans="2:14">
      <c r="B11" s="11">
        <v>5</v>
      </c>
      <c r="C11" s="56" t="s">
        <v>185</v>
      </c>
      <c r="D11" s="57"/>
      <c r="E11" s="57"/>
      <c r="F11" s="11" t="s">
        <v>186</v>
      </c>
      <c r="G11" s="35">
        <f>Asset-Downpayment</f>
        <v>5000000</v>
      </c>
      <c r="H11" s="11" t="s">
        <v>62</v>
      </c>
      <c r="J11" s="56" t="s">
        <v>187</v>
      </c>
      <c r="K11" s="57"/>
      <c r="L11" s="57"/>
      <c r="M11" s="57"/>
      <c r="N11" s="35">
        <f>SUM(TModelo[Outflow])</f>
        <v>70149003.791572645</v>
      </c>
    </row>
    <row r="12" spans="2:14">
      <c r="B12" s="11">
        <v>6</v>
      </c>
      <c r="C12" s="56" t="s">
        <v>188</v>
      </c>
      <c r="D12" s="57"/>
      <c r="E12" s="57"/>
      <c r="F12" s="11" t="s">
        <v>189</v>
      </c>
      <c r="G12" s="37">
        <f>HorizonteAnios</f>
        <v>5</v>
      </c>
      <c r="H12" s="11" t="s">
        <v>67</v>
      </c>
    </row>
    <row r="13" spans="2:14">
      <c r="B13" s="11">
        <v>7</v>
      </c>
      <c r="C13" s="56" t="s">
        <v>190</v>
      </c>
      <c r="D13" s="57"/>
      <c r="E13" s="57"/>
      <c r="F13" s="11" t="s">
        <v>191</v>
      </c>
      <c r="G13" s="34" t="s">
        <v>192</v>
      </c>
      <c r="H13" s="11"/>
    </row>
    <row r="14" spans="2:14">
      <c r="B14" s="11">
        <v>8</v>
      </c>
      <c r="C14" s="56" t="s">
        <v>193</v>
      </c>
      <c r="D14" s="57"/>
      <c r="E14" s="57"/>
      <c r="F14" s="11" t="s">
        <v>194</v>
      </c>
      <c r="G14" s="37">
        <v>12</v>
      </c>
      <c r="H14" s="11"/>
    </row>
    <row r="15" spans="2:14">
      <c r="B15" s="11">
        <v>9</v>
      </c>
      <c r="C15" s="56" t="s">
        <v>195</v>
      </c>
      <c r="D15" s="57"/>
      <c r="E15" s="57"/>
      <c r="F15" s="11" t="s">
        <v>196</v>
      </c>
      <c r="G15" s="13">
        <f>(1+PerRate)^m-1</f>
        <v>9.8024370677403105E-2</v>
      </c>
      <c r="H15" s="11" t="s">
        <v>111</v>
      </c>
    </row>
    <row r="16" spans="2:14">
      <c r="B16" s="11">
        <v>10</v>
      </c>
      <c r="C16" s="56" t="s">
        <v>197</v>
      </c>
      <c r="D16" s="57"/>
      <c r="E16" s="57"/>
      <c r="F16" s="11" t="s">
        <v>198</v>
      </c>
      <c r="G16" s="13">
        <f>m*((1+EAR)^(1/m)-1)</f>
        <v>9.3877844768329055E-2</v>
      </c>
      <c r="H16" s="11" t="s">
        <v>199</v>
      </c>
    </row>
    <row r="17" spans="2:30">
      <c r="B17" s="11">
        <v>11</v>
      </c>
      <c r="C17" s="56" t="s">
        <v>200</v>
      </c>
      <c r="D17" s="57"/>
      <c r="E17" s="57"/>
      <c r="F17" s="11" t="s">
        <v>201</v>
      </c>
      <c r="G17" s="38">
        <f>IRR(TModelo[NetCF],0.01)</f>
        <v>7.8231537306940879E-3</v>
      </c>
      <c r="H17" s="11" t="s">
        <v>202</v>
      </c>
    </row>
    <row r="18" spans="2:30">
      <c r="B18" s="11">
        <v>12</v>
      </c>
      <c r="C18" s="56" t="s">
        <v>203</v>
      </c>
      <c r="D18" s="57"/>
      <c r="E18" s="57"/>
      <c r="F18" s="11" t="s">
        <v>204</v>
      </c>
      <c r="G18" s="39">
        <f>FechaInicio</f>
        <v>46294</v>
      </c>
      <c r="H18" s="11"/>
    </row>
    <row r="19" spans="2:30">
      <c r="B19" s="11">
        <v>13</v>
      </c>
      <c r="C19" s="56" t="s">
        <v>205</v>
      </c>
      <c r="D19" s="57"/>
      <c r="E19" s="57"/>
      <c r="F19" s="11" t="s">
        <v>206</v>
      </c>
      <c r="G19" s="37">
        <f>HorizonteMeses</f>
        <v>60</v>
      </c>
      <c r="H19" s="11" t="s">
        <v>207</v>
      </c>
    </row>
    <row r="20" spans="2:30">
      <c r="B20" s="11">
        <v>14</v>
      </c>
      <c r="C20" s="56" t="s">
        <v>208</v>
      </c>
      <c r="D20" s="57"/>
      <c r="E20" s="57"/>
      <c r="F20" s="11" t="s">
        <v>209</v>
      </c>
      <c r="G20" s="35">
        <f>AporteMensual</f>
        <v>1000000</v>
      </c>
      <c r="H20" s="11" t="s">
        <v>62</v>
      </c>
    </row>
    <row r="21" spans="2:30">
      <c r="B21" s="11">
        <v>15</v>
      </c>
      <c r="C21" s="56" t="s">
        <v>210</v>
      </c>
      <c r="D21" s="57"/>
      <c r="E21" s="57"/>
      <c r="F21" s="11"/>
      <c r="G21" s="34" t="s">
        <v>211</v>
      </c>
      <c r="H21" s="11"/>
    </row>
    <row r="24" spans="2:30">
      <c r="B24" s="7" t="s">
        <v>212</v>
      </c>
    </row>
    <row r="25" spans="2:30">
      <c r="B25" s="58" t="s">
        <v>213</v>
      </c>
      <c r="C25" s="52"/>
      <c r="D25" s="52"/>
      <c r="E25" s="52"/>
      <c r="F25" s="52"/>
      <c r="G25" s="58" t="s">
        <v>214</v>
      </c>
      <c r="H25" s="52"/>
      <c r="I25" s="52"/>
      <c r="J25" s="52"/>
      <c r="K25" s="52"/>
      <c r="L25" s="58" t="s">
        <v>215</v>
      </c>
      <c r="M25" s="52"/>
      <c r="N25" s="52"/>
      <c r="O25" s="52"/>
      <c r="P25" s="52"/>
      <c r="Q25" s="52"/>
      <c r="R25" s="58" t="s">
        <v>216</v>
      </c>
      <c r="S25" s="52"/>
      <c r="T25" s="52"/>
      <c r="U25" s="52"/>
      <c r="V25" s="52"/>
      <c r="W25" s="52"/>
      <c r="X25" s="58" t="s">
        <v>217</v>
      </c>
      <c r="Y25" s="52"/>
      <c r="Z25" s="52"/>
      <c r="AA25" s="58" t="s">
        <v>218</v>
      </c>
      <c r="AB25" s="52"/>
      <c r="AC25" s="52"/>
      <c r="AD25" s="52"/>
    </row>
    <row r="26" spans="2:30" ht="22.05" customHeight="1">
      <c r="B26" s="9" t="s">
        <v>219</v>
      </c>
      <c r="C26" s="9" t="s">
        <v>220</v>
      </c>
      <c r="D26" s="9" t="s">
        <v>221</v>
      </c>
      <c r="E26" s="30" t="s">
        <v>222</v>
      </c>
      <c r="F26" s="30" t="s">
        <v>223</v>
      </c>
      <c r="G26" s="30" t="s">
        <v>224</v>
      </c>
      <c r="H26" s="30" t="s">
        <v>225</v>
      </c>
      <c r="I26" s="30" t="s">
        <v>226</v>
      </c>
      <c r="J26" s="30" t="s">
        <v>227</v>
      </c>
      <c r="K26" s="9" t="s">
        <v>228</v>
      </c>
      <c r="L26" s="30" t="s">
        <v>229</v>
      </c>
      <c r="M26" s="30" t="s">
        <v>230</v>
      </c>
      <c r="N26" s="30" t="s">
        <v>231</v>
      </c>
      <c r="O26" s="30" t="s">
        <v>232</v>
      </c>
      <c r="P26" s="30" t="s">
        <v>233</v>
      </c>
      <c r="Q26" s="30" t="s">
        <v>234</v>
      </c>
      <c r="R26" s="30" t="s">
        <v>235</v>
      </c>
      <c r="S26" s="30" t="s">
        <v>236</v>
      </c>
      <c r="T26" s="30" t="s">
        <v>237</v>
      </c>
      <c r="U26" s="30" t="s">
        <v>238</v>
      </c>
      <c r="V26" s="30" t="s">
        <v>239</v>
      </c>
      <c r="W26" s="30" t="s">
        <v>240</v>
      </c>
      <c r="X26" s="30" t="s">
        <v>241</v>
      </c>
      <c r="Y26" s="30" t="s">
        <v>242</v>
      </c>
      <c r="Z26" s="30" t="s">
        <v>243</v>
      </c>
      <c r="AA26" s="30" t="s">
        <v>244</v>
      </c>
      <c r="AB26" s="30" t="s">
        <v>245</v>
      </c>
      <c r="AC26" s="30" t="s">
        <v>246</v>
      </c>
      <c r="AD26" s="30" t="s">
        <v>247</v>
      </c>
    </row>
    <row r="27" spans="2:30" ht="16.95" customHeight="1">
      <c r="B27" s="11">
        <v>0</v>
      </c>
      <c r="C27" s="25">
        <f>EDATE(FechaInicio,TModelo[[#This Row],[Period]])</f>
        <v>46294</v>
      </c>
      <c r="D27" s="11">
        <f>IF(AND(TModelo[[#This Row],[Period]]&gt;=1,TModelo[[#This Row],[Period]]&lt;=HorizonteMeses),1,0)</f>
        <v>0</v>
      </c>
      <c r="E27" s="40">
        <v>0</v>
      </c>
      <c r="F27" s="28">
        <v>1</v>
      </c>
      <c r="G27" s="21">
        <v>0</v>
      </c>
      <c r="H27" s="40">
        <v>0</v>
      </c>
      <c r="I27" s="40">
        <v>0</v>
      </c>
      <c r="J27" s="40">
        <v>0</v>
      </c>
      <c r="K27" s="11">
        <v>0</v>
      </c>
      <c r="L27" s="24">
        <f>AhorroInicial</f>
        <v>5000000</v>
      </c>
      <c r="M27" s="24">
        <f>IF(TModelo[[#This Row],[Period]]=HorizonteMeses,TModelo[[#This Row],[TotalPreLiq]],0)</f>
        <v>0</v>
      </c>
      <c r="N27" s="24">
        <f>TModelo[[#This Row],[Inflow]]-TModelo[[#This Row],[Outflow]]</f>
        <v>-5000000</v>
      </c>
      <c r="O27" s="24">
        <v>0</v>
      </c>
      <c r="P27" s="24">
        <v>0</v>
      </c>
      <c r="Q27" s="24">
        <f>TModelo[[#This Row],[InitialBalance]]+TModelo[[#This Row],[Interest]]+TModelo[[#This Row],[Outflow]]-TModelo[[#This Row],[Inflow]]</f>
        <v>5000000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f>PesoCDT*AhorroInicial</f>
        <v>3000000</v>
      </c>
      <c r="Y27" s="24">
        <f>PesoCOLCAP*AhorroInicial</f>
        <v>1250000</v>
      </c>
      <c r="Z27" s="24">
        <f>PesoUSD*AhorroInicial</f>
        <v>750000</v>
      </c>
      <c r="AA27" s="24">
        <f>TModelo[[#This Row],[BalCDT]]+TModelo[[#This Row],[BalCOLCAP]]+TModelo[[#This Row],[BalUSD]]</f>
        <v>5000000</v>
      </c>
      <c r="AB27" s="24">
        <f>IF(TModelo[[#This Row],[CumInfl]]&gt;0,TModelo[[#This Row],[TotalPreLiq]]/TModelo[[#This Row],[CumInfl]],0)</f>
        <v>5000000</v>
      </c>
      <c r="AC27" s="41">
        <f>(1+PerRate)^(-TModelo[[#This Row],[Period]])</f>
        <v>1</v>
      </c>
      <c r="AD27" s="42">
        <f>TModelo[[#This Row],[NetCF]]*TModelo[[#This Row],[fd]]</f>
        <v>-5000000</v>
      </c>
    </row>
    <row r="28" spans="2:30" ht="16.95" customHeight="1">
      <c r="B28" s="11">
        <v>1</v>
      </c>
      <c r="C28" s="25">
        <f>EDATE(FechaInicio,TModelo[[#This Row],[Period]])</f>
        <v>46324</v>
      </c>
      <c r="D28" s="11">
        <f>IF(AND(TModelo[[#This Row],[Period]]&gt;=1,TModelo[[#This Row],[Period]]&lt;=HorizonteMeses),1,0)</f>
        <v>1</v>
      </c>
      <c r="E28" s="40">
        <f>TModelo[[#This Row],[Act]]*(INFb+(INFpi0-INFb)*(1-INFa)^TModelo[[#This Row],[Period]])</f>
        <v>4.5031364502626722E-3</v>
      </c>
      <c r="F28" s="28">
        <f>IF(TModelo[[#This Row],[Period]]&lt;=HorizonteMeses,F27*(1+TModelo[[#This Row],[InflMes]]),0)</f>
        <v>1.0045031364502626</v>
      </c>
      <c r="G28" s="21">
        <f>TModelo[[#This Row],[Act]]*(CDTb+(CDTx0-CDTb)*(1-CDTa)^TModelo[[#This Row],[Period]]+CDTspread)</f>
        <v>0.13432006081553918</v>
      </c>
      <c r="H28" s="40">
        <f>TModelo[[#This Row],[Act]]*((1+TModelo[[#This Row],[TasaCDT]])^(1/12)-1)*(1-Retencion)</f>
        <v>1.013580640481436E-2</v>
      </c>
      <c r="I28" s="40">
        <f>TModelo[[#This Row],[Act]]*(EXP(MuCOLCAP+SigmaCOLCAP^2/2)-1)</f>
        <v>7.1281059265766444E-3</v>
      </c>
      <c r="J28" s="40">
        <f>TModelo[[#This Row],[Act]]*(EXP(MuTRM+SigmaTRM^2/2)-1)</f>
        <v>1.9069525320893899E-3</v>
      </c>
      <c r="K28" s="11">
        <f>TModelo[[#This Row],[Act]]*IF(Rebalanceo="Mensual",1,IF(Rebalanceo="Anual",IF(MOD(TModelo[[#This Row],[Period]]-1,12)=0,1,0),0))</f>
        <v>1</v>
      </c>
      <c r="L28" s="24">
        <f>TModelo[[#This Row],[Act]]*AporteMensual*IF(CrecimientoAporte="Con IPC",F27,1)</f>
        <v>1000000</v>
      </c>
      <c r="M28" s="24">
        <f>IF(TModelo[[#This Row],[Period]]=HorizonteMeses,TModelo[[#This Row],[TotalPreLiq]],0)</f>
        <v>0</v>
      </c>
      <c r="N28" s="24">
        <f>TModelo[[#This Row],[Inflow]]-TModelo[[#This Row],[Outflow]]</f>
        <v>-1000000</v>
      </c>
      <c r="O28" s="24">
        <f t="shared" ref="O28:O91" si="0">Q27</f>
        <v>5000000</v>
      </c>
      <c r="P28" s="24">
        <f>TModelo[[#This Row],[IntCDT]]+TModelo[[#This Row],[IntCOLCAP]]+TModelo[[#This Row],[IntUSD]]</f>
        <v>40747.766021730931</v>
      </c>
      <c r="Q28" s="24">
        <f>TModelo[[#This Row],[InitialBalance]]+TModelo[[#This Row],[Interest]]+TModelo[[#This Row],[Outflow]]-TModelo[[#This Row],[Inflow]]</f>
        <v>6040747.7660217313</v>
      </c>
      <c r="R28" s="24">
        <f>TModelo[[#This Row],[Act]]*IF(TModelo[[#This Row],[Rebal]]=1,PesoCDT*(X27+Y27+Z27),X27)</f>
        <v>3000000</v>
      </c>
      <c r="S28" s="24">
        <f>TModelo[[#This Row],[Act]]*IF(TModelo[[#This Row],[Rebal]]=1,PesoCOLCAP*(X27+Y27+Z27),Y27)</f>
        <v>1250000</v>
      </c>
      <c r="T28" s="24">
        <f>TModelo[[#This Row],[Act]]*IF(TModelo[[#This Row],[Rebal]]=1,PesoUSD*(X27+Y27+Z27),Z27)</f>
        <v>750000</v>
      </c>
      <c r="U28" s="24">
        <f>TModelo[[#This Row],[IniCDT]]*TModelo[[#This Row],[RetCDT]]</f>
        <v>30407.419214443078</v>
      </c>
      <c r="V28" s="24">
        <f>TModelo[[#This Row],[IniCOLCAP]]*TModelo[[#This Row],[RetCOLCAP]]</f>
        <v>8910.1324082208048</v>
      </c>
      <c r="W28" s="24">
        <f>TModelo[[#This Row],[IniUSD]]*TModelo[[#This Row],[RetUSD]]</f>
        <v>1430.2143990670425</v>
      </c>
      <c r="X28" s="24">
        <f>TModelo[[#This Row],[Act]]*(TModelo[[#This Row],[IniCDT]]+TModelo[[#This Row],[IntCDT]]+PesoCDT*TModelo[[#This Row],[Outflow]])</f>
        <v>3630407.4192144433</v>
      </c>
      <c r="Y28" s="24">
        <f>TModelo[[#This Row],[Act]]*(TModelo[[#This Row],[IniCOLCAP]]+TModelo[[#This Row],[IntCOLCAP]]+PesoCOLCAP*TModelo[[#This Row],[Outflow]])</f>
        <v>1508910.1324082208</v>
      </c>
      <c r="Z28" s="24">
        <f>TModelo[[#This Row],[Act]]*(TModelo[[#This Row],[IniUSD]]+TModelo[[#This Row],[IntUSD]]+PesoUSD*TModelo[[#This Row],[Outflow]])</f>
        <v>901430.21439906699</v>
      </c>
      <c r="AA28" s="24">
        <f>TModelo[[#This Row],[BalCDT]]+TModelo[[#This Row],[BalCOLCAP]]+TModelo[[#This Row],[BalUSD]]</f>
        <v>6040747.7660217313</v>
      </c>
      <c r="AB28" s="24">
        <f>IF(TModelo[[#This Row],[CumInfl]]&gt;0,TModelo[[#This Row],[TotalPreLiq]]/TModelo[[#This Row],[CumInfl]],0)</f>
        <v>6013667.4011478666</v>
      </c>
      <c r="AC28" s="41">
        <f>(1+PerRate)^(-TModelo[[#This Row],[Period]])</f>
        <v>0.99223757292960091</v>
      </c>
      <c r="AD28" s="42">
        <f>TModelo[[#This Row],[NetCF]]*TModelo[[#This Row],[fd]]</f>
        <v>-992237.57292960095</v>
      </c>
    </row>
    <row r="29" spans="2:30" ht="16.95" customHeight="1">
      <c r="B29" s="11">
        <v>2</v>
      </c>
      <c r="C29" s="25">
        <f>EDATE(FechaInicio,TModelo[[#This Row],[Period]])</f>
        <v>46355</v>
      </c>
      <c r="D29" s="11">
        <f>IF(AND(TModelo[[#This Row],[Period]]&gt;=1,TModelo[[#This Row],[Period]]&lt;=HorizonteMeses),1,0)</f>
        <v>1</v>
      </c>
      <c r="E29" s="40">
        <f>TModelo[[#This Row],[Act]]*(INFb+(INFpi0-INFb)*(1-INFa)^TModelo[[#This Row],[Period]])</f>
        <v>4.0650614970009612E-3</v>
      </c>
      <c r="F29" s="28">
        <f>IF(TModelo[[#This Row],[Period]]&lt;=HorizonteMeses,F28*(1+TModelo[[#This Row],[InflMes]]),0)</f>
        <v>1.0085865034738632</v>
      </c>
      <c r="G29" s="21">
        <f>TModelo[[#This Row],[Act]]*(CDTb+(CDTx0-CDTb)*(1-CDTa)^TModelo[[#This Row],[Period]]+CDTspread)</f>
        <v>0.1340444751391025</v>
      </c>
      <c r="H29" s="40">
        <f>TModelo[[#This Row],[Act]]*((1+TModelo[[#This Row],[TasaCDT]])^(1/12)-1)*(1-Retencion)</f>
        <v>1.0116162822931969E-2</v>
      </c>
      <c r="I29" s="40">
        <f>TModelo[[#This Row],[Act]]*(EXP(MuCOLCAP+SigmaCOLCAP^2/2)-1)</f>
        <v>7.1281059265766444E-3</v>
      </c>
      <c r="J29" s="40">
        <f>TModelo[[#This Row],[Act]]*(EXP(MuTRM+SigmaTRM^2/2)-1)</f>
        <v>1.9069525320893899E-3</v>
      </c>
      <c r="K29" s="11">
        <f>TModelo[[#This Row],[Act]]*IF(Rebalanceo="Mensual",1,IF(Rebalanceo="Anual",IF(MOD(TModelo[[#This Row],[Period]]-1,12)=0,1,0),0))</f>
        <v>1</v>
      </c>
      <c r="L29" s="24">
        <f>TModelo[[#This Row],[Act]]*AporteMensual*IF(CrecimientoAporte="Con IPC",F28,1)</f>
        <v>1004503.1364502626</v>
      </c>
      <c r="M29" s="24">
        <f>IF(TModelo[[#This Row],[Period]]=HorizonteMeses,TModelo[[#This Row],[TotalPreLiq]],0)</f>
        <v>0</v>
      </c>
      <c r="N29" s="24">
        <f>TModelo[[#This Row],[Inflow]]-TModelo[[#This Row],[Outflow]]</f>
        <v>-1004503.1364502626</v>
      </c>
      <c r="O29" s="24">
        <f t="shared" si="0"/>
        <v>6040747.7660217313</v>
      </c>
      <c r="P29" s="24">
        <f>TModelo[[#This Row],[IntCDT]]+TModelo[[#This Row],[IntCOLCAP]]+TModelo[[#This Row],[IntUSD]]</f>
        <v>49158.198159205829</v>
      </c>
      <c r="Q29" s="24">
        <f>TModelo[[#This Row],[InitialBalance]]+TModelo[[#This Row],[Interest]]+TModelo[[#This Row],[Outflow]]-TModelo[[#This Row],[Inflow]]</f>
        <v>7094409.1006311998</v>
      </c>
      <c r="R29" s="24">
        <f>TModelo[[#This Row],[Act]]*IF(TModelo[[#This Row],[Rebal]]=1,PesoCDT*(X28+Y28+Z28),X28)</f>
        <v>3624448.6596130389</v>
      </c>
      <c r="S29" s="24">
        <f>TModelo[[#This Row],[Act]]*IF(TModelo[[#This Row],[Rebal]]=1,PesoCOLCAP*(X28+Y28+Z28),Y28)</f>
        <v>1510186.9415054328</v>
      </c>
      <c r="T29" s="24">
        <f>TModelo[[#This Row],[Act]]*IF(TModelo[[#This Row],[Rebal]]=1,PesoUSD*(X28+Y28+Z28),Z28)</f>
        <v>906112.16490325972</v>
      </c>
      <c r="U29" s="24">
        <f>TModelo[[#This Row],[IniCDT]]*TModelo[[#This Row],[RetCDT]]</f>
        <v>36665.512784003033</v>
      </c>
      <c r="V29" s="24">
        <f>TModelo[[#This Row],[IniCOLCAP]]*TModelo[[#This Row],[RetCOLCAP]]</f>
        <v>10764.772487983531</v>
      </c>
      <c r="W29" s="24">
        <f>TModelo[[#This Row],[IniUSD]]*TModelo[[#This Row],[RetUSD]]</f>
        <v>1727.9128872192698</v>
      </c>
      <c r="X29" s="24">
        <f>TModelo[[#This Row],[Act]]*(TModelo[[#This Row],[IniCDT]]+TModelo[[#This Row],[IntCDT]]+PesoCDT*TModelo[[#This Row],[Outflow]])</f>
        <v>4263816.0542671997</v>
      </c>
      <c r="Y29" s="24">
        <f>TModelo[[#This Row],[Act]]*(TModelo[[#This Row],[IniCOLCAP]]+TModelo[[#This Row],[IntCOLCAP]]+PesoCOLCAP*TModelo[[#This Row],[Outflow]])</f>
        <v>1772077.4981059821</v>
      </c>
      <c r="Z29" s="24">
        <f>TModelo[[#This Row],[Act]]*(TModelo[[#This Row],[IniUSD]]+TModelo[[#This Row],[IntUSD]]+PesoUSD*TModelo[[#This Row],[Outflow]])</f>
        <v>1058515.5482580182</v>
      </c>
      <c r="AA29" s="24">
        <f>TModelo[[#This Row],[BalCDT]]+TModelo[[#This Row],[BalCOLCAP]]+TModelo[[#This Row],[BalUSD]]</f>
        <v>7094409.1006311998</v>
      </c>
      <c r="AB29" s="24">
        <f>IF(TModelo[[#This Row],[CumInfl]]&gt;0,TModelo[[#This Row],[TotalPreLiq]]/TModelo[[#This Row],[CumInfl]],0)</f>
        <v>7034011.5361409318</v>
      </c>
      <c r="AC29" s="41">
        <f>(1+PerRate)^(-TModelo[[#This Row],[Period]])</f>
        <v>0.98453540113322524</v>
      </c>
      <c r="AD29" s="42">
        <f>TModelo[[#This Row],[NetCF]]*TModelo[[#This Row],[fd]]</f>
        <v>-988968.89838464221</v>
      </c>
    </row>
    <row r="30" spans="2:30" ht="16.95" customHeight="1">
      <c r="B30" s="11">
        <v>3</v>
      </c>
      <c r="C30" s="25">
        <f>EDATE(FechaInicio,TModelo[[#This Row],[Period]])</f>
        <v>46385</v>
      </c>
      <c r="D30" s="11">
        <f>IF(AND(TModelo[[#This Row],[Period]]&gt;=1,TModelo[[#This Row],[Period]]&lt;=HorizonteMeses),1,0)</f>
        <v>1</v>
      </c>
      <c r="E30" s="40">
        <f>TModelo[[#This Row],[Act]]*(INFb+(INFpi0-INFb)*(1-INFa)^TModelo[[#This Row],[Period]])</f>
        <v>3.7212046222968266E-3</v>
      </c>
      <c r="F30" s="28">
        <f>IF(TModelo[[#This Row],[Period]]&lt;=HorizonteMeses,F29*(1+TModelo[[#This Row],[InflMes]]),0)</f>
        <v>1.0123396602325763</v>
      </c>
      <c r="G30" s="21">
        <f>TModelo[[#This Row],[Act]]*(CDTb+(CDTx0-CDTb)*(1-CDTa)^TModelo[[#This Row],[Period]]+CDTspread)</f>
        <v>0.13377317526658428</v>
      </c>
      <c r="H30" s="40">
        <f>TModelo[[#This Row],[Act]]*((1+TModelo[[#This Row],[TasaCDT]])^(1/12)-1)*(1-Retencion)</f>
        <v>1.0096820455854142E-2</v>
      </c>
      <c r="I30" s="40">
        <f>TModelo[[#This Row],[Act]]*(EXP(MuCOLCAP+SigmaCOLCAP^2/2)-1)</f>
        <v>7.1281059265766444E-3</v>
      </c>
      <c r="J30" s="40">
        <f>TModelo[[#This Row],[Act]]*(EXP(MuTRM+SigmaTRM^2/2)-1)</f>
        <v>1.9069525320893899E-3</v>
      </c>
      <c r="K30" s="11">
        <f>TModelo[[#This Row],[Act]]*IF(Rebalanceo="Mensual",1,IF(Rebalanceo="Anual",IF(MOD(TModelo[[#This Row],[Period]]-1,12)=0,1,0),0))</f>
        <v>1</v>
      </c>
      <c r="L30" s="24">
        <f>TModelo[[#This Row],[Act]]*AporteMensual*IF(CrecimientoAporte="Con IPC",F29,1)</f>
        <v>1008586.5034738632</v>
      </c>
      <c r="M30" s="24">
        <f>IF(TModelo[[#This Row],[Period]]=HorizonteMeses,TModelo[[#This Row],[TotalPreLiq]],0)</f>
        <v>0</v>
      </c>
      <c r="N30" s="24">
        <f>TModelo[[#This Row],[Inflow]]-TModelo[[#This Row],[Outflow]]</f>
        <v>-1008586.5034738632</v>
      </c>
      <c r="O30" s="24">
        <f t="shared" si="0"/>
        <v>7094409.1006311998</v>
      </c>
      <c r="P30" s="24">
        <f>TModelo[[#This Row],[IntCDT]]+TModelo[[#This Row],[IntCOLCAP]]+TModelo[[#This Row],[IntUSD]]</f>
        <v>57650.315056331667</v>
      </c>
      <c r="Q30" s="24">
        <f>TModelo[[#This Row],[InitialBalance]]+TModelo[[#This Row],[Interest]]+TModelo[[#This Row],[Outflow]]-TModelo[[#This Row],[Inflow]]</f>
        <v>8160645.9191613942</v>
      </c>
      <c r="R30" s="24">
        <f>TModelo[[#This Row],[Act]]*IF(TModelo[[#This Row],[Rebal]]=1,PesoCDT*(X29+Y29+Z29),X29)</f>
        <v>4256645.4603787195</v>
      </c>
      <c r="S30" s="24">
        <f>TModelo[[#This Row],[Act]]*IF(TModelo[[#This Row],[Rebal]]=1,PesoCOLCAP*(X29+Y29+Z29),Y29)</f>
        <v>1773602.2751577999</v>
      </c>
      <c r="T30" s="24">
        <f>TModelo[[#This Row],[Act]]*IF(TModelo[[#This Row],[Rebal]]=1,PesoUSD*(X29+Y29+Z29),Z29)</f>
        <v>1064161.3650946799</v>
      </c>
      <c r="U30" s="24">
        <f>TModelo[[#This Row],[IniCDT]]*TModelo[[#This Row],[RetCDT]]</f>
        <v>42978.58495767053</v>
      </c>
      <c r="V30" s="24">
        <f>TModelo[[#This Row],[IniCOLCAP]]*TModelo[[#This Row],[RetCOLCAP]]</f>
        <v>12642.424888942134</v>
      </c>
      <c r="W30" s="24">
        <f>TModelo[[#This Row],[IniUSD]]*TModelo[[#This Row],[RetUSD]]</f>
        <v>2029.3052097190014</v>
      </c>
      <c r="X30" s="24">
        <f>TModelo[[#This Row],[Act]]*(TModelo[[#This Row],[IniCDT]]+TModelo[[#This Row],[IntCDT]]+PesoCDT*TModelo[[#This Row],[Outflow]])</f>
        <v>4904775.9474207079</v>
      </c>
      <c r="Y30" s="24">
        <f>TModelo[[#This Row],[Act]]*(TModelo[[#This Row],[IniCOLCAP]]+TModelo[[#This Row],[IntCOLCAP]]+PesoCOLCAP*TModelo[[#This Row],[Outflow]])</f>
        <v>2038391.3259152079</v>
      </c>
      <c r="Z30" s="24">
        <f>TModelo[[#This Row],[Act]]*(TModelo[[#This Row],[IniUSD]]+TModelo[[#This Row],[IntUSD]]+PesoUSD*TModelo[[#This Row],[Outflow]])</f>
        <v>1217478.6458254785</v>
      </c>
      <c r="AA30" s="24">
        <f>TModelo[[#This Row],[BalCDT]]+TModelo[[#This Row],[BalCOLCAP]]+TModelo[[#This Row],[BalUSD]]</f>
        <v>8160645.9191613942</v>
      </c>
      <c r="AB30" s="24">
        <f>IF(TModelo[[#This Row],[CumInfl]]&gt;0,TModelo[[#This Row],[TotalPreLiq]]/TModelo[[#This Row],[CumInfl]],0)</f>
        <v>8061173.7737179603</v>
      </c>
      <c r="AC30" s="41">
        <f>(1+PerRate)^(-TModelo[[#This Row],[Period]])</f>
        <v>0.97689301688370245</v>
      </c>
      <c r="AD30" s="42">
        <f>TModelo[[#This Row],[NetCF]]*TModelo[[#This Row],[fd]]</f>
        <v>-985281.11216676713</v>
      </c>
    </row>
    <row r="31" spans="2:30" ht="16.95" customHeight="1">
      <c r="B31" s="11">
        <v>4</v>
      </c>
      <c r="C31" s="25">
        <f>EDATE(FechaInicio,TModelo[[#This Row],[Period]])</f>
        <v>46416</v>
      </c>
      <c r="D31" s="11">
        <f>IF(AND(TModelo[[#This Row],[Period]]&gt;=1,TModelo[[#This Row],[Period]]&lt;=HorizonteMeses),1,0)</f>
        <v>1</v>
      </c>
      <c r="E31" s="40">
        <f>TModelo[[#This Row],[Act]]*(INFb+(INFpi0-INFb)*(1-INFa)^TModelo[[#This Row],[Period]])</f>
        <v>3.4513020647528483E-3</v>
      </c>
      <c r="F31" s="28">
        <f>IF(TModelo[[#This Row],[Period]]&lt;=HorizonteMeses,F30*(1+TModelo[[#This Row],[InflMes]]),0)</f>
        <v>1.0158335501921683</v>
      </c>
      <c r="G31" s="21">
        <f>TModelo[[#This Row],[Act]]*(CDTb+(CDTx0-CDTb)*(1-CDTa)^TModelo[[#This Row],[Period]]+CDTspread)</f>
        <v>0.13350609454678744</v>
      </c>
      <c r="H31" s="40">
        <f>TModelo[[#This Row],[Act]]*((1+TModelo[[#This Row],[TasaCDT]])^(1/12)-1)*(1-Retencion)</f>
        <v>1.0077774749226335E-2</v>
      </c>
      <c r="I31" s="40">
        <f>TModelo[[#This Row],[Act]]*(EXP(MuCOLCAP+SigmaCOLCAP^2/2)-1)</f>
        <v>7.1281059265766444E-3</v>
      </c>
      <c r="J31" s="40">
        <f>TModelo[[#This Row],[Act]]*(EXP(MuTRM+SigmaTRM^2/2)-1)</f>
        <v>1.9069525320893899E-3</v>
      </c>
      <c r="K31" s="11">
        <f>TModelo[[#This Row],[Act]]*IF(Rebalanceo="Mensual",1,IF(Rebalanceo="Anual",IF(MOD(TModelo[[#This Row],[Period]]-1,12)=0,1,0),0))</f>
        <v>1</v>
      </c>
      <c r="L31" s="24">
        <f>TModelo[[#This Row],[Act]]*AporteMensual*IF(CrecimientoAporte="Con IPC",F30,1)</f>
        <v>1012339.6602325763</v>
      </c>
      <c r="M31" s="24">
        <f>IF(TModelo[[#This Row],[Period]]=HorizonteMeses,TModelo[[#This Row],[TotalPreLiq]],0)</f>
        <v>0</v>
      </c>
      <c r="N31" s="24">
        <f>TModelo[[#This Row],[Inflow]]-TModelo[[#This Row],[Outflow]]</f>
        <v>-1012339.6602325763</v>
      </c>
      <c r="O31" s="24">
        <f t="shared" si="0"/>
        <v>8160645.9191613942</v>
      </c>
      <c r="P31" s="24">
        <f>TModelo[[#This Row],[IntCDT]]+TModelo[[#This Row],[IntCOLCAP]]+TModelo[[#This Row],[IntUSD]]</f>
        <v>66221.472624022397</v>
      </c>
      <c r="Q31" s="24">
        <f>TModelo[[#This Row],[InitialBalance]]+TModelo[[#This Row],[Interest]]+TModelo[[#This Row],[Outflow]]-TModelo[[#This Row],[Inflow]]</f>
        <v>9239207.0520179924</v>
      </c>
      <c r="R31" s="24">
        <f>TModelo[[#This Row],[Act]]*IF(TModelo[[#This Row],[Rebal]]=1,PesoCDT*(X30+Y30+Z30),X30)</f>
        <v>4896387.5514968364</v>
      </c>
      <c r="S31" s="24">
        <f>TModelo[[#This Row],[Act]]*IF(TModelo[[#This Row],[Rebal]]=1,PesoCOLCAP*(X30+Y30+Z30),Y30)</f>
        <v>2040161.4797903486</v>
      </c>
      <c r="T31" s="24">
        <f>TModelo[[#This Row],[Act]]*IF(TModelo[[#This Row],[Rebal]]=1,PesoUSD*(X30+Y30+Z30),Z30)</f>
        <v>1224096.8878742091</v>
      </c>
      <c r="U31" s="24">
        <f>TModelo[[#This Row],[IniCDT]]*TModelo[[#This Row],[RetCDT]]</f>
        <v>49344.690828900981</v>
      </c>
      <c r="V31" s="24">
        <f>TModelo[[#This Row],[IniCOLCAP]]*TModelo[[#This Row],[RetCOLCAP]]</f>
        <v>14542.48713526696</v>
      </c>
      <c r="W31" s="24">
        <f>TModelo[[#This Row],[IniUSD]]*TModelo[[#This Row],[RetUSD]]</f>
        <v>2334.294659854465</v>
      </c>
      <c r="X31" s="24">
        <f>TModelo[[#This Row],[Act]]*(TModelo[[#This Row],[IniCDT]]+TModelo[[#This Row],[IntCDT]]+PesoCDT*TModelo[[#This Row],[Outflow]])</f>
        <v>5553136.0384652829</v>
      </c>
      <c r="Y31" s="24">
        <f>TModelo[[#This Row],[Act]]*(TModelo[[#This Row],[IniCOLCAP]]+TModelo[[#This Row],[IntCOLCAP]]+PesoCOLCAP*TModelo[[#This Row],[Outflow]])</f>
        <v>2307788.8819837593</v>
      </c>
      <c r="Z31" s="24">
        <f>TModelo[[#This Row],[Act]]*(TModelo[[#This Row],[IniUSD]]+TModelo[[#This Row],[IntUSD]]+PesoUSD*TModelo[[#This Row],[Outflow]])</f>
        <v>1378282.1315689499</v>
      </c>
      <c r="AA31" s="24">
        <f>TModelo[[#This Row],[BalCDT]]+TModelo[[#This Row],[BalCOLCAP]]+TModelo[[#This Row],[BalUSD]]</f>
        <v>9239207.0520179924</v>
      </c>
      <c r="AB31" s="24">
        <f>IF(TModelo[[#This Row],[CumInfl]]&gt;0,TModelo[[#This Row],[TotalPreLiq]]/TModelo[[#This Row],[CumInfl]],0)</f>
        <v>9095197.7814378981</v>
      </c>
      <c r="AC31" s="41">
        <f>(1+PerRate)^(-TModelo[[#This Row],[Period]])</f>
        <v>0.96930995608456072</v>
      </c>
      <c r="AD31" s="42">
        <f>TModelo[[#This Row],[NetCF]]*TModelo[[#This Row],[fd]]</f>
        <v>-981270.91160269768</v>
      </c>
    </row>
    <row r="32" spans="2:30" ht="16.95" customHeight="1">
      <c r="B32" s="11">
        <v>5</v>
      </c>
      <c r="C32" s="25">
        <f>EDATE(FechaInicio,TModelo[[#This Row],[Period]])</f>
        <v>46446</v>
      </c>
      <c r="D32" s="11">
        <f>IF(AND(TModelo[[#This Row],[Period]]&gt;=1,TModelo[[#This Row],[Period]]&lt;=HorizonteMeses),1,0)</f>
        <v>1</v>
      </c>
      <c r="E32" s="40">
        <f>TModelo[[#This Row],[Act]]*(INFb+(INFpi0-INFb)*(1-INFa)^TModelo[[#This Row],[Period]])</f>
        <v>3.2394482501927617E-3</v>
      </c>
      <c r="F32" s="28">
        <f>IF(TModelo[[#This Row],[Period]]&lt;=HorizonteMeses,F31*(1+TModelo[[#This Row],[InflMes]]),0)</f>
        <v>1.0191242904088254</v>
      </c>
      <c r="G32" s="21">
        <f>TModelo[[#This Row],[Act]]*(CDTb+(CDTx0-CDTb)*(1-CDTa)^TModelo[[#This Row],[Period]]+CDTspread)</f>
        <v>0.1332431673650491</v>
      </c>
      <c r="H32" s="40">
        <f>TModelo[[#This Row],[Act]]*((1+TModelo[[#This Row],[TasaCDT]])^(1/12)-1)*(1-Retencion)</f>
        <v>1.0059021215594299E-2</v>
      </c>
      <c r="I32" s="40">
        <f>TModelo[[#This Row],[Act]]*(EXP(MuCOLCAP+SigmaCOLCAP^2/2)-1)</f>
        <v>7.1281059265766444E-3</v>
      </c>
      <c r="J32" s="40">
        <f>TModelo[[#This Row],[Act]]*(EXP(MuTRM+SigmaTRM^2/2)-1)</f>
        <v>1.9069525320893899E-3</v>
      </c>
      <c r="K32" s="11">
        <f>TModelo[[#This Row],[Act]]*IF(Rebalanceo="Mensual",1,IF(Rebalanceo="Anual",IF(MOD(TModelo[[#This Row],[Period]]-1,12)=0,1,0),0))</f>
        <v>1</v>
      </c>
      <c r="L32" s="24">
        <f>TModelo[[#This Row],[Act]]*AporteMensual*IF(CrecimientoAporte="Con IPC",F31,1)</f>
        <v>1015833.5501921682</v>
      </c>
      <c r="M32" s="24">
        <f>IF(TModelo[[#This Row],[Period]]=HorizonteMeses,TModelo[[#This Row],[TotalPreLiq]],0)</f>
        <v>0</v>
      </c>
      <c r="N32" s="24">
        <f>TModelo[[#This Row],[Inflow]]-TModelo[[#This Row],[Outflow]]</f>
        <v>-1015833.5501921682</v>
      </c>
      <c r="O32" s="24">
        <f t="shared" si="0"/>
        <v>9239207.0520179924</v>
      </c>
      <c r="P32" s="24">
        <f>TModelo[[#This Row],[IntCDT]]+TModelo[[#This Row],[IntCOLCAP]]+TModelo[[#This Row],[IntUSD]]</f>
        <v>74869.748879351595</v>
      </c>
      <c r="Q32" s="24">
        <f>TModelo[[#This Row],[InitialBalance]]+TModelo[[#This Row],[Interest]]+TModelo[[#This Row],[Outflow]]-TModelo[[#This Row],[Inflow]]</f>
        <v>10329910.351089511</v>
      </c>
      <c r="R32" s="24">
        <f>TModelo[[#This Row],[Act]]*IF(TModelo[[#This Row],[Rebal]]=1,PesoCDT*(X31+Y31+Z31),X31)</f>
        <v>5543524.2312107952</v>
      </c>
      <c r="S32" s="24">
        <f>TModelo[[#This Row],[Act]]*IF(TModelo[[#This Row],[Rebal]]=1,PesoCOLCAP*(X31+Y31+Z31),Y31)</f>
        <v>2309801.7630044981</v>
      </c>
      <c r="T32" s="24">
        <f>TModelo[[#This Row],[Act]]*IF(TModelo[[#This Row],[Rebal]]=1,PesoUSD*(X31+Y31+Z31),Z31)</f>
        <v>1385881.0578026988</v>
      </c>
      <c r="U32" s="24">
        <f>TModelo[[#This Row],[IniCDT]]*TModelo[[#This Row],[RetCDT]]</f>
        <v>55762.427850910462</v>
      </c>
      <c r="V32" s="24">
        <f>TModelo[[#This Row],[IniCOLCAP]]*TModelo[[#This Row],[RetCOLCAP]]</f>
        <v>16464.511636089544</v>
      </c>
      <c r="W32" s="24">
        <f>TModelo[[#This Row],[IniUSD]]*TModelo[[#This Row],[RetUSD]]</f>
        <v>2642.8093923515785</v>
      </c>
      <c r="X32" s="24">
        <f>TModelo[[#This Row],[Act]]*(TModelo[[#This Row],[IniCDT]]+TModelo[[#This Row],[IntCDT]]+PesoCDT*TModelo[[#This Row],[Outflow]])</f>
        <v>6208786.7891770061</v>
      </c>
      <c r="Y32" s="24">
        <f>TModelo[[#This Row],[Act]]*(TModelo[[#This Row],[IniCOLCAP]]+TModelo[[#This Row],[IntCOLCAP]]+PesoCOLCAP*TModelo[[#This Row],[Outflow]])</f>
        <v>2580224.6621886296</v>
      </c>
      <c r="Z32" s="24">
        <f>TModelo[[#This Row],[Act]]*(TModelo[[#This Row],[IniUSD]]+TModelo[[#This Row],[IntUSD]]+PesoUSD*TModelo[[#This Row],[Outflow]])</f>
        <v>1540898.8997238758</v>
      </c>
      <c r="AA32" s="24">
        <f>TModelo[[#This Row],[BalCDT]]+TModelo[[#This Row],[BalCOLCAP]]+TModelo[[#This Row],[BalUSD]]</f>
        <v>10329910.351089511</v>
      </c>
      <c r="AB32" s="24">
        <f>IF(TModelo[[#This Row],[CumInfl]]&gt;0,TModelo[[#This Row],[TotalPreLiq]]/TModelo[[#This Row],[CumInfl]],0)</f>
        <v>10136065.294789147</v>
      </c>
      <c r="AC32" s="41">
        <f>(1+PerRate)^(-TModelo[[#This Row],[Period]])</f>
        <v>0.96178575824184254</v>
      </c>
      <c r="AD32" s="42">
        <f>TModelo[[#This Row],[NetCF]]*TModelo[[#This Row],[fd]]</f>
        <v>-977014.24131907732</v>
      </c>
    </row>
    <row r="33" spans="2:30" ht="16.95" customHeight="1">
      <c r="B33" s="11">
        <v>6</v>
      </c>
      <c r="C33" s="25">
        <f>EDATE(FechaInicio,TModelo[[#This Row],[Period]])</f>
        <v>46475</v>
      </c>
      <c r="D33" s="11">
        <f>IF(AND(TModelo[[#This Row],[Period]]&gt;=1,TModelo[[#This Row],[Period]]&lt;=HorizonteMeses),1,0)</f>
        <v>1</v>
      </c>
      <c r="E33" s="40">
        <f>TModelo[[#This Row],[Act]]*(INFb+(INFpi0-INFb)*(1-INFa)^TModelo[[#This Row],[Period]])</f>
        <v>3.0731584634190795E-3</v>
      </c>
      <c r="F33" s="28">
        <f>IF(TModelo[[#This Row],[Period]]&lt;=HorizonteMeses,F32*(1+TModelo[[#This Row],[InflMes]]),0)</f>
        <v>1.0222562208471713</v>
      </c>
      <c r="G33" s="21">
        <f>TModelo[[#This Row],[Act]]*(CDTb+(CDTx0-CDTb)*(1-CDTa)^TModelo[[#This Row],[Period]]+CDTspread)</f>
        <v>0.13298432912712069</v>
      </c>
      <c r="H33" s="40">
        <f>TModelo[[#This Row],[Act]]*((1+TModelo[[#This Row],[TasaCDT]])^(1/12)-1)*(1-Retencion)</f>
        <v>1.0040555433482368E-2</v>
      </c>
      <c r="I33" s="40">
        <f>TModelo[[#This Row],[Act]]*(EXP(MuCOLCAP+SigmaCOLCAP^2/2)-1)</f>
        <v>7.1281059265766444E-3</v>
      </c>
      <c r="J33" s="40">
        <f>TModelo[[#This Row],[Act]]*(EXP(MuTRM+SigmaTRM^2/2)-1)</f>
        <v>1.9069525320893899E-3</v>
      </c>
      <c r="K33" s="11">
        <f>TModelo[[#This Row],[Act]]*IF(Rebalanceo="Mensual",1,IF(Rebalanceo="Anual",IF(MOD(TModelo[[#This Row],[Period]]-1,12)=0,1,0),0))</f>
        <v>1</v>
      </c>
      <c r="L33" s="24">
        <f>TModelo[[#This Row],[Act]]*AporteMensual*IF(CrecimientoAporte="Con IPC",F32,1)</f>
        <v>1019124.2904088254</v>
      </c>
      <c r="M33" s="24">
        <f>IF(TModelo[[#This Row],[Period]]=HorizonteMeses,TModelo[[#This Row],[TotalPreLiq]],0)</f>
        <v>0</v>
      </c>
      <c r="N33" s="24">
        <f>TModelo[[#This Row],[Inflow]]-TModelo[[#This Row],[Outflow]]</f>
        <v>-1019124.2904088254</v>
      </c>
      <c r="O33" s="24">
        <f t="shared" si="0"/>
        <v>10329910.351089511</v>
      </c>
      <c r="P33" s="24">
        <f>TModelo[[#This Row],[IntCDT]]+TModelo[[#This Row],[IntCOLCAP]]+TModelo[[#This Row],[IntUSD]]</f>
        <v>83593.793605502142</v>
      </c>
      <c r="Q33" s="24">
        <f>TModelo[[#This Row],[InitialBalance]]+TModelo[[#This Row],[Interest]]+TModelo[[#This Row],[Outflow]]-TModelo[[#This Row],[Inflow]]</f>
        <v>11432628.435103839</v>
      </c>
      <c r="R33" s="24">
        <f>TModelo[[#This Row],[Act]]*IF(TModelo[[#This Row],[Rebal]]=1,PesoCDT*(X32+Y32+Z32),X32)</f>
        <v>6197946.2106537065</v>
      </c>
      <c r="S33" s="24">
        <f>TModelo[[#This Row],[Act]]*IF(TModelo[[#This Row],[Rebal]]=1,PesoCOLCAP*(X32+Y32+Z32),Y32)</f>
        <v>2582477.5877723778</v>
      </c>
      <c r="T33" s="24">
        <f>TModelo[[#This Row],[Act]]*IF(TModelo[[#This Row],[Rebal]]=1,PesoUSD*(X32+Y32+Z32),Z32)</f>
        <v>1549486.5526634266</v>
      </c>
      <c r="U33" s="24">
        <f>TModelo[[#This Row],[IniCDT]]*TModelo[[#This Row],[RetCDT]]</f>
        <v>62230.822501810522</v>
      </c>
      <c r="V33" s="24">
        <f>TModelo[[#This Row],[IniCOLCAP]]*TModelo[[#This Row],[RetCOLCAP]]</f>
        <v>18408.173798651642</v>
      </c>
      <c r="W33" s="24">
        <f>TModelo[[#This Row],[IniUSD]]*TModelo[[#This Row],[RetUSD]]</f>
        <v>2954.797305039981</v>
      </c>
      <c r="X33" s="24">
        <f>TModelo[[#This Row],[Act]]*(TModelo[[#This Row],[IniCDT]]+TModelo[[#This Row],[IntCDT]]+PesoCDT*TModelo[[#This Row],[Outflow]])</f>
        <v>6871651.6074008122</v>
      </c>
      <c r="Y33" s="24">
        <f>TModelo[[#This Row],[Act]]*(TModelo[[#This Row],[IniCOLCAP]]+TModelo[[#This Row],[IntCOLCAP]]+PesoCOLCAP*TModelo[[#This Row],[Outflow]])</f>
        <v>2855666.8341732356</v>
      </c>
      <c r="Z33" s="24">
        <f>TModelo[[#This Row],[Act]]*(TModelo[[#This Row],[IniUSD]]+TModelo[[#This Row],[IntUSD]]+PesoUSD*TModelo[[#This Row],[Outflow]])</f>
        <v>1705309.9935297905</v>
      </c>
      <c r="AA33" s="24">
        <f>TModelo[[#This Row],[BalCDT]]+TModelo[[#This Row],[BalCOLCAP]]+TModelo[[#This Row],[BalUSD]]</f>
        <v>11432628.435103839</v>
      </c>
      <c r="AB33" s="24">
        <f>IF(TModelo[[#This Row],[CumInfl]]&gt;0,TModelo[[#This Row],[TotalPreLiq]]/TModelo[[#This Row],[CumInfl]],0)</f>
        <v>11183721.069096858</v>
      </c>
      <c r="AC33" s="41">
        <f>(1+PerRate)^(-TModelo[[#This Row],[Period]])</f>
        <v>0.95431996643614192</v>
      </c>
      <c r="AD33" s="42">
        <f>TModelo[[#This Row],[NetCF]]*TModelo[[#This Row],[fd]]</f>
        <v>-972570.6586172072</v>
      </c>
    </row>
    <row r="34" spans="2:30" ht="16.95" customHeight="1">
      <c r="B34" s="11">
        <v>7</v>
      </c>
      <c r="C34" s="25">
        <f>EDATE(FechaInicio,TModelo[[#This Row],[Period]])</f>
        <v>46506</v>
      </c>
      <c r="D34" s="11">
        <f>IF(AND(TModelo[[#This Row],[Period]]&gt;=1,TModelo[[#This Row],[Period]]&lt;=HorizonteMeses),1,0)</f>
        <v>1</v>
      </c>
      <c r="E34" s="40">
        <f>TModelo[[#This Row],[Act]]*(INFb+(INFpi0-INFb)*(1-INFa)^TModelo[[#This Row],[Period]])</f>
        <v>2.9426331139338394E-3</v>
      </c>
      <c r="F34" s="28">
        <f>IF(TModelo[[#This Row],[Period]]&lt;=HorizonteMeses,F33*(1+TModelo[[#This Row],[InflMes]]),0)</f>
        <v>1.0252643458535611</v>
      </c>
      <c r="G34" s="21">
        <f>TModelo[[#This Row],[Act]]*(CDTb+(CDTx0-CDTb)*(1-CDTa)^TModelo[[#This Row],[Period]]+CDTspread)</f>
        <v>0.13272951624329885</v>
      </c>
      <c r="H34" s="40">
        <f>TModelo[[#This Row],[Act]]*((1+TModelo[[#This Row],[TasaCDT]])^(1/12)-1)*(1-Retencion)</f>
        <v>1.0022373046480269E-2</v>
      </c>
      <c r="I34" s="40">
        <f>TModelo[[#This Row],[Act]]*(EXP(MuCOLCAP+SigmaCOLCAP^2/2)-1)</f>
        <v>7.1281059265766444E-3</v>
      </c>
      <c r="J34" s="40">
        <f>TModelo[[#This Row],[Act]]*(EXP(MuTRM+SigmaTRM^2/2)-1)</f>
        <v>1.9069525320893899E-3</v>
      </c>
      <c r="K34" s="11">
        <f>TModelo[[#This Row],[Act]]*IF(Rebalanceo="Mensual",1,IF(Rebalanceo="Anual",IF(MOD(TModelo[[#This Row],[Period]]-1,12)=0,1,0),0))</f>
        <v>1</v>
      </c>
      <c r="L34" s="24">
        <f>TModelo[[#This Row],[Act]]*AporteMensual*IF(CrecimientoAporte="Con IPC",F33,1)</f>
        <v>1022256.2208471713</v>
      </c>
      <c r="M34" s="24">
        <f>IF(TModelo[[#This Row],[Period]]=HorizonteMeses,TModelo[[#This Row],[TotalPreLiq]],0)</f>
        <v>0</v>
      </c>
      <c r="N34" s="24">
        <f>TModelo[[#This Row],[Inflow]]-TModelo[[#This Row],[Outflow]]</f>
        <v>-1022256.2208471713</v>
      </c>
      <c r="O34" s="24">
        <f t="shared" si="0"/>
        <v>11432628.435103839</v>
      </c>
      <c r="P34" s="24">
        <f>TModelo[[#This Row],[IntCDT]]+TModelo[[#This Row],[IntCOLCAP]]+TModelo[[#This Row],[IntUSD]]</f>
        <v>92392.708834612</v>
      </c>
      <c r="Q34" s="24">
        <f>TModelo[[#This Row],[InitialBalance]]+TModelo[[#This Row],[Interest]]+TModelo[[#This Row],[Outflow]]-TModelo[[#This Row],[Inflow]]</f>
        <v>12547277.364785623</v>
      </c>
      <c r="R34" s="24">
        <f>TModelo[[#This Row],[Act]]*IF(TModelo[[#This Row],[Rebal]]=1,PesoCDT*(X33+Y33+Z33),X33)</f>
        <v>6859577.0610623034</v>
      </c>
      <c r="S34" s="24">
        <f>TModelo[[#This Row],[Act]]*IF(TModelo[[#This Row],[Rebal]]=1,PesoCOLCAP*(X33+Y33+Z33),Y33)</f>
        <v>2858157.1087759598</v>
      </c>
      <c r="T34" s="24">
        <f>TModelo[[#This Row],[Act]]*IF(TModelo[[#This Row],[Rebal]]=1,PesoUSD*(X33+Y33+Z33),Z33)</f>
        <v>1714894.2652655758</v>
      </c>
      <c r="U34" s="24">
        <f>TModelo[[#This Row],[IniCDT]]*TModelo[[#This Row],[RetCDT]]</f>
        <v>68749.240247045163</v>
      </c>
      <c r="V34" s="24">
        <f>TModelo[[#This Row],[IniCOLCAP]]*TModelo[[#This Row],[RetCOLCAP]]</f>
        <v>20373.246626153086</v>
      </c>
      <c r="W34" s="24">
        <f>TModelo[[#This Row],[IniUSD]]*TModelo[[#This Row],[RetUSD]]</f>
        <v>3270.2219614137639</v>
      </c>
      <c r="X34" s="24">
        <f>TModelo[[#This Row],[Act]]*(TModelo[[#This Row],[IniCDT]]+TModelo[[#This Row],[IntCDT]]+PesoCDT*TModelo[[#This Row],[Outflow]])</f>
        <v>7541680.0338176508</v>
      </c>
      <c r="Y34" s="24">
        <f>TModelo[[#This Row],[Act]]*(TModelo[[#This Row],[IniCOLCAP]]+TModelo[[#This Row],[IntCOLCAP]]+PesoCOLCAP*TModelo[[#This Row],[Outflow]])</f>
        <v>3134094.4106139056</v>
      </c>
      <c r="Z34" s="24">
        <f>TModelo[[#This Row],[Act]]*(TModelo[[#This Row],[IniUSD]]+TModelo[[#This Row],[IntUSD]]+PesoUSD*TModelo[[#This Row],[Outflow]])</f>
        <v>1871502.9203540653</v>
      </c>
      <c r="AA34" s="24">
        <f>TModelo[[#This Row],[BalCDT]]+TModelo[[#This Row],[BalCOLCAP]]+TModelo[[#This Row],[BalUSD]]</f>
        <v>12547277.364785621</v>
      </c>
      <c r="AB34" s="24">
        <f>IF(TModelo[[#This Row],[CumInfl]]&gt;0,TModelo[[#This Row],[TotalPreLiq]]/TModelo[[#This Row],[CumInfl]],0)</f>
        <v>12238090.025787119</v>
      </c>
      <c r="AC34" s="41">
        <f>(1+PerRate)^(-TModelo[[#This Row],[Period]])</f>
        <v>0.94691212729485563</v>
      </c>
      <c r="AD34" s="42">
        <f>TModelo[[#This Row],[NetCF]]*TModelo[[#This Row],[fd]]</f>
        <v>-967986.81272279471</v>
      </c>
    </row>
    <row r="35" spans="2:30" ht="16.95" customHeight="1">
      <c r="B35" s="11">
        <v>8</v>
      </c>
      <c r="C35" s="25">
        <f>EDATE(FechaInicio,TModelo[[#This Row],[Period]])</f>
        <v>46536</v>
      </c>
      <c r="D35" s="11">
        <f>IF(AND(TModelo[[#This Row],[Period]]&gt;=1,TModelo[[#This Row],[Period]]&lt;=HorizonteMeses),1,0)</f>
        <v>1</v>
      </c>
      <c r="E35" s="40">
        <f>TModelo[[#This Row],[Act]]*(INFb+(INFpi0-INFb)*(1-INFa)^TModelo[[#This Row],[Period]])</f>
        <v>2.8401802382113451E-3</v>
      </c>
      <c r="F35" s="28">
        <f>IF(TModelo[[#This Row],[Period]]&lt;=HorizonteMeses,F34*(1+TModelo[[#This Row],[InflMes]]),0)</f>
        <v>1.0281762813875972</v>
      </c>
      <c r="G35" s="21">
        <f>TModelo[[#This Row],[Act]]*(CDTb+(CDTx0-CDTb)*(1-CDTa)^TModelo[[#This Row],[Period]]+CDTspread)</f>
        <v>0.13247866611280326</v>
      </c>
      <c r="H35" s="40">
        <f>TModelo[[#This Row],[Act]]*((1+TModelo[[#This Row],[TasaCDT]])^(1/12)-1)*(1-Retencion)</f>
        <v>1.000446976234187E-2</v>
      </c>
      <c r="I35" s="40">
        <f>TModelo[[#This Row],[Act]]*(EXP(MuCOLCAP+SigmaCOLCAP^2/2)-1)</f>
        <v>7.1281059265766444E-3</v>
      </c>
      <c r="J35" s="40">
        <f>TModelo[[#This Row],[Act]]*(EXP(MuTRM+SigmaTRM^2/2)-1)</f>
        <v>1.9069525320893899E-3</v>
      </c>
      <c r="K35" s="11">
        <f>TModelo[[#This Row],[Act]]*IF(Rebalanceo="Mensual",1,IF(Rebalanceo="Anual",IF(MOD(TModelo[[#This Row],[Period]]-1,12)=0,1,0),0))</f>
        <v>1</v>
      </c>
      <c r="L35" s="24">
        <f>TModelo[[#This Row],[Act]]*AporteMensual*IF(CrecimientoAporte="Con IPC",F34,1)</f>
        <v>1025264.3458535611</v>
      </c>
      <c r="M35" s="24">
        <f>IF(TModelo[[#This Row],[Period]]=HorizonteMeses,TModelo[[#This Row],[TotalPreLiq]],0)</f>
        <v>0</v>
      </c>
      <c r="N35" s="24">
        <f>TModelo[[#This Row],[Inflow]]-TModelo[[#This Row],[Outflow]]</f>
        <v>-1025264.3458535611</v>
      </c>
      <c r="O35" s="24">
        <f t="shared" si="0"/>
        <v>12547277.364785623</v>
      </c>
      <c r="P35" s="24">
        <f>TModelo[[#This Row],[IntCDT]]+TModelo[[#This Row],[IntCOLCAP]]+TModelo[[#This Row],[IntUSD]]</f>
        <v>101265.95408525181</v>
      </c>
      <c r="Q35" s="24">
        <f>TModelo[[#This Row],[InitialBalance]]+TModelo[[#This Row],[Interest]]+TModelo[[#This Row],[Outflow]]-TModelo[[#This Row],[Inflow]]</f>
        <v>13673807.664724436</v>
      </c>
      <c r="R35" s="24">
        <f>TModelo[[#This Row],[Act]]*IF(TModelo[[#This Row],[Rebal]]=1,PesoCDT*(X34+Y34+Z34),X34)</f>
        <v>7528366.418871372</v>
      </c>
      <c r="S35" s="24">
        <f>TModelo[[#This Row],[Act]]*IF(TModelo[[#This Row],[Rebal]]=1,PesoCOLCAP*(X34+Y34+Z34),Y34)</f>
        <v>3136819.3411964052</v>
      </c>
      <c r="T35" s="24">
        <f>TModelo[[#This Row],[Act]]*IF(TModelo[[#This Row],[Rebal]]=1,PesoUSD*(X34+Y34+Z34),Z34)</f>
        <v>1882091.604717843</v>
      </c>
      <c r="U35" s="24">
        <f>TModelo[[#This Row],[IniCDT]]*TModelo[[#This Row],[RetCDT]]</f>
        <v>75317.314197428597</v>
      </c>
      <c r="V35" s="24">
        <f>TModelo[[#This Row],[IniCOLCAP]]*TModelo[[#This Row],[RetCOLCAP]]</f>
        <v>22359.58053658234</v>
      </c>
      <c r="W35" s="24">
        <f>TModelo[[#This Row],[IniUSD]]*TModelo[[#This Row],[RetUSD]]</f>
        <v>3589.0593512408736</v>
      </c>
      <c r="X35" s="24">
        <f>TModelo[[#This Row],[Act]]*(TModelo[[#This Row],[IniCDT]]+TModelo[[#This Row],[IntCDT]]+PesoCDT*TModelo[[#This Row],[Outflow]])</f>
        <v>8218842.3405809375</v>
      </c>
      <c r="Y35" s="24">
        <f>TModelo[[#This Row],[Act]]*(TModelo[[#This Row],[IniCOLCAP]]+TModelo[[#This Row],[IntCOLCAP]]+PesoCOLCAP*TModelo[[#This Row],[Outflow]])</f>
        <v>3415495.0081963781</v>
      </c>
      <c r="Z35" s="24">
        <f>TModelo[[#This Row],[Act]]*(TModelo[[#This Row],[IniUSD]]+TModelo[[#This Row],[IntUSD]]+PesoUSD*TModelo[[#This Row],[Outflow]])</f>
        <v>2039470.3159471182</v>
      </c>
      <c r="AA35" s="24">
        <f>TModelo[[#This Row],[BalCDT]]+TModelo[[#This Row],[BalCOLCAP]]+TModelo[[#This Row],[BalUSD]]</f>
        <v>13673807.664724436</v>
      </c>
      <c r="AB35" s="24">
        <f>IF(TModelo[[#This Row],[CumInfl]]&gt;0,TModelo[[#This Row],[TotalPreLiq]]/TModelo[[#This Row],[CumInfl]],0)</f>
        <v>13299088.79659299</v>
      </c>
      <c r="AC35" s="41">
        <f>(1+PerRate)^(-TModelo[[#This Row],[Period]])</f>
        <v>0.93956179096465287</v>
      </c>
      <c r="AD35" s="42">
        <f>TModelo[[#This Row],[NetCF]]*TModelo[[#This Row],[fd]]</f>
        <v>-963299.20500237506</v>
      </c>
    </row>
    <row r="36" spans="2:30" ht="16.95" customHeight="1">
      <c r="B36" s="11">
        <v>9</v>
      </c>
      <c r="C36" s="25">
        <f>EDATE(FechaInicio,TModelo[[#This Row],[Period]])</f>
        <v>46567</v>
      </c>
      <c r="D36" s="11">
        <f>IF(AND(TModelo[[#This Row],[Period]]&gt;=1,TModelo[[#This Row],[Period]]&lt;=HorizonteMeses),1,0)</f>
        <v>1</v>
      </c>
      <c r="E36" s="40">
        <f>TModelo[[#This Row],[Act]]*(INFb+(INFpi0-INFb)*(1-INFa)^TModelo[[#This Row],[Period]])</f>
        <v>2.7597622061186914E-3</v>
      </c>
      <c r="F36" s="28">
        <f>IF(TModelo[[#This Row],[Period]]&lt;=HorizonteMeses,F35*(1+TModelo[[#This Row],[InflMes]]),0)</f>
        <v>1.0310138034301983</v>
      </c>
      <c r="G36" s="21">
        <f>TModelo[[#This Row],[Act]]*(CDTb+(CDTx0-CDTb)*(1-CDTa)^TModelo[[#This Row],[Period]]+CDTspread)</f>
        <v>0.1322317171083971</v>
      </c>
      <c r="H36" s="40">
        <f>TModelo[[#This Row],[Act]]*((1+TModelo[[#This Row],[TasaCDT]])^(1/12)-1)*(1-Retencion)</f>
        <v>9.9868413520943725E-3</v>
      </c>
      <c r="I36" s="40">
        <f>TModelo[[#This Row],[Act]]*(EXP(MuCOLCAP+SigmaCOLCAP^2/2)-1)</f>
        <v>7.1281059265766444E-3</v>
      </c>
      <c r="J36" s="40">
        <f>TModelo[[#This Row],[Act]]*(EXP(MuTRM+SigmaTRM^2/2)-1)</f>
        <v>1.9069525320893899E-3</v>
      </c>
      <c r="K36" s="11">
        <f>TModelo[[#This Row],[Act]]*IF(Rebalanceo="Mensual",1,IF(Rebalanceo="Anual",IF(MOD(TModelo[[#This Row],[Period]]-1,12)=0,1,0),0))</f>
        <v>1</v>
      </c>
      <c r="L36" s="24">
        <f>TModelo[[#This Row],[Act]]*AporteMensual*IF(CrecimientoAporte="Con IPC",F35,1)</f>
        <v>1028176.2813875972</v>
      </c>
      <c r="M36" s="24">
        <f>IF(TModelo[[#This Row],[Period]]=HorizonteMeses,TModelo[[#This Row],[TotalPreLiq]],0)</f>
        <v>0</v>
      </c>
      <c r="N36" s="24">
        <f>TModelo[[#This Row],[Inflow]]-TModelo[[#This Row],[Outflow]]</f>
        <v>-1028176.2813875972</v>
      </c>
      <c r="O36" s="24">
        <f t="shared" si="0"/>
        <v>13673807.664724436</v>
      </c>
      <c r="P36" s="24">
        <f>TModelo[[#This Row],[IntCDT]]+TModelo[[#This Row],[IntCOLCAP]]+TModelo[[#This Row],[IntUSD]]</f>
        <v>110213.27138187326</v>
      </c>
      <c r="Q36" s="24">
        <f>TModelo[[#This Row],[InitialBalance]]+TModelo[[#This Row],[Interest]]+TModelo[[#This Row],[Outflow]]-TModelo[[#This Row],[Inflow]]</f>
        <v>14812197.217493907</v>
      </c>
      <c r="R36" s="24">
        <f>TModelo[[#This Row],[Act]]*IF(TModelo[[#This Row],[Rebal]]=1,PesoCDT*(X35+Y35+Z35),X35)</f>
        <v>8204284.5988346608</v>
      </c>
      <c r="S36" s="24">
        <f>TModelo[[#This Row],[Act]]*IF(TModelo[[#This Row],[Rebal]]=1,PesoCOLCAP*(X35+Y35+Z35),Y35)</f>
        <v>3418451.9161811089</v>
      </c>
      <c r="T36" s="24">
        <f>TModelo[[#This Row],[Act]]*IF(TModelo[[#This Row],[Rebal]]=1,PesoUSD*(X35+Y35+Z35),Z35)</f>
        <v>2051071.1497086652</v>
      </c>
      <c r="U36" s="24">
        <f>TModelo[[#This Row],[IniCDT]]*TModelo[[#This Row],[RetCDT]]</f>
        <v>81934.888695992981</v>
      </c>
      <c r="V36" s="24">
        <f>TModelo[[#This Row],[IniCOLCAP]]*TModelo[[#This Row],[RetCOLCAP]]</f>
        <v>24367.087363447848</v>
      </c>
      <c r="W36" s="24">
        <f>TModelo[[#This Row],[IniUSD]]*TModelo[[#This Row],[RetUSD]]</f>
        <v>3911.2953224324351</v>
      </c>
      <c r="X36" s="24">
        <f>TModelo[[#This Row],[Act]]*(TModelo[[#This Row],[IniCDT]]+TModelo[[#This Row],[IntCDT]]+PesoCDT*TModelo[[#This Row],[Outflow]])</f>
        <v>8903125.2563632112</v>
      </c>
      <c r="Y36" s="24">
        <f>TModelo[[#This Row],[Act]]*(TModelo[[#This Row],[IniCOLCAP]]+TModelo[[#This Row],[IntCOLCAP]]+PesoCOLCAP*TModelo[[#This Row],[Outflow]])</f>
        <v>3699863.0738914562</v>
      </c>
      <c r="Z36" s="24">
        <f>TModelo[[#This Row],[Act]]*(TModelo[[#This Row],[IniUSD]]+TModelo[[#This Row],[IntUSD]]+PesoUSD*TModelo[[#This Row],[Outflow]])</f>
        <v>2209208.8872392373</v>
      </c>
      <c r="AA36" s="24">
        <f>TModelo[[#This Row],[BalCDT]]+TModelo[[#This Row],[BalCOLCAP]]+TModelo[[#This Row],[BalUSD]]</f>
        <v>14812197.217493903</v>
      </c>
      <c r="AB36" s="24">
        <f>IF(TModelo[[#This Row],[CumInfl]]&gt;0,TModelo[[#This Row],[TotalPreLiq]]/TModelo[[#This Row],[CumInfl]],0)</f>
        <v>14366633.277084654</v>
      </c>
      <c r="AC36" s="41">
        <f>(1+PerRate)^(-TModelo[[#This Row],[Period]])</f>
        <v>0.93226851108415631</v>
      </c>
      <c r="AD36" s="42">
        <f>TModelo[[#This Row],[NetCF]]*TModelo[[#This Row],[fd]]</f>
        <v>-958536.37098125974</v>
      </c>
    </row>
    <row r="37" spans="2:30" ht="16.95" customHeight="1">
      <c r="B37" s="11">
        <v>10</v>
      </c>
      <c r="C37" s="25">
        <f>EDATE(FechaInicio,TModelo[[#This Row],[Period]])</f>
        <v>46597</v>
      </c>
      <c r="D37" s="11">
        <f>IF(AND(TModelo[[#This Row],[Period]]&gt;=1,TModelo[[#This Row],[Period]]&lt;=HorizonteMeses),1,0)</f>
        <v>1</v>
      </c>
      <c r="E37" s="40">
        <f>TModelo[[#This Row],[Act]]*(INFb+(INFpi0-INFb)*(1-INFa)^TModelo[[#This Row],[Period]])</f>
        <v>2.6966399185298895E-3</v>
      </c>
      <c r="F37" s="28">
        <f>IF(TModelo[[#This Row],[Period]]&lt;=HorizonteMeses,F36*(1+TModelo[[#This Row],[InflMes]]),0)</f>
        <v>1.0337940764090836</v>
      </c>
      <c r="G37" s="21">
        <f>TModelo[[#This Row],[Act]]*(CDTb+(CDTx0-CDTb)*(1-CDTa)^TModelo[[#This Row],[Period]]+CDTspread)</f>
        <v>0.13198860856124703</v>
      </c>
      <c r="H37" s="40">
        <f>TModelo[[#This Row],[Act]]*((1+TModelo[[#This Row],[TasaCDT]])^(1/12)-1)*(1-Retencion)</f>
        <v>9.9694836491594427E-3</v>
      </c>
      <c r="I37" s="40">
        <f>TModelo[[#This Row],[Act]]*(EXP(MuCOLCAP+SigmaCOLCAP^2/2)-1)</f>
        <v>7.1281059265766444E-3</v>
      </c>
      <c r="J37" s="40">
        <f>TModelo[[#This Row],[Act]]*(EXP(MuTRM+SigmaTRM^2/2)-1)</f>
        <v>1.9069525320893899E-3</v>
      </c>
      <c r="K37" s="11">
        <f>TModelo[[#This Row],[Act]]*IF(Rebalanceo="Mensual",1,IF(Rebalanceo="Anual",IF(MOD(TModelo[[#This Row],[Period]]-1,12)=0,1,0),0))</f>
        <v>1</v>
      </c>
      <c r="L37" s="24">
        <f>TModelo[[#This Row],[Act]]*AporteMensual*IF(CrecimientoAporte="Con IPC",F36,1)</f>
        <v>1031013.8034301983</v>
      </c>
      <c r="M37" s="24">
        <f>IF(TModelo[[#This Row],[Period]]=HorizonteMeses,TModelo[[#This Row],[TotalPreLiq]],0)</f>
        <v>0</v>
      </c>
      <c r="N37" s="24">
        <f>TModelo[[#This Row],[Inflow]]-TModelo[[#This Row],[Outflow]]</f>
        <v>-1031013.8034301983</v>
      </c>
      <c r="O37" s="24">
        <f t="shared" si="0"/>
        <v>14812197.217493907</v>
      </c>
      <c r="P37" s="24">
        <f>TModelo[[#This Row],[IntCDT]]+TModelo[[#This Row],[IntCOLCAP]]+TModelo[[#This Row],[IntUSD]]</f>
        <v>119234.62602212446</v>
      </c>
      <c r="Q37" s="24">
        <f>TModelo[[#This Row],[InitialBalance]]+TModelo[[#This Row],[Interest]]+TModelo[[#This Row],[Outflow]]-TModelo[[#This Row],[Inflow]]</f>
        <v>15962445.646946229</v>
      </c>
      <c r="R37" s="24">
        <f>TModelo[[#This Row],[Act]]*IF(TModelo[[#This Row],[Rebal]]=1,PesoCDT*(X36+Y36+Z36),X36)</f>
        <v>8887318.330496341</v>
      </c>
      <c r="S37" s="24">
        <f>TModelo[[#This Row],[Act]]*IF(TModelo[[#This Row],[Rebal]]=1,PesoCOLCAP*(X36+Y36+Z36),Y36)</f>
        <v>3703049.3043734757</v>
      </c>
      <c r="T37" s="24">
        <f>TModelo[[#This Row],[Act]]*IF(TModelo[[#This Row],[Rebal]]=1,PesoUSD*(X36+Y36+Z36),Z36)</f>
        <v>2221829.5826240852</v>
      </c>
      <c r="U37" s="24">
        <f>TModelo[[#This Row],[IniCDT]]*TModelo[[#This Row],[RetCDT]]</f>
        <v>88601.974780758261</v>
      </c>
      <c r="V37" s="24">
        <f>TModelo[[#This Row],[IniCOLCAP]]*TModelo[[#This Row],[RetCOLCAP]]</f>
        <v>26395.727692910092</v>
      </c>
      <c r="W37" s="24">
        <f>TModelo[[#This Row],[IniUSD]]*TModelo[[#This Row],[RetUSD]]</f>
        <v>4236.9235484561113</v>
      </c>
      <c r="X37" s="24">
        <f>TModelo[[#This Row],[Act]]*(TModelo[[#This Row],[IniCDT]]+TModelo[[#This Row],[IntCDT]]+PesoCDT*TModelo[[#This Row],[Outflow]])</f>
        <v>9594528.5873352196</v>
      </c>
      <c r="Y37" s="24">
        <f>TModelo[[#This Row],[Act]]*(TModelo[[#This Row],[IniCOLCAP]]+TModelo[[#This Row],[IntCOLCAP]]+PesoCOLCAP*TModelo[[#This Row],[Outflow]])</f>
        <v>3987198.4829239352</v>
      </c>
      <c r="Z37" s="24">
        <f>TModelo[[#This Row],[Act]]*(TModelo[[#This Row],[IniUSD]]+TModelo[[#This Row],[IntUSD]]+PesoUSD*TModelo[[#This Row],[Outflow]])</f>
        <v>2380718.5766870715</v>
      </c>
      <c r="AA37" s="24">
        <f>TModelo[[#This Row],[BalCDT]]+TModelo[[#This Row],[BalCOLCAP]]+TModelo[[#This Row],[BalUSD]]</f>
        <v>15962445.646946225</v>
      </c>
      <c r="AB37" s="24">
        <f>IF(TModelo[[#This Row],[CumInfl]]&gt;0,TModelo[[#This Row],[TotalPreLiq]]/TModelo[[#This Row],[CumInfl]],0)</f>
        <v>15440643.365255374</v>
      </c>
      <c r="AC37" s="41">
        <f>(1+PerRate)^(-TModelo[[#This Row],[Period]])</f>
        <v>0.92503184475683597</v>
      </c>
      <c r="AD37" s="42">
        <f>TModelo[[#This Row],[NetCF]]*TModelo[[#This Row],[fd]]</f>
        <v>-953720.60055679828</v>
      </c>
    </row>
    <row r="38" spans="2:30" ht="16.95" customHeight="1">
      <c r="B38" s="11">
        <v>11</v>
      </c>
      <c r="C38" s="25">
        <f>EDATE(FechaInicio,TModelo[[#This Row],[Period]])</f>
        <v>46628</v>
      </c>
      <c r="D38" s="11">
        <f>IF(AND(TModelo[[#This Row],[Period]]&gt;=1,TModelo[[#This Row],[Period]]&lt;=HorizonteMeses),1,0)</f>
        <v>1</v>
      </c>
      <c r="E38" s="40">
        <f>TModelo[[#This Row],[Act]]*(INFb+(INFpi0-INFb)*(1-INFa)^TModelo[[#This Row],[Period]])</f>
        <v>2.6470935284136437E-3</v>
      </c>
      <c r="F38" s="28">
        <f>IF(TModelo[[#This Row],[Period]]&lt;=HorizonteMeses,F37*(1+TModelo[[#This Row],[InflMes]]),0)</f>
        <v>1.0365306260184586</v>
      </c>
      <c r="G38" s="21">
        <f>TModelo[[#This Row],[Act]]*(CDTb+(CDTx0-CDTb)*(1-CDTa)^TModelo[[#This Row],[Period]]+CDTspread)</f>
        <v>0.13174928074601838</v>
      </c>
      <c r="H38" s="40">
        <f>TModelo[[#This Row],[Act]]*((1+TModelo[[#This Row],[TasaCDT]])^(1/12)-1)*(1-Retencion)</f>
        <v>9.9523925484828624E-3</v>
      </c>
      <c r="I38" s="40">
        <f>TModelo[[#This Row],[Act]]*(EXP(MuCOLCAP+SigmaCOLCAP^2/2)-1)</f>
        <v>7.1281059265766444E-3</v>
      </c>
      <c r="J38" s="40">
        <f>TModelo[[#This Row],[Act]]*(EXP(MuTRM+SigmaTRM^2/2)-1)</f>
        <v>1.9069525320893899E-3</v>
      </c>
      <c r="K38" s="11">
        <f>TModelo[[#This Row],[Act]]*IF(Rebalanceo="Mensual",1,IF(Rebalanceo="Anual",IF(MOD(TModelo[[#This Row],[Period]]-1,12)=0,1,0),0))</f>
        <v>1</v>
      </c>
      <c r="L38" s="24">
        <f>TModelo[[#This Row],[Act]]*AporteMensual*IF(CrecimientoAporte="Con IPC",F37,1)</f>
        <v>1033794.0764090836</v>
      </c>
      <c r="M38" s="24">
        <f>IF(TModelo[[#This Row],[Period]]=HorizonteMeses,TModelo[[#This Row],[TotalPreLiq]],0)</f>
        <v>0</v>
      </c>
      <c r="N38" s="24">
        <f>TModelo[[#This Row],[Inflow]]-TModelo[[#This Row],[Outflow]]</f>
        <v>-1033794.0764090836</v>
      </c>
      <c r="O38" s="24">
        <f t="shared" si="0"/>
        <v>15962445.646946229</v>
      </c>
      <c r="P38" s="24">
        <f>TModelo[[#This Row],[IntCDT]]+TModelo[[#This Row],[IntCOLCAP]]+TModelo[[#This Row],[IntUSD]]</f>
        <v>128330.15984371943</v>
      </c>
      <c r="Q38" s="24">
        <f>TModelo[[#This Row],[InitialBalance]]+TModelo[[#This Row],[Interest]]+TModelo[[#This Row],[Outflow]]-TModelo[[#This Row],[Inflow]]</f>
        <v>17124569.883199032</v>
      </c>
      <c r="R38" s="24">
        <f>TModelo[[#This Row],[Act]]*IF(TModelo[[#This Row],[Rebal]]=1,PesoCDT*(X37+Y37+Z37),X37)</f>
        <v>9577467.3881677352</v>
      </c>
      <c r="S38" s="24">
        <f>TModelo[[#This Row],[Act]]*IF(TModelo[[#This Row],[Rebal]]=1,PesoCOLCAP*(X37+Y37+Z37),Y37)</f>
        <v>3990611.4117365563</v>
      </c>
      <c r="T38" s="24">
        <f>TModelo[[#This Row],[Act]]*IF(TModelo[[#This Row],[Rebal]]=1,PesoUSD*(X37+Y37+Z37),Z37)</f>
        <v>2394366.8470419338</v>
      </c>
      <c r="U38" s="24">
        <f>TModelo[[#This Row],[IniCDT]]*TModelo[[#This Row],[RetCDT]]</f>
        <v>95318.715067338184</v>
      </c>
      <c r="V38" s="24">
        <f>TModelo[[#This Row],[IniCOLCAP]]*TModelo[[#This Row],[RetCOLCAP]]</f>
        <v>28445.500854663736</v>
      </c>
      <c r="W38" s="24">
        <f>TModelo[[#This Row],[IniUSD]]*TModelo[[#This Row],[RetUSD]]</f>
        <v>4565.9439217175041</v>
      </c>
      <c r="X38" s="24">
        <f>TModelo[[#This Row],[Act]]*(TModelo[[#This Row],[IniCDT]]+TModelo[[#This Row],[IntCDT]]+PesoCDT*TModelo[[#This Row],[Outflow]])</f>
        <v>10293062.549080523</v>
      </c>
      <c r="Y38" s="24">
        <f>TModelo[[#This Row],[Act]]*(TModelo[[#This Row],[IniCOLCAP]]+TModelo[[#This Row],[IntCOLCAP]]+PesoCOLCAP*TModelo[[#This Row],[Outflow]])</f>
        <v>4277505.4316934906</v>
      </c>
      <c r="Z38" s="24">
        <f>TModelo[[#This Row],[Act]]*(TModelo[[#This Row],[IniUSD]]+TModelo[[#This Row],[IntUSD]]+PesoUSD*TModelo[[#This Row],[Outflow]])</f>
        <v>2554001.9024250135</v>
      </c>
      <c r="AA38" s="24">
        <f>TModelo[[#This Row],[BalCDT]]+TModelo[[#This Row],[BalCOLCAP]]+TModelo[[#This Row],[BalUSD]]</f>
        <v>17124569.883199029</v>
      </c>
      <c r="AB38" s="24">
        <f>IF(TModelo[[#This Row],[CumInfl]]&gt;0,TModelo[[#This Row],[TotalPreLiq]]/TModelo[[#This Row],[CumInfl]],0)</f>
        <v>16521045.739842977</v>
      </c>
      <c r="AC38" s="41">
        <f>(1+PerRate)^(-TModelo[[#This Row],[Period]])</f>
        <v>0.91785135252411432</v>
      </c>
      <c r="AD38" s="42">
        <f>TModelo[[#This Row],[NetCF]]*TModelo[[#This Row],[fd]]</f>
        <v>-948869.29126349487</v>
      </c>
    </row>
    <row r="39" spans="2:30" ht="16.95" customHeight="1">
      <c r="B39" s="11">
        <v>12</v>
      </c>
      <c r="C39" s="25">
        <f>EDATE(FechaInicio,TModelo[[#This Row],[Period]])</f>
        <v>46659</v>
      </c>
      <c r="D39" s="11">
        <f>IF(AND(TModelo[[#This Row],[Period]]&gt;=1,TModelo[[#This Row],[Period]]&lt;=HorizonteMeses),1,0)</f>
        <v>1</v>
      </c>
      <c r="E39" s="40">
        <f>TModelo[[#This Row],[Act]]*(INFb+(INFpi0-INFb)*(1-INFa)^TModelo[[#This Row],[Period]])</f>
        <v>2.6082032272645023E-3</v>
      </c>
      <c r="F39" s="28">
        <f>IF(TModelo[[#This Row],[Period]]&lt;=HorizonteMeses,F38*(1+TModelo[[#This Row],[InflMes]]),0)</f>
        <v>1.0392341085423984</v>
      </c>
      <c r="G39" s="21">
        <f>TModelo[[#This Row],[Act]]*(CDTb+(CDTx0-CDTb)*(1-CDTa)^TModelo[[#This Row],[Period]]+CDTspread)</f>
        <v>0.13151367486620225</v>
      </c>
      <c r="H39" s="40">
        <f>TModelo[[#This Row],[Act]]*((1+TModelo[[#This Row],[TasaCDT]])^(1/12)-1)*(1-Retencion)</f>
        <v>9.9355640056757004E-3</v>
      </c>
      <c r="I39" s="40">
        <f>TModelo[[#This Row],[Act]]*(EXP(MuCOLCAP+SigmaCOLCAP^2/2)-1)</f>
        <v>7.1281059265766444E-3</v>
      </c>
      <c r="J39" s="40">
        <f>TModelo[[#This Row],[Act]]*(EXP(MuTRM+SigmaTRM^2/2)-1)</f>
        <v>1.9069525320893899E-3</v>
      </c>
      <c r="K39" s="11">
        <f>TModelo[[#This Row],[Act]]*IF(Rebalanceo="Mensual",1,IF(Rebalanceo="Anual",IF(MOD(TModelo[[#This Row],[Period]]-1,12)=0,1,0),0))</f>
        <v>1</v>
      </c>
      <c r="L39" s="24">
        <f>TModelo[[#This Row],[Act]]*AporteMensual*IF(CrecimientoAporte="Con IPC",F38,1)</f>
        <v>1036530.6260184586</v>
      </c>
      <c r="M39" s="24">
        <f>IF(TModelo[[#This Row],[Period]]=HorizonteMeses,TModelo[[#This Row],[TotalPreLiq]],0)</f>
        <v>0</v>
      </c>
      <c r="N39" s="24">
        <f>TModelo[[#This Row],[Inflow]]-TModelo[[#This Row],[Outflow]]</f>
        <v>-1036530.6260184586</v>
      </c>
      <c r="O39" s="24">
        <f t="shared" si="0"/>
        <v>17124569.883199032</v>
      </c>
      <c r="P39" s="24">
        <f>TModelo[[#This Row],[IntCDT]]+TModelo[[#This Row],[IntCOLCAP]]+TModelo[[#This Row],[IntUSD]]</f>
        <v>137500.15439009719</v>
      </c>
      <c r="Q39" s="24">
        <f>TModelo[[#This Row],[InitialBalance]]+TModelo[[#This Row],[Interest]]+TModelo[[#This Row],[Outflow]]-TModelo[[#This Row],[Inflow]]</f>
        <v>18298600.663607586</v>
      </c>
      <c r="R39" s="24">
        <f>TModelo[[#This Row],[Act]]*IF(TModelo[[#This Row],[Rebal]]=1,PesoCDT*(X38+Y38+Z38),X38)</f>
        <v>10274741.929919416</v>
      </c>
      <c r="S39" s="24">
        <f>TModelo[[#This Row],[Act]]*IF(TModelo[[#This Row],[Rebal]]=1,PesoCOLCAP*(X38+Y38+Z38),Y38)</f>
        <v>4281142.4707997572</v>
      </c>
      <c r="T39" s="24">
        <f>TModelo[[#This Row],[Act]]*IF(TModelo[[#This Row],[Rebal]]=1,PesoUSD*(X38+Y38+Z38),Z38)</f>
        <v>2568685.482479854</v>
      </c>
      <c r="U39" s="24">
        <f>TModelo[[#This Row],[IniCDT]]*TModelo[[#This Row],[RetCDT]]</f>
        <v>102085.35608651424</v>
      </c>
      <c r="V39" s="24">
        <f>TModelo[[#This Row],[IniCOLCAP]]*TModelo[[#This Row],[RetCOLCAP]]</f>
        <v>30516.43701862673</v>
      </c>
      <c r="W39" s="24">
        <f>TModelo[[#This Row],[IniUSD]]*TModelo[[#This Row],[RetUSD]]</f>
        <v>4898.3612849562141</v>
      </c>
      <c r="X39" s="24">
        <f>TModelo[[#This Row],[Act]]*(TModelo[[#This Row],[IniCDT]]+TModelo[[#This Row],[IntCDT]]+PesoCDT*TModelo[[#This Row],[Outflow]])</f>
        <v>10998745.661617007</v>
      </c>
      <c r="Y39" s="24">
        <f>TModelo[[#This Row],[Act]]*(TModelo[[#This Row],[IniCOLCAP]]+TModelo[[#This Row],[IntCOLCAP]]+PesoCOLCAP*TModelo[[#This Row],[Outflow]])</f>
        <v>4570791.5643229978</v>
      </c>
      <c r="Z39" s="24">
        <f>TModelo[[#This Row],[Act]]*(TModelo[[#This Row],[IniUSD]]+TModelo[[#This Row],[IntUSD]]+PesoUSD*TModelo[[#This Row],[Outflow]])</f>
        <v>2729063.4376675794</v>
      </c>
      <c r="AA39" s="24">
        <f>TModelo[[#This Row],[BalCDT]]+TModelo[[#This Row],[BalCOLCAP]]+TModelo[[#This Row],[BalUSD]]</f>
        <v>18298600.663607582</v>
      </c>
      <c r="AB39" s="24">
        <f>IF(TModelo[[#This Row],[CumInfl]]&gt;0,TModelo[[#This Row],[TotalPreLiq]]/TModelo[[#This Row],[CumInfl]],0)</f>
        <v>17607775.29643701</v>
      </c>
      <c r="AC39" s="41">
        <f>(1+PerRate)^(-TModelo[[#This Row],[Period]])</f>
        <v>0.91072659833867897</v>
      </c>
      <c r="AD39" s="42">
        <f>TModelo[[#This Row],[NetCF]]*TModelo[[#This Row],[fd]]</f>
        <v>-943996.01110765222</v>
      </c>
    </row>
    <row r="40" spans="2:30" ht="16.95" customHeight="1">
      <c r="B40" s="11">
        <v>13</v>
      </c>
      <c r="C40" s="25">
        <f>EDATE(FechaInicio,TModelo[[#This Row],[Period]])</f>
        <v>46689</v>
      </c>
      <c r="D40" s="11">
        <f>IF(AND(TModelo[[#This Row],[Period]]&gt;=1,TModelo[[#This Row],[Period]]&lt;=HorizonteMeses),1,0)</f>
        <v>1</v>
      </c>
      <c r="E40" s="40">
        <f>TModelo[[#This Row],[Act]]*(INFb+(INFpi0-INFb)*(1-INFa)^TModelo[[#This Row],[Period]])</f>
        <v>2.5776771784459624E-3</v>
      </c>
      <c r="F40" s="28">
        <f>IF(TModelo[[#This Row],[Period]]&lt;=HorizonteMeses,F39*(1+TModelo[[#This Row],[InflMes]]),0)</f>
        <v>1.0419129185870508</v>
      </c>
      <c r="G40" s="21">
        <f>TModelo[[#This Row],[Act]]*(CDTb+(CDTx0-CDTb)*(1-CDTa)^TModelo[[#This Row],[Period]]+CDTspread)</f>
        <v>0.13128173303967067</v>
      </c>
      <c r="H40" s="40">
        <f>TModelo[[#This Row],[Act]]*((1+TModelo[[#This Row],[TasaCDT]])^(1/12)-1)*(1-Retencion)</f>
        <v>9.9189940361669917E-3</v>
      </c>
      <c r="I40" s="40">
        <f>TModelo[[#This Row],[Act]]*(EXP(MuCOLCAP+SigmaCOLCAP^2/2)-1)</f>
        <v>7.1281059265766444E-3</v>
      </c>
      <c r="J40" s="40">
        <f>TModelo[[#This Row],[Act]]*(EXP(MuTRM+SigmaTRM^2/2)-1)</f>
        <v>1.9069525320893899E-3</v>
      </c>
      <c r="K40" s="11">
        <f>TModelo[[#This Row],[Act]]*IF(Rebalanceo="Mensual",1,IF(Rebalanceo="Anual",IF(MOD(TModelo[[#This Row],[Period]]-1,12)=0,1,0),0))</f>
        <v>1</v>
      </c>
      <c r="L40" s="24">
        <f>TModelo[[#This Row],[Act]]*AporteMensual*IF(CrecimientoAporte="Con IPC",F39,1)</f>
        <v>1039234.1085423984</v>
      </c>
      <c r="M40" s="24">
        <f>IF(TModelo[[#This Row],[Period]]=HorizonteMeses,TModelo[[#This Row],[TotalPreLiq]],0)</f>
        <v>0</v>
      </c>
      <c r="N40" s="24">
        <f>TModelo[[#This Row],[Inflow]]-TModelo[[#This Row],[Outflow]]</f>
        <v>-1039234.1085423984</v>
      </c>
      <c r="O40" s="24">
        <f t="shared" si="0"/>
        <v>18298600.663607586</v>
      </c>
      <c r="P40" s="24">
        <f>TModelo[[#This Row],[IntCDT]]+TModelo[[#This Row],[IntCOLCAP]]+TModelo[[#This Row],[IntUSD]]</f>
        <v>146745.00190146896</v>
      </c>
      <c r="Q40" s="24">
        <f>TModelo[[#This Row],[InitialBalance]]+TModelo[[#This Row],[Interest]]+TModelo[[#This Row],[Outflow]]-TModelo[[#This Row],[Inflow]]</f>
        <v>19484579.774051454</v>
      </c>
      <c r="R40" s="24">
        <f>TModelo[[#This Row],[Act]]*IF(TModelo[[#This Row],[Rebal]]=1,PesoCDT*(X39+Y39+Z39),X39)</f>
        <v>10979160.39816455</v>
      </c>
      <c r="S40" s="24">
        <f>TModelo[[#This Row],[Act]]*IF(TModelo[[#This Row],[Rebal]]=1,PesoCOLCAP*(X39+Y39+Z39),Y39)</f>
        <v>4574650.1659018956</v>
      </c>
      <c r="T40" s="24">
        <f>TModelo[[#This Row],[Act]]*IF(TModelo[[#This Row],[Rebal]]=1,PesoUSD*(X39+Y39+Z39),Z39)</f>
        <v>2744790.0995411375</v>
      </c>
      <c r="U40" s="24">
        <f>TModelo[[#This Row],[IniCDT]]*TModelo[[#This Row],[RetCDT]]</f>
        <v>108902.22651151498</v>
      </c>
      <c r="V40" s="24">
        <f>TModelo[[#This Row],[IniCOLCAP]]*TModelo[[#This Row],[RetCOLCAP]]</f>
        <v>32608.590959580131</v>
      </c>
      <c r="W40" s="24">
        <f>TModelo[[#This Row],[IniUSD]]*TModelo[[#This Row],[RetUSD]]</f>
        <v>5234.1844303738608</v>
      </c>
      <c r="X40" s="24">
        <f>TModelo[[#This Row],[Act]]*(TModelo[[#This Row],[IniCDT]]+TModelo[[#This Row],[IntCDT]]+PesoCDT*TModelo[[#This Row],[Outflow]])</f>
        <v>11711603.089801505</v>
      </c>
      <c r="Y40" s="24">
        <f>TModelo[[#This Row],[Act]]*(TModelo[[#This Row],[IniCOLCAP]]+TModelo[[#This Row],[IntCOLCAP]]+PesoCOLCAP*TModelo[[#This Row],[Outflow]])</f>
        <v>4867067.2839970747</v>
      </c>
      <c r="Z40" s="24">
        <f>TModelo[[#This Row],[Act]]*(TModelo[[#This Row],[IniUSD]]+TModelo[[#This Row],[IntUSD]]+PesoUSD*TModelo[[#This Row],[Outflow]])</f>
        <v>2905909.4002528712</v>
      </c>
      <c r="AA40" s="24">
        <f>TModelo[[#This Row],[BalCDT]]+TModelo[[#This Row],[BalCOLCAP]]+TModelo[[#This Row],[BalUSD]]</f>
        <v>19484579.77405145</v>
      </c>
      <c r="AB40" s="24">
        <f>IF(TModelo[[#This Row],[CumInfl]]&gt;0,TModelo[[#This Row],[TotalPreLiq]]/TModelo[[#This Row],[CumInfl]],0)</f>
        <v>18700775.685241234</v>
      </c>
      <c r="AC40" s="41">
        <f>(1+PerRate)^(-TModelo[[#This Row],[Period]])</f>
        <v>0.90365714953800236</v>
      </c>
      <c r="AD40" s="42">
        <f>TModelo[[#This Row],[NetCF]]*TModelo[[#This Row],[fd]]</f>
        <v>-939111.33222809073</v>
      </c>
    </row>
    <row r="41" spans="2:30" ht="16.95" customHeight="1">
      <c r="B41" s="11">
        <v>14</v>
      </c>
      <c r="C41" s="25">
        <f>EDATE(FechaInicio,TModelo[[#This Row],[Period]])</f>
        <v>46720</v>
      </c>
      <c r="D41" s="11">
        <f>IF(AND(TModelo[[#This Row],[Period]]&gt;=1,TModelo[[#This Row],[Period]]&lt;=HorizonteMeses),1,0)</f>
        <v>1</v>
      </c>
      <c r="E41" s="40">
        <f>TModelo[[#This Row],[Act]]*(INFb+(INFpi0-INFb)*(1-INFa)^TModelo[[#This Row],[Period]])</f>
        <v>2.553716457419444E-3</v>
      </c>
      <c r="F41" s="28">
        <f>IF(TModelo[[#This Row],[Period]]&lt;=HorizonteMeses,F40*(1+TModelo[[#This Row],[InflMes]]),0)</f>
        <v>1.0445736687544445</v>
      </c>
      <c r="G41" s="21">
        <f>TModelo[[#This Row],[Act]]*(CDTb+(CDTx0-CDTb)*(1-CDTa)^TModelo[[#This Row],[Period]]+CDTspread)</f>
        <v>0.13105339828445667</v>
      </c>
      <c r="H41" s="40">
        <f>TModelo[[#This Row],[Act]]*((1+TModelo[[#This Row],[TasaCDT]])^(1/12)-1)*(1-Retencion)</f>
        <v>9.9026787143649386E-3</v>
      </c>
      <c r="I41" s="40">
        <f>TModelo[[#This Row],[Act]]*(EXP(MuCOLCAP+SigmaCOLCAP^2/2)-1)</f>
        <v>7.1281059265766444E-3</v>
      </c>
      <c r="J41" s="40">
        <f>TModelo[[#This Row],[Act]]*(EXP(MuTRM+SigmaTRM^2/2)-1)</f>
        <v>1.9069525320893899E-3</v>
      </c>
      <c r="K41" s="11">
        <f>TModelo[[#This Row],[Act]]*IF(Rebalanceo="Mensual",1,IF(Rebalanceo="Anual",IF(MOD(TModelo[[#This Row],[Period]]-1,12)=0,1,0),0))</f>
        <v>1</v>
      </c>
      <c r="L41" s="24">
        <f>TModelo[[#This Row],[Act]]*AporteMensual*IF(CrecimientoAporte="Con IPC",F40,1)</f>
        <v>1041912.9185870509</v>
      </c>
      <c r="M41" s="24">
        <f>IF(TModelo[[#This Row],[Period]]=HorizonteMeses,TModelo[[#This Row],[TotalPreLiq]],0)</f>
        <v>0</v>
      </c>
      <c r="N41" s="24">
        <f>TModelo[[#This Row],[Inflow]]-TModelo[[#This Row],[Outflow]]</f>
        <v>-1041912.9185870509</v>
      </c>
      <c r="O41" s="24">
        <f t="shared" si="0"/>
        <v>19484579.774051454</v>
      </c>
      <c r="P41" s="24">
        <f>TModelo[[#This Row],[IntCDT]]+TModelo[[#This Row],[IntCOLCAP]]+TModelo[[#This Row],[IntUSD]]</f>
        <v>156065.18248369859</v>
      </c>
      <c r="Q41" s="24">
        <f>TModelo[[#This Row],[InitialBalance]]+TModelo[[#This Row],[Interest]]+TModelo[[#This Row],[Outflow]]-TModelo[[#This Row],[Inflow]]</f>
        <v>20682557.875122204</v>
      </c>
      <c r="R41" s="24">
        <f>TModelo[[#This Row],[Act]]*IF(TModelo[[#This Row],[Rebal]]=1,PesoCDT*(X40+Y40+Z40),X40)</f>
        <v>11690747.864430869</v>
      </c>
      <c r="S41" s="24">
        <f>TModelo[[#This Row],[Act]]*IF(TModelo[[#This Row],[Rebal]]=1,PesoCOLCAP*(X40+Y40+Z40),Y40)</f>
        <v>4871144.9435128625</v>
      </c>
      <c r="T41" s="24">
        <f>TModelo[[#This Row],[Act]]*IF(TModelo[[#This Row],[Rebal]]=1,PesoUSD*(X40+Y40+Z40),Z40)</f>
        <v>2922686.9661077172</v>
      </c>
      <c r="U41" s="24">
        <f>TModelo[[#This Row],[IniCDT]]*TModelo[[#This Row],[RetCDT]]</f>
        <v>115769.72003210692</v>
      </c>
      <c r="V41" s="24">
        <f>TModelo[[#This Row],[IniCOLCAP]]*TModelo[[#This Row],[RetCOLCAP]]</f>
        <v>34722.037141067893</v>
      </c>
      <c r="W41" s="24">
        <f>TModelo[[#This Row],[IniUSD]]*TModelo[[#This Row],[RetUSD]]</f>
        <v>5573.4253105237685</v>
      </c>
      <c r="X41" s="24">
        <f>TModelo[[#This Row],[Act]]*(TModelo[[#This Row],[IniCDT]]+TModelo[[#This Row],[IntCDT]]+PesoCDT*TModelo[[#This Row],[Outflow]])</f>
        <v>12431665.335615207</v>
      </c>
      <c r="Y41" s="24">
        <f>TModelo[[#This Row],[Act]]*(TModelo[[#This Row],[IniCOLCAP]]+TModelo[[#This Row],[IntCOLCAP]]+PesoCOLCAP*TModelo[[#This Row],[Outflow]])</f>
        <v>5166345.2103006933</v>
      </c>
      <c r="Z41" s="24">
        <f>TModelo[[#This Row],[Act]]*(TModelo[[#This Row],[IniUSD]]+TModelo[[#This Row],[IntUSD]]+PesoUSD*TModelo[[#This Row],[Outflow]])</f>
        <v>3084547.3292062986</v>
      </c>
      <c r="AA41" s="24">
        <f>TModelo[[#This Row],[BalCDT]]+TModelo[[#This Row],[BalCOLCAP]]+TModelo[[#This Row],[BalUSD]]</f>
        <v>20682557.875122201</v>
      </c>
      <c r="AB41" s="24">
        <f>IF(TModelo[[#This Row],[CumInfl]]&gt;0,TModelo[[#This Row],[TotalPreLiq]]/TModelo[[#This Row],[CumInfl]],0)</f>
        <v>19799999.266479883</v>
      </c>
      <c r="AC41" s="41">
        <f>(1+PerRate)^(-TModelo[[#This Row],[Period]])</f>
        <v>0.89664257681806903</v>
      </c>
      <c r="AD41" s="42">
        <f>TModelo[[#This Row],[NetCF]]*TModelo[[#This Row],[fd]]</f>
        <v>-934223.48414192826</v>
      </c>
    </row>
    <row r="42" spans="2:30" ht="16.95" customHeight="1">
      <c r="B42" s="11">
        <v>15</v>
      </c>
      <c r="C42" s="25">
        <f>EDATE(FechaInicio,TModelo[[#This Row],[Period]])</f>
        <v>46750</v>
      </c>
      <c r="D42" s="11">
        <f>IF(AND(TModelo[[#This Row],[Period]]&gt;=1,TModelo[[#This Row],[Period]]&lt;=HorizonteMeses),1,0)</f>
        <v>1</v>
      </c>
      <c r="E42" s="40">
        <f>TModelo[[#This Row],[Act]]*(INFb+(INFpi0-INFb)*(1-INFa)^TModelo[[#This Row],[Period]])</f>
        <v>2.5349090396785032E-3</v>
      </c>
      <c r="F42" s="28">
        <f>IF(TModelo[[#This Row],[Period]]&lt;=HorizonteMeses,F41*(1+TModelo[[#This Row],[InflMes]]),0)</f>
        <v>1.0472215679899801</v>
      </c>
      <c r="G42" s="21">
        <f>TModelo[[#This Row],[Act]]*(CDTb+(CDTx0-CDTb)*(1-CDTa)^TModelo[[#This Row],[Period]]+CDTspread)</f>
        <v>0.13082861450475514</v>
      </c>
      <c r="H42" s="40">
        <f>TModelo[[#This Row],[Act]]*((1+TModelo[[#This Row],[TasaCDT]])^(1/12)-1)*(1-Retencion)</f>
        <v>9.886614172829624E-3</v>
      </c>
      <c r="I42" s="40">
        <f>TModelo[[#This Row],[Act]]*(EXP(MuCOLCAP+SigmaCOLCAP^2/2)-1)</f>
        <v>7.1281059265766444E-3</v>
      </c>
      <c r="J42" s="40">
        <f>TModelo[[#This Row],[Act]]*(EXP(MuTRM+SigmaTRM^2/2)-1)</f>
        <v>1.9069525320893899E-3</v>
      </c>
      <c r="K42" s="11">
        <f>TModelo[[#This Row],[Act]]*IF(Rebalanceo="Mensual",1,IF(Rebalanceo="Anual",IF(MOD(TModelo[[#This Row],[Period]]-1,12)=0,1,0),0))</f>
        <v>1</v>
      </c>
      <c r="L42" s="24">
        <f>TModelo[[#This Row],[Act]]*AporteMensual*IF(CrecimientoAporte="Con IPC",F41,1)</f>
        <v>1044573.6687544445</v>
      </c>
      <c r="M42" s="24">
        <f>IF(TModelo[[#This Row],[Period]]=HorizonteMeses,TModelo[[#This Row],[TotalPreLiq]],0)</f>
        <v>0</v>
      </c>
      <c r="N42" s="24">
        <f>TModelo[[#This Row],[Inflow]]-TModelo[[#This Row],[Outflow]]</f>
        <v>-1044573.6687544445</v>
      </c>
      <c r="O42" s="24">
        <f t="shared" si="0"/>
        <v>20682557.875122204</v>
      </c>
      <c r="P42" s="24">
        <f>TModelo[[#This Row],[IntCDT]]+TModelo[[#This Row],[IntCOLCAP]]+TModelo[[#This Row],[IntUSD]]</f>
        <v>165461.24614924446</v>
      </c>
      <c r="Q42" s="24">
        <f>TModelo[[#This Row],[InitialBalance]]+TModelo[[#This Row],[Interest]]+TModelo[[#This Row],[Outflow]]-TModelo[[#This Row],[Inflow]]</f>
        <v>21892592.790025894</v>
      </c>
      <c r="R42" s="24">
        <f>TModelo[[#This Row],[Act]]*IF(TModelo[[#This Row],[Rebal]]=1,PesoCDT*(X41+Y41+Z41),X41)</f>
        <v>12409534.725073321</v>
      </c>
      <c r="S42" s="24">
        <f>TModelo[[#This Row],[Act]]*IF(TModelo[[#This Row],[Rebal]]=1,PesoCOLCAP*(X41+Y41+Z41),Y41)</f>
        <v>5170639.4687805502</v>
      </c>
      <c r="T42" s="24">
        <f>TModelo[[#This Row],[Act]]*IF(TModelo[[#This Row],[Rebal]]=1,PesoUSD*(X41+Y41+Z41),Z41)</f>
        <v>3102383.6812683302</v>
      </c>
      <c r="U42" s="24">
        <f>TModelo[[#This Row],[IniCDT]]*TModelo[[#This Row],[RetCDT]]</f>
        <v>122688.28189113126</v>
      </c>
      <c r="V42" s="24">
        <f>TModelo[[#This Row],[IniCOLCAP]]*TModelo[[#This Row],[RetCOLCAP]]</f>
        <v>36856.865841605751</v>
      </c>
      <c r="W42" s="24">
        <f>TModelo[[#This Row],[IniUSD]]*TModelo[[#This Row],[RetUSD]]</f>
        <v>5916.0984165074451</v>
      </c>
      <c r="X42" s="24">
        <f>TModelo[[#This Row],[Act]]*(TModelo[[#This Row],[IniCDT]]+TModelo[[#This Row],[IntCDT]]+PesoCDT*TModelo[[#This Row],[Outflow]])</f>
        <v>13158967.20821712</v>
      </c>
      <c r="Y42" s="24">
        <f>TModelo[[#This Row],[Act]]*(TModelo[[#This Row],[IniCOLCAP]]+TModelo[[#This Row],[IntCOLCAP]]+PesoCOLCAP*TModelo[[#This Row],[Outflow]])</f>
        <v>5468639.7518107668</v>
      </c>
      <c r="Z42" s="24">
        <f>TModelo[[#This Row],[Act]]*(TModelo[[#This Row],[IniUSD]]+TModelo[[#This Row],[IntUSD]]+PesoUSD*TModelo[[#This Row],[Outflow]])</f>
        <v>3264985.8299980043</v>
      </c>
      <c r="AA42" s="24">
        <f>TModelo[[#This Row],[BalCDT]]+TModelo[[#This Row],[BalCOLCAP]]+TModelo[[#This Row],[BalUSD]]</f>
        <v>21892592.790025894</v>
      </c>
      <c r="AB42" s="24">
        <f>IF(TModelo[[#This Row],[CumInfl]]&gt;0,TModelo[[#This Row],[TotalPreLiq]]/TModelo[[#This Row],[CumInfl]],0)</f>
        <v>20905406.705904823</v>
      </c>
      <c r="AC42" s="41">
        <f>(1+PerRate)^(-TModelo[[#This Row],[Period]])</f>
        <v>0.88968245420730396</v>
      </c>
      <c r="AD42" s="42">
        <f>TModelo[[#This Row],[NetCF]]*TModelo[[#This Row],[fd]]</f>
        <v>-929338.86521778151</v>
      </c>
    </row>
    <row r="43" spans="2:30" ht="16.95" customHeight="1">
      <c r="B43" s="11">
        <v>16</v>
      </c>
      <c r="C43" s="25">
        <f>EDATE(FechaInicio,TModelo[[#This Row],[Period]])</f>
        <v>46781</v>
      </c>
      <c r="D43" s="11">
        <f>IF(AND(TModelo[[#This Row],[Period]]&gt;=1,TModelo[[#This Row],[Period]]&lt;=HorizonteMeses),1,0)</f>
        <v>1</v>
      </c>
      <c r="E43" s="40">
        <f>TModelo[[#This Row],[Act]]*(INFb+(INFpi0-INFb)*(1-INFa)^TModelo[[#This Row],[Period]])</f>
        <v>2.5201465890122322E-3</v>
      </c>
      <c r="F43" s="28">
        <f>IF(TModelo[[#This Row],[Period]]&lt;=HorizonteMeses,F42*(1+TModelo[[#This Row],[InflMes]]),0)</f>
        <v>1.0498607198524903</v>
      </c>
      <c r="G43" s="21">
        <f>TModelo[[#This Row],[Act]]*(CDTb+(CDTx0-CDTb)*(1-CDTa)^TModelo[[#This Row],[Period]]+CDTspread)</f>
        <v>0.13060732647714171</v>
      </c>
      <c r="H43" s="40">
        <f>TModelo[[#This Row],[Act]]*((1+TModelo[[#This Row],[TasaCDT]])^(1/12)-1)*(1-Retencion)</f>
        <v>9.8707966014561777E-3</v>
      </c>
      <c r="I43" s="40">
        <f>TModelo[[#This Row],[Act]]*(EXP(MuCOLCAP+SigmaCOLCAP^2/2)-1)</f>
        <v>7.1281059265766444E-3</v>
      </c>
      <c r="J43" s="40">
        <f>TModelo[[#This Row],[Act]]*(EXP(MuTRM+SigmaTRM^2/2)-1)</f>
        <v>1.9069525320893899E-3</v>
      </c>
      <c r="K43" s="11">
        <f>TModelo[[#This Row],[Act]]*IF(Rebalanceo="Mensual",1,IF(Rebalanceo="Anual",IF(MOD(TModelo[[#This Row],[Period]]-1,12)=0,1,0),0))</f>
        <v>1</v>
      </c>
      <c r="L43" s="24">
        <f>TModelo[[#This Row],[Act]]*AporteMensual*IF(CrecimientoAporte="Con IPC",F42,1)</f>
        <v>1047221.5679899801</v>
      </c>
      <c r="M43" s="24">
        <f>IF(TModelo[[#This Row],[Period]]=HorizonteMeses,TModelo[[#This Row],[TotalPreLiq]],0)</f>
        <v>0</v>
      </c>
      <c r="N43" s="24">
        <f>TModelo[[#This Row],[Inflow]]-TModelo[[#This Row],[Outflow]]</f>
        <v>-1047221.5679899801</v>
      </c>
      <c r="O43" s="24">
        <f t="shared" si="0"/>
        <v>21892592.790025894</v>
      </c>
      <c r="P43" s="24">
        <f>TModelo[[#This Row],[IntCDT]]+TModelo[[#This Row],[IntCOLCAP]]+TModelo[[#This Row],[IntUSD]]</f>
        <v>174933.79869723041</v>
      </c>
      <c r="Q43" s="24">
        <f>TModelo[[#This Row],[InitialBalance]]+TModelo[[#This Row],[Interest]]+TModelo[[#This Row],[Outflow]]-TModelo[[#This Row],[Inflow]]</f>
        <v>23114748.156713102</v>
      </c>
      <c r="R43" s="24">
        <f>TModelo[[#This Row],[Act]]*IF(TModelo[[#This Row],[Rebal]]=1,PesoCDT*(X42+Y42+Z42),X42)</f>
        <v>13135555.674015535</v>
      </c>
      <c r="S43" s="24">
        <f>TModelo[[#This Row],[Act]]*IF(TModelo[[#This Row],[Rebal]]=1,PesoCOLCAP*(X42+Y42+Z42),Y42)</f>
        <v>5473148.1975064734</v>
      </c>
      <c r="T43" s="24">
        <f>TModelo[[#This Row],[Act]]*IF(TModelo[[#This Row],[Rebal]]=1,PesoUSD*(X42+Y42+Z42),Z42)</f>
        <v>3283888.9185038838</v>
      </c>
      <c r="U43" s="24">
        <f>TModelo[[#This Row],[IniCDT]]*TModelo[[#This Row],[RetCDT]]</f>
        <v>129658.39830531096</v>
      </c>
      <c r="V43" s="24">
        <f>TModelo[[#This Row],[IniCOLCAP]]*TModelo[[#This Row],[RetCOLCAP]]</f>
        <v>39013.180103678169</v>
      </c>
      <c r="W43" s="24">
        <f>TModelo[[#This Row],[IniUSD]]*TModelo[[#This Row],[RetUSD]]</f>
        <v>6262.2202882412694</v>
      </c>
      <c r="X43" s="24">
        <f>TModelo[[#This Row],[Act]]*(TModelo[[#This Row],[IniCDT]]+TModelo[[#This Row],[IntCDT]]+PesoCDT*TModelo[[#This Row],[Outflow]])</f>
        <v>13893547.013114834</v>
      </c>
      <c r="Y43" s="24">
        <f>TModelo[[#This Row],[Act]]*(TModelo[[#This Row],[IniCOLCAP]]+TModelo[[#This Row],[IntCOLCAP]]+PesoCOLCAP*TModelo[[#This Row],[Outflow]])</f>
        <v>5773966.7696076464</v>
      </c>
      <c r="Z43" s="24">
        <f>TModelo[[#This Row],[Act]]*(TModelo[[#This Row],[IniUSD]]+TModelo[[#This Row],[IntUSD]]+PesoUSD*TModelo[[#This Row],[Outflow]])</f>
        <v>3447234.3739906219</v>
      </c>
      <c r="AA43" s="24">
        <f>TModelo[[#This Row],[BalCDT]]+TModelo[[#This Row],[BalCOLCAP]]+TModelo[[#This Row],[BalUSD]]</f>
        <v>23114748.156713102</v>
      </c>
      <c r="AB43" s="24">
        <f>IF(TModelo[[#This Row],[CumInfl]]&gt;0,TModelo[[#This Row],[TotalPreLiq]]/TModelo[[#This Row],[CumInfl]],0)</f>
        <v>22016966.364796292</v>
      </c>
      <c r="AC43" s="41">
        <f>(1+PerRate)^(-TModelo[[#This Row],[Period]])</f>
        <v>0.88277635904070606</v>
      </c>
      <c r="AD43" s="42">
        <f>TModelo[[#This Row],[NetCF]]*TModelo[[#This Row],[fd]]</f>
        <v>-924462.44289909385</v>
      </c>
    </row>
    <row r="44" spans="2:30" ht="16.95" customHeight="1">
      <c r="B44" s="11">
        <v>17</v>
      </c>
      <c r="C44" s="25">
        <f>EDATE(FechaInicio,TModelo[[#This Row],[Period]])</f>
        <v>46812</v>
      </c>
      <c r="D44" s="11">
        <f>IF(AND(TModelo[[#This Row],[Period]]&gt;=1,TModelo[[#This Row],[Period]]&lt;=HorizonteMeses),1,0)</f>
        <v>1</v>
      </c>
      <c r="E44" s="40">
        <f>TModelo[[#This Row],[Act]]*(INFb+(INFpi0-INFb)*(1-INFa)^TModelo[[#This Row],[Period]])</f>
        <v>2.5085591423634722E-3</v>
      </c>
      <c r="F44" s="28">
        <f>IF(TModelo[[#This Row],[Period]]&lt;=HorizonteMeses,F43*(1+TModelo[[#This Row],[InflMes]]),0)</f>
        <v>1.0524943575594845</v>
      </c>
      <c r="G44" s="21">
        <f>TModelo[[#This Row],[Act]]*(CDTb+(CDTx0-CDTb)*(1-CDTa)^TModelo[[#This Row],[Period]]+CDTspread)</f>
        <v>0.13038947983700572</v>
      </c>
      <c r="H44" s="40">
        <f>TModelo[[#This Row],[Act]]*((1+TModelo[[#This Row],[TasaCDT]])^(1/12)-1)*(1-Retencion)</f>
        <v>9.8552222466660299E-3</v>
      </c>
      <c r="I44" s="40">
        <f>TModelo[[#This Row],[Act]]*(EXP(MuCOLCAP+SigmaCOLCAP^2/2)-1)</f>
        <v>7.1281059265766444E-3</v>
      </c>
      <c r="J44" s="40">
        <f>TModelo[[#This Row],[Act]]*(EXP(MuTRM+SigmaTRM^2/2)-1)</f>
        <v>1.9069525320893899E-3</v>
      </c>
      <c r="K44" s="11">
        <f>TModelo[[#This Row],[Act]]*IF(Rebalanceo="Mensual",1,IF(Rebalanceo="Anual",IF(MOD(TModelo[[#This Row],[Period]]-1,12)=0,1,0),0))</f>
        <v>1</v>
      </c>
      <c r="L44" s="24">
        <f>TModelo[[#This Row],[Act]]*AporteMensual*IF(CrecimientoAporte="Con IPC",F43,1)</f>
        <v>1049860.7198524904</v>
      </c>
      <c r="M44" s="24">
        <f>IF(TModelo[[#This Row],[Period]]=HorizonteMeses,TModelo[[#This Row],[TotalPreLiq]],0)</f>
        <v>0</v>
      </c>
      <c r="N44" s="24">
        <f>TModelo[[#This Row],[Inflow]]-TModelo[[#This Row],[Outflow]]</f>
        <v>-1049860.7198524904</v>
      </c>
      <c r="O44" s="24">
        <f t="shared" si="0"/>
        <v>23114748.156713102</v>
      </c>
      <c r="P44" s="24">
        <f>TModelo[[#This Row],[IntCDT]]+TModelo[[#This Row],[IntCOLCAP]]+TModelo[[#This Row],[IntUSD]]</f>
        <v>184483.49061677913</v>
      </c>
      <c r="Q44" s="24">
        <f>TModelo[[#This Row],[InitialBalance]]+TModelo[[#This Row],[Interest]]+TModelo[[#This Row],[Outflow]]-TModelo[[#This Row],[Inflow]]</f>
        <v>24349092.367182374</v>
      </c>
      <c r="R44" s="24">
        <f>TModelo[[#This Row],[Act]]*IF(TModelo[[#This Row],[Rebal]]=1,PesoCDT*(X43+Y43+Z43),X43)</f>
        <v>13868848.894027861</v>
      </c>
      <c r="S44" s="24">
        <f>TModelo[[#This Row],[Act]]*IF(TModelo[[#This Row],[Rebal]]=1,PesoCOLCAP*(X43+Y43+Z43),Y43)</f>
        <v>5778687.0391782755</v>
      </c>
      <c r="T44" s="24">
        <f>TModelo[[#This Row],[Act]]*IF(TModelo[[#This Row],[Rebal]]=1,PesoUSD*(X43+Y43+Z43),Z43)</f>
        <v>3467212.2235069652</v>
      </c>
      <c r="U44" s="24">
        <f>TModelo[[#This Row],[IniCDT]]*TModelo[[#This Row],[RetCDT]]</f>
        <v>136680.58815607295</v>
      </c>
      <c r="V44" s="24">
        <f>TModelo[[#This Row],[IniCOLCAP]]*TModelo[[#This Row],[RetCOLCAP]]</f>
        <v>41191.093331798307</v>
      </c>
      <c r="W44" s="24">
        <f>TModelo[[#This Row],[IniUSD]]*TModelo[[#This Row],[RetUSD]]</f>
        <v>6611.8091289078911</v>
      </c>
      <c r="X44" s="24">
        <f>TModelo[[#This Row],[Act]]*(TModelo[[#This Row],[IniCDT]]+TModelo[[#This Row],[IntCDT]]+PesoCDT*TModelo[[#This Row],[Outflow]])</f>
        <v>14635445.914095428</v>
      </c>
      <c r="Y44" s="24">
        <f>TModelo[[#This Row],[Act]]*(TModelo[[#This Row],[IniCOLCAP]]+TModelo[[#This Row],[IntCOLCAP]]+PesoCOLCAP*TModelo[[#This Row],[Outflow]])</f>
        <v>6082343.3124731965</v>
      </c>
      <c r="Z44" s="24">
        <f>TModelo[[#This Row],[Act]]*(TModelo[[#This Row],[IniUSD]]+TModelo[[#This Row],[IntUSD]]+PesoUSD*TModelo[[#This Row],[Outflow]])</f>
        <v>3631303.1406137468</v>
      </c>
      <c r="AA44" s="24">
        <f>TModelo[[#This Row],[BalCDT]]+TModelo[[#This Row],[BalCOLCAP]]+TModelo[[#This Row],[BalUSD]]</f>
        <v>24349092.36718237</v>
      </c>
      <c r="AB44" s="24">
        <f>IF(TModelo[[#This Row],[CumInfl]]&gt;0,TModelo[[#This Row],[TotalPreLiq]]/TModelo[[#This Row],[CumInfl]],0)</f>
        <v>23134653.589633346</v>
      </c>
      <c r="AC44" s="41">
        <f>(1+PerRate)^(-TModelo[[#This Row],[Period]])</f>
        <v>0.8759238719341802</v>
      </c>
      <c r="AD44" s="42">
        <f>TModelo[[#This Row],[NetCF]]*TModelo[[#This Row],[fd]]</f>
        <v>-919598.06672479899</v>
      </c>
    </row>
    <row r="45" spans="2:30" ht="16.95" customHeight="1">
      <c r="B45" s="11">
        <v>18</v>
      </c>
      <c r="C45" s="25">
        <f>EDATE(FechaInicio,TModelo[[#This Row],[Period]])</f>
        <v>46841</v>
      </c>
      <c r="D45" s="11">
        <f>IF(AND(TModelo[[#This Row],[Period]]&gt;=1,TModelo[[#This Row],[Period]]&lt;=HorizonteMeses),1,0)</f>
        <v>1</v>
      </c>
      <c r="E45" s="40">
        <f>TModelo[[#This Row],[Act]]*(INFb+(INFpi0-INFb)*(1-INFa)^TModelo[[#This Row],[Period]])</f>
        <v>2.4994638422081517E-3</v>
      </c>
      <c r="F45" s="28">
        <f>IF(TModelo[[#This Row],[Period]]&lt;=HorizonteMeses,F44*(1+TModelo[[#This Row],[InflMes]]),0)</f>
        <v>1.0551250291503327</v>
      </c>
      <c r="G45" s="21">
        <f>TModelo[[#This Row],[Act]]*(CDTb+(CDTx0-CDTb)*(1-CDTa)^TModelo[[#This Row],[Period]]+CDTspread)</f>
        <v>0.13017502106519438</v>
      </c>
      <c r="H45" s="40">
        <f>TModelo[[#This Row],[Act]]*((1+TModelo[[#This Row],[TasaCDT]])^(1/12)-1)*(1-Retencion)</f>
        <v>9.8398874106113959E-3</v>
      </c>
      <c r="I45" s="40">
        <f>TModelo[[#This Row],[Act]]*(EXP(MuCOLCAP+SigmaCOLCAP^2/2)-1)</f>
        <v>7.1281059265766444E-3</v>
      </c>
      <c r="J45" s="40">
        <f>TModelo[[#This Row],[Act]]*(EXP(MuTRM+SigmaTRM^2/2)-1)</f>
        <v>1.9069525320893899E-3</v>
      </c>
      <c r="K45" s="11">
        <f>TModelo[[#This Row],[Act]]*IF(Rebalanceo="Mensual",1,IF(Rebalanceo="Anual",IF(MOD(TModelo[[#This Row],[Period]]-1,12)=0,1,0),0))</f>
        <v>1</v>
      </c>
      <c r="L45" s="24">
        <f>TModelo[[#This Row],[Act]]*AporteMensual*IF(CrecimientoAporte="Con IPC",F44,1)</f>
        <v>1052494.3575594844</v>
      </c>
      <c r="M45" s="24">
        <f>IF(TModelo[[#This Row],[Period]]=HorizonteMeses,TModelo[[#This Row],[TotalPreLiq]],0)</f>
        <v>0</v>
      </c>
      <c r="N45" s="24">
        <f>TModelo[[#This Row],[Inflow]]-TModelo[[#This Row],[Outflow]]</f>
        <v>-1052494.3575594844</v>
      </c>
      <c r="O45" s="24">
        <f t="shared" si="0"/>
        <v>24349092.367182374</v>
      </c>
      <c r="P45" s="24">
        <f>TModelo[[#This Row],[IntCDT]]+TModelo[[#This Row],[IntCOLCAP]]+TModelo[[#This Row],[IntUSD]]</f>
        <v>194111.00837006135</v>
      </c>
      <c r="Q45" s="24">
        <f>TModelo[[#This Row],[InitialBalance]]+TModelo[[#This Row],[Interest]]+TModelo[[#This Row],[Outflow]]-TModelo[[#This Row],[Inflow]]</f>
        <v>25595697.733111918</v>
      </c>
      <c r="R45" s="24">
        <f>TModelo[[#This Row],[Act]]*IF(TModelo[[#This Row],[Rebal]]=1,PesoCDT*(X44+Y44+Z44),X44)</f>
        <v>14609455.420309423</v>
      </c>
      <c r="S45" s="24">
        <f>TModelo[[#This Row],[Act]]*IF(TModelo[[#This Row],[Rebal]]=1,PesoCOLCAP*(X44+Y44+Z44),Y44)</f>
        <v>6087273.0917955926</v>
      </c>
      <c r="T45" s="24">
        <f>TModelo[[#This Row],[Act]]*IF(TModelo[[#This Row],[Rebal]]=1,PesoUSD*(X44+Y44+Z44),Z44)</f>
        <v>3652363.8550773556</v>
      </c>
      <c r="U45" s="24">
        <f>TModelo[[#This Row],[IniCDT]]*TModelo[[#This Row],[RetCDT]]</f>
        <v>143755.3964661911</v>
      </c>
      <c r="V45" s="24">
        <f>TModelo[[#This Row],[IniCOLCAP]]*TModelo[[#This Row],[RetCOLCAP]]</f>
        <v>43390.727402318698</v>
      </c>
      <c r="W45" s="24">
        <f>TModelo[[#This Row],[IniUSD]]*TModelo[[#This Row],[RetUSD]]</f>
        <v>6964.884501551529</v>
      </c>
      <c r="X45" s="24">
        <f>TModelo[[#This Row],[Act]]*(TModelo[[#This Row],[IniCDT]]+TModelo[[#This Row],[IntCDT]]+PesoCDT*TModelo[[#This Row],[Outflow]])</f>
        <v>15384707.431311306</v>
      </c>
      <c r="Y45" s="24">
        <f>TModelo[[#This Row],[Act]]*(TModelo[[#This Row],[IniCOLCAP]]+TModelo[[#This Row],[IntCOLCAP]]+PesoCOLCAP*TModelo[[#This Row],[Outflow]])</f>
        <v>6393787.4085877817</v>
      </c>
      <c r="Z45" s="24">
        <f>TModelo[[#This Row],[Act]]*(TModelo[[#This Row],[IniUSD]]+TModelo[[#This Row],[IntUSD]]+PesoUSD*TModelo[[#This Row],[Outflow]])</f>
        <v>3817202.8932128302</v>
      </c>
      <c r="AA45" s="24">
        <f>TModelo[[#This Row],[BalCDT]]+TModelo[[#This Row],[BalCOLCAP]]+TModelo[[#This Row],[BalUSD]]</f>
        <v>25595697.733111914</v>
      </c>
      <c r="AB45" s="24">
        <f>IF(TModelo[[#This Row],[CumInfl]]&gt;0,TModelo[[#This Row],[TotalPreLiq]]/TModelo[[#This Row],[CumInfl]],0)</f>
        <v>24258449.971302003</v>
      </c>
      <c r="AC45" s="41">
        <f>(1+PerRate)^(-TModelo[[#This Row],[Period]])</f>
        <v>0.86912457675906962</v>
      </c>
      <c r="AD45" s="42">
        <f>TModelo[[#This Row],[NetCF]]*TModelo[[#This Row],[fd]]</f>
        <v>-914748.71305519575</v>
      </c>
    </row>
    <row r="46" spans="2:30" ht="16.95" customHeight="1">
      <c r="B46" s="11">
        <v>19</v>
      </c>
      <c r="C46" s="25">
        <f>EDATE(FechaInicio,TModelo[[#This Row],[Period]])</f>
        <v>46872</v>
      </c>
      <c r="D46" s="11">
        <f>IF(AND(TModelo[[#This Row],[Period]]&gt;=1,TModelo[[#This Row],[Period]]&lt;=HorizonteMeses),1,0)</f>
        <v>1</v>
      </c>
      <c r="E46" s="40">
        <f>TModelo[[#This Row],[Act]]*(INFb+(INFpi0-INFb)*(1-INFa)^TModelo[[#This Row],[Period]])</f>
        <v>2.4923246952137414E-3</v>
      </c>
      <c r="F46" s="28">
        <f>IF(TModelo[[#This Row],[Period]]&lt;=HorizonteMeses,F45*(1+TModelo[[#This Row],[InflMes]]),0)</f>
        <v>1.0577547433170222</v>
      </c>
      <c r="G46" s="21">
        <f>TModelo[[#This Row],[Act]]*(CDTb+(CDTx0-CDTb)*(1-CDTa)^TModelo[[#This Row],[Period]]+CDTspread)</f>
        <v>0.12996389747486439</v>
      </c>
      <c r="H46" s="40">
        <f>TModelo[[#This Row],[Act]]*((1+TModelo[[#This Row],[TasaCDT]])^(1/12)-1)*(1-Retencion)</f>
        <v>9.8247884503872025E-3</v>
      </c>
      <c r="I46" s="40">
        <f>TModelo[[#This Row],[Act]]*(EXP(MuCOLCAP+SigmaCOLCAP^2/2)-1)</f>
        <v>7.1281059265766444E-3</v>
      </c>
      <c r="J46" s="40">
        <f>TModelo[[#This Row],[Act]]*(EXP(MuTRM+SigmaTRM^2/2)-1)</f>
        <v>1.9069525320893899E-3</v>
      </c>
      <c r="K46" s="11">
        <f>TModelo[[#This Row],[Act]]*IF(Rebalanceo="Mensual",1,IF(Rebalanceo="Anual",IF(MOD(TModelo[[#This Row],[Period]]-1,12)=0,1,0),0))</f>
        <v>1</v>
      </c>
      <c r="L46" s="24">
        <f>TModelo[[#This Row],[Act]]*AporteMensual*IF(CrecimientoAporte="Con IPC",F45,1)</f>
        <v>1055125.0291503328</v>
      </c>
      <c r="M46" s="24">
        <f>IF(TModelo[[#This Row],[Period]]=HorizonteMeses,TModelo[[#This Row],[TotalPreLiq]],0)</f>
        <v>0</v>
      </c>
      <c r="N46" s="24">
        <f>TModelo[[#This Row],[Inflow]]-TModelo[[#This Row],[Outflow]]</f>
        <v>-1055125.0291503328</v>
      </c>
      <c r="O46" s="24">
        <f t="shared" si="0"/>
        <v>25595697.733111918</v>
      </c>
      <c r="P46" s="24">
        <f>TModelo[[#This Row],[IntCDT]]+TModelo[[#This Row],[IntCOLCAP]]+TModelo[[#This Row],[IntUSD]]</f>
        <v>203817.06754770561</v>
      </c>
      <c r="Q46" s="24">
        <f>TModelo[[#This Row],[InitialBalance]]+TModelo[[#This Row],[Interest]]+TModelo[[#This Row],[Outflow]]-TModelo[[#This Row],[Inflow]]</f>
        <v>26854639.829809956</v>
      </c>
      <c r="R46" s="24">
        <f>TModelo[[#This Row],[Act]]*IF(TModelo[[#This Row],[Rebal]]=1,PesoCDT*(X45+Y45+Z45),X45)</f>
        <v>15357418.639867147</v>
      </c>
      <c r="S46" s="24">
        <f>TModelo[[#This Row],[Act]]*IF(TModelo[[#This Row],[Rebal]]=1,PesoCOLCAP*(X45+Y45+Z45),Y45)</f>
        <v>6398924.4332779786</v>
      </c>
      <c r="T46" s="24">
        <f>TModelo[[#This Row],[Act]]*IF(TModelo[[#This Row],[Rebal]]=1,PesoUSD*(X45+Y45+Z45),Z45)</f>
        <v>3839354.6599667869</v>
      </c>
      <c r="U46" s="24">
        <f>TModelo[[#This Row],[IniCDT]]*TModelo[[#This Row],[RetCDT]]</f>
        <v>150883.38928072789</v>
      </c>
      <c r="V46" s="24">
        <f>TModelo[[#This Row],[IniCOLCAP]]*TModelo[[#This Row],[RetCOLCAP]]</f>
        <v>45612.211176564851</v>
      </c>
      <c r="W46" s="24">
        <f>TModelo[[#This Row],[IniUSD]]*TModelo[[#This Row],[RetUSD]]</f>
        <v>7321.4670904128625</v>
      </c>
      <c r="X46" s="24">
        <f>TModelo[[#This Row],[Act]]*(TModelo[[#This Row],[IniCDT]]+TModelo[[#This Row],[IntCDT]]+PesoCDT*TModelo[[#This Row],[Outflow]])</f>
        <v>16141377.046638073</v>
      </c>
      <c r="Y46" s="24">
        <f>TModelo[[#This Row],[Act]]*(TModelo[[#This Row],[IniCOLCAP]]+TModelo[[#This Row],[IntCOLCAP]]+PesoCOLCAP*TModelo[[#This Row],[Outflow]])</f>
        <v>6708317.9017421268</v>
      </c>
      <c r="Z46" s="24">
        <f>TModelo[[#This Row],[Act]]*(TModelo[[#This Row],[IniUSD]]+TModelo[[#This Row],[IntUSD]]+PesoUSD*TModelo[[#This Row],[Outflow]])</f>
        <v>4004944.8814297495</v>
      </c>
      <c r="AA46" s="24">
        <f>TModelo[[#This Row],[BalCDT]]+TModelo[[#This Row],[BalCOLCAP]]+TModelo[[#This Row],[BalUSD]]</f>
        <v>26854639.829809953</v>
      </c>
      <c r="AB46" s="24">
        <f>IF(TModelo[[#This Row],[CumInfl]]&gt;0,TModelo[[#This Row],[TotalPreLiq]]/TModelo[[#This Row],[CumInfl]],0)</f>
        <v>25388342.618626561</v>
      </c>
      <c r="AC46" s="41">
        <f>(1+PerRate)^(-TModelo[[#This Row],[Period]])</f>
        <v>0.86237806061688582</v>
      </c>
      <c r="AD46" s="42">
        <f>TModelo[[#This Row],[NetCF]]*TModelo[[#This Row],[fd]]</f>
        <v>-909916.67634699913</v>
      </c>
    </row>
    <row r="47" spans="2:30" ht="16.95" customHeight="1">
      <c r="B47" s="11">
        <v>20</v>
      </c>
      <c r="C47" s="25">
        <f>EDATE(FechaInicio,TModelo[[#This Row],[Period]])</f>
        <v>46902</v>
      </c>
      <c r="D47" s="11">
        <f>IF(AND(TModelo[[#This Row],[Period]]&gt;=1,TModelo[[#This Row],[Period]]&lt;=HorizonteMeses),1,0)</f>
        <v>1</v>
      </c>
      <c r="E47" s="40">
        <f>TModelo[[#This Row],[Act]]*(INFb+(INFpi0-INFb)*(1-INFa)^TModelo[[#This Row],[Period]])</f>
        <v>2.4867209857223098E-3</v>
      </c>
      <c r="F47" s="28">
        <f>IF(TModelo[[#This Row],[Period]]&lt;=HorizonteMeses,F46*(1+TModelo[[#This Row],[InflMes]]),0)</f>
        <v>1.0603850842349758</v>
      </c>
      <c r="G47" s="21">
        <f>TModelo[[#This Row],[Act]]*(CDTb+(CDTx0-CDTb)*(1-CDTa)^TModelo[[#This Row],[Period]]+CDTspread)</f>
        <v>0.1297560571985383</v>
      </c>
      <c r="H47" s="40">
        <f>TModelo[[#This Row],[Act]]*((1+TModelo[[#This Row],[TasaCDT]])^(1/12)-1)*(1-Retencion)</f>
        <v>9.8099217772536912E-3</v>
      </c>
      <c r="I47" s="40">
        <f>TModelo[[#This Row],[Act]]*(EXP(MuCOLCAP+SigmaCOLCAP^2/2)-1)</f>
        <v>7.1281059265766444E-3</v>
      </c>
      <c r="J47" s="40">
        <f>TModelo[[#This Row],[Act]]*(EXP(MuTRM+SigmaTRM^2/2)-1)</f>
        <v>1.9069525320893899E-3</v>
      </c>
      <c r="K47" s="11">
        <f>TModelo[[#This Row],[Act]]*IF(Rebalanceo="Mensual",1,IF(Rebalanceo="Anual",IF(MOD(TModelo[[#This Row],[Period]]-1,12)=0,1,0),0))</f>
        <v>1</v>
      </c>
      <c r="L47" s="24">
        <f>TModelo[[#This Row],[Act]]*AporteMensual*IF(CrecimientoAporte="Con IPC",F46,1)</f>
        <v>1057754.7433170222</v>
      </c>
      <c r="M47" s="24">
        <f>IF(TModelo[[#This Row],[Period]]=HorizonteMeses,TModelo[[#This Row],[TotalPreLiq]],0)</f>
        <v>0</v>
      </c>
      <c r="N47" s="24">
        <f>TModelo[[#This Row],[Inflow]]-TModelo[[#This Row],[Outflow]]</f>
        <v>-1057754.7433170222</v>
      </c>
      <c r="O47" s="24">
        <f t="shared" si="0"/>
        <v>26854639.829809956</v>
      </c>
      <c r="P47" s="24">
        <f>TModelo[[#This Row],[IntCDT]]+TModelo[[#This Row],[IntCOLCAP]]+TModelo[[#This Row],[IntUSD]]</f>
        <v>213602.40749706229</v>
      </c>
      <c r="Q47" s="24">
        <f>TModelo[[#This Row],[InitialBalance]]+TModelo[[#This Row],[Interest]]+TModelo[[#This Row],[Outflow]]-TModelo[[#This Row],[Inflow]]</f>
        <v>28125996.980624042</v>
      </c>
      <c r="R47" s="24">
        <f>TModelo[[#This Row],[Act]]*IF(TModelo[[#This Row],[Rebal]]=1,PesoCDT*(X46+Y46+Z46),X46)</f>
        <v>16112783.897885971</v>
      </c>
      <c r="S47" s="24">
        <f>TModelo[[#This Row],[Act]]*IF(TModelo[[#This Row],[Rebal]]=1,PesoCOLCAP*(X46+Y46+Z46),Y46)</f>
        <v>6713659.9574524881</v>
      </c>
      <c r="T47" s="24">
        <f>TModelo[[#This Row],[Act]]*IF(TModelo[[#This Row],[Rebal]]=1,PesoUSD*(X46+Y46+Z46),Z46)</f>
        <v>4028195.9744714927</v>
      </c>
      <c r="U47" s="24">
        <f>TModelo[[#This Row],[IniCDT]]*TModelo[[#This Row],[RetCDT]]</f>
        <v>158065.14965205421</v>
      </c>
      <c r="V47" s="24">
        <f>TModelo[[#This Row],[IniCOLCAP]]*TModelo[[#This Row],[RetCOLCAP]]</f>
        <v>47855.679331737381</v>
      </c>
      <c r="W47" s="24">
        <f>TModelo[[#This Row],[IniUSD]]*TModelo[[#This Row],[RetUSD]]</f>
        <v>7681.5785132707006</v>
      </c>
      <c r="X47" s="24">
        <f>TModelo[[#This Row],[Act]]*(TModelo[[#This Row],[IniCDT]]+TModelo[[#This Row],[IntCDT]]+PesoCDT*TModelo[[#This Row],[Outflow]])</f>
        <v>16905501.893528238</v>
      </c>
      <c r="Y47" s="24">
        <f>TModelo[[#This Row],[Act]]*(TModelo[[#This Row],[IniCOLCAP]]+TModelo[[#This Row],[IntCOLCAP]]+PesoCOLCAP*TModelo[[#This Row],[Outflow]])</f>
        <v>7025954.3226134814</v>
      </c>
      <c r="Z47" s="24">
        <f>TModelo[[#This Row],[Act]]*(TModelo[[#This Row],[IniUSD]]+TModelo[[#This Row],[IntUSD]]+PesoUSD*TModelo[[#This Row],[Outflow]])</f>
        <v>4194540.7644823166</v>
      </c>
      <c r="AA47" s="24">
        <f>TModelo[[#This Row],[BalCDT]]+TModelo[[#This Row],[BalCOLCAP]]+TModelo[[#This Row],[BalUSD]]</f>
        <v>28125996.980624035</v>
      </c>
      <c r="AB47" s="24">
        <f>IF(TModelo[[#This Row],[CumInfl]]&gt;0,TModelo[[#This Row],[TotalPreLiq]]/TModelo[[#This Row],[CumInfl]],0)</f>
        <v>26524323.473406631</v>
      </c>
      <c r="AC47" s="41">
        <f>(1+PerRate)^(-TModelo[[#This Row],[Period]])</f>
        <v>0.85568391381423514</v>
      </c>
      <c r="AD47" s="42">
        <f>TModelo[[#This Row],[NetCF]]*TModelo[[#This Row],[fd]]</f>
        <v>-905103.71861708129</v>
      </c>
    </row>
    <row r="48" spans="2:30" ht="16.95" customHeight="1">
      <c r="B48" s="11">
        <v>21</v>
      </c>
      <c r="C48" s="25">
        <f>EDATE(FechaInicio,TModelo[[#This Row],[Period]])</f>
        <v>46933</v>
      </c>
      <c r="D48" s="11">
        <f>IF(AND(TModelo[[#This Row],[Period]]&gt;=1,TModelo[[#This Row],[Period]]&lt;=HorizonteMeses),1,0)</f>
        <v>1</v>
      </c>
      <c r="E48" s="40">
        <f>TModelo[[#This Row],[Act]]*(INFb+(INFpi0-INFb)*(1-INFa)^TModelo[[#This Row],[Period]])</f>
        <v>2.482322482639385E-3</v>
      </c>
      <c r="F48" s="28">
        <f>IF(TModelo[[#This Row],[Period]]&lt;=HorizonteMeses,F47*(1+TModelo[[#This Row],[InflMes]]),0)</f>
        <v>1.0630173019698277</v>
      </c>
      <c r="G48" s="21">
        <f>TModelo[[#This Row],[Act]]*(CDTb+(CDTx0-CDTb)*(1-CDTa)^TModelo[[#This Row],[Period]]+CDTspread)</f>
        <v>0.12955144917536199</v>
      </c>
      <c r="H48" s="40">
        <f>TModelo[[#This Row],[Act]]*((1+TModelo[[#This Row],[TasaCDT]])^(1/12)-1)*(1-Retencion)</f>
        <v>9.7952838558690303E-3</v>
      </c>
      <c r="I48" s="40">
        <f>TModelo[[#This Row],[Act]]*(EXP(MuCOLCAP+SigmaCOLCAP^2/2)-1)</f>
        <v>7.1281059265766444E-3</v>
      </c>
      <c r="J48" s="40">
        <f>TModelo[[#This Row],[Act]]*(EXP(MuTRM+SigmaTRM^2/2)-1)</f>
        <v>1.9069525320893899E-3</v>
      </c>
      <c r="K48" s="11">
        <f>TModelo[[#This Row],[Act]]*IF(Rebalanceo="Mensual",1,IF(Rebalanceo="Anual",IF(MOD(TModelo[[#This Row],[Period]]-1,12)=0,1,0),0))</f>
        <v>1</v>
      </c>
      <c r="L48" s="24">
        <f>TModelo[[#This Row],[Act]]*AporteMensual*IF(CrecimientoAporte="Con IPC",F47,1)</f>
        <v>1060385.0842349757</v>
      </c>
      <c r="M48" s="24">
        <f>IF(TModelo[[#This Row],[Period]]=HorizonteMeses,TModelo[[#This Row],[TotalPreLiq]],0)</f>
        <v>0</v>
      </c>
      <c r="N48" s="24">
        <f>TModelo[[#This Row],[Inflow]]-TModelo[[#This Row],[Outflow]]</f>
        <v>-1060385.0842349757</v>
      </c>
      <c r="O48" s="24">
        <f t="shared" si="0"/>
        <v>28125996.980624042</v>
      </c>
      <c r="P48" s="24">
        <f>TModelo[[#This Row],[IntCDT]]+TModelo[[#This Row],[IntCOLCAP]]+TModelo[[#This Row],[IntUSD]]</f>
        <v>223467.78710879327</v>
      </c>
      <c r="Q48" s="24">
        <f>TModelo[[#This Row],[InitialBalance]]+TModelo[[#This Row],[Interest]]+TModelo[[#This Row],[Outflow]]-TModelo[[#This Row],[Inflow]]</f>
        <v>29409849.851967812</v>
      </c>
      <c r="R48" s="24">
        <f>TModelo[[#This Row],[Act]]*IF(TModelo[[#This Row],[Rebal]]=1,PesoCDT*(X47+Y47+Z47),X47)</f>
        <v>16875598.188374419</v>
      </c>
      <c r="S48" s="24">
        <f>TModelo[[#This Row],[Act]]*IF(TModelo[[#This Row],[Rebal]]=1,PesoCOLCAP*(X47+Y47+Z47),Y47)</f>
        <v>7031499.2451560088</v>
      </c>
      <c r="T48" s="24">
        <f>TModelo[[#This Row],[Act]]*IF(TModelo[[#This Row],[Rebal]]=1,PesoUSD*(X47+Y47+Z47),Z47)</f>
        <v>4218899.5470936047</v>
      </c>
      <c r="U48" s="24">
        <f>TModelo[[#This Row],[IniCDT]]*TModelo[[#This Row],[RetCDT]]</f>
        <v>165301.27449271659</v>
      </c>
      <c r="V48" s="24">
        <f>TModelo[[#This Row],[IniCOLCAP]]*TModelo[[#This Row],[RetCOLCAP]]</f>
        <v>50121.271442115751</v>
      </c>
      <c r="W48" s="24">
        <f>TModelo[[#This Row],[IniUSD]]*TModelo[[#This Row],[RetUSD]]</f>
        <v>8045.2411739609297</v>
      </c>
      <c r="X48" s="24">
        <f>TModelo[[#This Row],[Act]]*(TModelo[[#This Row],[IniCDT]]+TModelo[[#This Row],[IntCDT]]+PesoCDT*TModelo[[#This Row],[Outflow]])</f>
        <v>17677130.513408121</v>
      </c>
      <c r="Y48" s="24">
        <f>TModelo[[#This Row],[Act]]*(TModelo[[#This Row],[IniCOLCAP]]+TModelo[[#This Row],[IntCOLCAP]]+PesoCOLCAP*TModelo[[#This Row],[Outflow]])</f>
        <v>7346716.7876568679</v>
      </c>
      <c r="Z48" s="24">
        <f>TModelo[[#This Row],[Act]]*(TModelo[[#This Row],[IniUSD]]+TModelo[[#This Row],[IntUSD]]+PesoUSD*TModelo[[#This Row],[Outflow]])</f>
        <v>4386002.5509028118</v>
      </c>
      <c r="AA48" s="24">
        <f>TModelo[[#This Row],[BalCDT]]+TModelo[[#This Row],[BalCOLCAP]]+TModelo[[#This Row],[BalUSD]]</f>
        <v>29409849.851967804</v>
      </c>
      <c r="AB48" s="24">
        <f>IF(TModelo[[#This Row],[CumInfl]]&gt;0,TModelo[[#This Row],[TotalPreLiq]]/TModelo[[#This Row],[CumInfl]],0)</f>
        <v>27666388.681980796</v>
      </c>
      <c r="AC48" s="41">
        <f>(1+PerRate)^(-TModelo[[#This Row],[Period]])</f>
        <v>0.84904172983793857</v>
      </c>
      <c r="AD48" s="42">
        <f>TModelo[[#This Row],[NetCF]]*TModelo[[#This Row],[fd]]</f>
        <v>-900311.18621321197</v>
      </c>
    </row>
    <row r="49" spans="2:30" ht="16.95" customHeight="1">
      <c r="B49" s="11">
        <v>22</v>
      </c>
      <c r="C49" s="25">
        <f>EDATE(FechaInicio,TModelo[[#This Row],[Period]])</f>
        <v>46963</v>
      </c>
      <c r="D49" s="11">
        <f>IF(AND(TModelo[[#This Row],[Period]]&gt;=1,TModelo[[#This Row],[Period]]&lt;=HorizonteMeses),1,0)</f>
        <v>1</v>
      </c>
      <c r="E49" s="40">
        <f>TModelo[[#This Row],[Act]]*(INFb+(INFpi0-INFb)*(1-INFa)^TModelo[[#This Row],[Period]])</f>
        <v>2.4788699786507185E-3</v>
      </c>
      <c r="F49" s="28">
        <f>IF(TModelo[[#This Row],[Period]]&lt;=HorizonteMeses,F48*(1+TModelo[[#This Row],[InflMes]]),0)</f>
        <v>1.0656523836464669</v>
      </c>
      <c r="G49" s="21">
        <f>TModelo[[#This Row],[Act]]*(CDTb+(CDTx0-CDTb)*(1-CDTa)^TModelo[[#This Row],[Period]]+CDTspread)</f>
        <v>0.12935002313856034</v>
      </c>
      <c r="H49" s="40">
        <f>TModelo[[#This Row],[Act]]*((1+TModelo[[#This Row],[TasaCDT]])^(1/12)-1)*(1-Retencion)</f>
        <v>9.7808712035317314E-3</v>
      </c>
      <c r="I49" s="40">
        <f>TModelo[[#This Row],[Act]]*(EXP(MuCOLCAP+SigmaCOLCAP^2/2)-1)</f>
        <v>7.1281059265766444E-3</v>
      </c>
      <c r="J49" s="40">
        <f>TModelo[[#This Row],[Act]]*(EXP(MuTRM+SigmaTRM^2/2)-1)</f>
        <v>1.9069525320893899E-3</v>
      </c>
      <c r="K49" s="11">
        <f>TModelo[[#This Row],[Act]]*IF(Rebalanceo="Mensual",1,IF(Rebalanceo="Anual",IF(MOD(TModelo[[#This Row],[Period]]-1,12)=0,1,0),0))</f>
        <v>1</v>
      </c>
      <c r="L49" s="24">
        <f>TModelo[[#This Row],[Act]]*AporteMensual*IF(CrecimientoAporte="Con IPC",F48,1)</f>
        <v>1063017.3019698276</v>
      </c>
      <c r="M49" s="24">
        <f>IF(TModelo[[#This Row],[Period]]=HorizonteMeses,TModelo[[#This Row],[TotalPreLiq]],0)</f>
        <v>0</v>
      </c>
      <c r="N49" s="24">
        <f>TModelo[[#This Row],[Inflow]]-TModelo[[#This Row],[Outflow]]</f>
        <v>-1063017.3019698276</v>
      </c>
      <c r="O49" s="24">
        <f t="shared" si="0"/>
        <v>29409849.851967812</v>
      </c>
      <c r="P49" s="24">
        <f>TModelo[[#This Row],[IntCDT]]+TModelo[[#This Row],[IntCOLCAP]]+TModelo[[#This Row],[IntUSD]]</f>
        <v>233413.98151430438</v>
      </c>
      <c r="Q49" s="24">
        <f>TModelo[[#This Row],[InitialBalance]]+TModelo[[#This Row],[Interest]]+TModelo[[#This Row],[Outflow]]-TModelo[[#This Row],[Inflow]]</f>
        <v>30706281.135451943</v>
      </c>
      <c r="R49" s="24">
        <f>TModelo[[#This Row],[Act]]*IF(TModelo[[#This Row],[Rebal]]=1,PesoCDT*(X48+Y48+Z48),X48)</f>
        <v>17645909.911180682</v>
      </c>
      <c r="S49" s="24">
        <f>TModelo[[#This Row],[Act]]*IF(TModelo[[#This Row],[Rebal]]=1,PesoCOLCAP*(X48+Y48+Z48),Y48)</f>
        <v>7352462.462991951</v>
      </c>
      <c r="T49" s="24">
        <f>TModelo[[#This Row],[Act]]*IF(TModelo[[#This Row],[Rebal]]=1,PesoUSD*(X48+Y48+Z48),Z48)</f>
        <v>4411477.4777951706</v>
      </c>
      <c r="U49" s="24">
        <f>TModelo[[#This Row],[IniCDT]]*TModelo[[#This Row],[RetCDT]]</f>
        <v>172592.3721103823</v>
      </c>
      <c r="V49" s="24">
        <f>TModelo[[#This Row],[IniCOLCAP]]*TModelo[[#This Row],[RetCOLCAP]]</f>
        <v>52409.131257385241</v>
      </c>
      <c r="W49" s="24">
        <f>TModelo[[#This Row],[IniUSD]]*TModelo[[#This Row],[RetUSD]]</f>
        <v>8412.478146536816</v>
      </c>
      <c r="X49" s="24">
        <f>TModelo[[#This Row],[Act]]*(TModelo[[#This Row],[IniCDT]]+TModelo[[#This Row],[IntCDT]]+PesoCDT*TModelo[[#This Row],[Outflow]])</f>
        <v>18456312.66447296</v>
      </c>
      <c r="Y49" s="24">
        <f>TModelo[[#This Row],[Act]]*(TModelo[[#This Row],[IniCOLCAP]]+TModelo[[#This Row],[IntCOLCAP]]+PesoCOLCAP*TModelo[[#This Row],[Outflow]])</f>
        <v>7670625.9197417926</v>
      </c>
      <c r="Z49" s="24">
        <f>TModelo[[#This Row],[Act]]*(TModelo[[#This Row],[IniUSD]]+TModelo[[#This Row],[IntUSD]]+PesoUSD*TModelo[[#This Row],[Outflow]])</f>
        <v>4579342.5512371818</v>
      </c>
      <c r="AA49" s="24">
        <f>TModelo[[#This Row],[BalCDT]]+TModelo[[#This Row],[BalCOLCAP]]+TModelo[[#This Row],[BalUSD]]</f>
        <v>30706281.135451935</v>
      </c>
      <c r="AB49" s="24">
        <f>IF(TModelo[[#This Row],[CumInfl]]&gt;0,TModelo[[#This Row],[TotalPreLiq]]/TModelo[[#This Row],[CumInfl]],0)</f>
        <v>28814538.030103847</v>
      </c>
      <c r="AC49" s="41">
        <f>(1+PerRate)^(-TModelo[[#This Row],[Period]])</f>
        <v>0.84245110533034628</v>
      </c>
      <c r="AD49" s="42">
        <f>TModelo[[#This Row],[NetCF]]*TModelo[[#This Row],[fd]]</f>
        <v>-895540.10102976381</v>
      </c>
    </row>
    <row r="50" spans="2:30" ht="16.95" customHeight="1">
      <c r="B50" s="11">
        <v>23</v>
      </c>
      <c r="C50" s="25">
        <f>EDATE(FechaInicio,TModelo[[#This Row],[Period]])</f>
        <v>46994</v>
      </c>
      <c r="D50" s="11">
        <f>IF(AND(TModelo[[#This Row],[Period]]&gt;=1,TModelo[[#This Row],[Period]]&lt;=HorizonteMeses),1,0)</f>
        <v>1</v>
      </c>
      <c r="E50" s="40">
        <f>TModelo[[#This Row],[Act]]*(INFb+(INFpi0-INFb)*(1-INFa)^TModelo[[#This Row],[Period]])</f>
        <v>2.4761600149273712E-3</v>
      </c>
      <c r="F50" s="28">
        <f>IF(TModelo[[#This Row],[Period]]&lt;=HorizonteMeses,F49*(1+TModelo[[#This Row],[InflMes]]),0)</f>
        <v>1.0682911094686645</v>
      </c>
      <c r="G50" s="21">
        <f>TModelo[[#This Row],[Act]]*(CDTb+(CDTx0-CDTb)*(1-CDTa)^TModelo[[#This Row],[Period]]+CDTspread)</f>
        <v>0.1291517296030881</v>
      </c>
      <c r="H50" s="40">
        <f>TModelo[[#This Row],[Act]]*((1+TModelo[[#This Row],[TasaCDT]])^(1/12)-1)*(1-Retencion)</f>
        <v>9.7666803894320246E-3</v>
      </c>
      <c r="I50" s="40">
        <f>TModelo[[#This Row],[Act]]*(EXP(MuCOLCAP+SigmaCOLCAP^2/2)-1)</f>
        <v>7.1281059265766444E-3</v>
      </c>
      <c r="J50" s="40">
        <f>TModelo[[#This Row],[Act]]*(EXP(MuTRM+SigmaTRM^2/2)-1)</f>
        <v>1.9069525320893899E-3</v>
      </c>
      <c r="K50" s="11">
        <f>TModelo[[#This Row],[Act]]*IF(Rebalanceo="Mensual",1,IF(Rebalanceo="Anual",IF(MOD(TModelo[[#This Row],[Period]]-1,12)=0,1,0),0))</f>
        <v>1</v>
      </c>
      <c r="L50" s="24">
        <f>TModelo[[#This Row],[Act]]*AporteMensual*IF(CrecimientoAporte="Con IPC",F49,1)</f>
        <v>1065652.3836464668</v>
      </c>
      <c r="M50" s="24">
        <f>IF(TModelo[[#This Row],[Period]]=HorizonteMeses,TModelo[[#This Row],[TotalPreLiq]],0)</f>
        <v>0</v>
      </c>
      <c r="N50" s="24">
        <f>TModelo[[#This Row],[Inflow]]-TModelo[[#This Row],[Outflow]]</f>
        <v>-1065652.3836464668</v>
      </c>
      <c r="O50" s="24">
        <f t="shared" si="0"/>
        <v>30706281.135451943</v>
      </c>
      <c r="P50" s="24">
        <f>TModelo[[#This Row],[IntCDT]]+TModelo[[#This Row],[IntCOLCAP]]+TModelo[[#This Row],[IntUSD]]</f>
        <v>243441.77949933367</v>
      </c>
      <c r="Q50" s="24">
        <f>TModelo[[#This Row],[InitialBalance]]+TModelo[[#This Row],[Interest]]+TModelo[[#This Row],[Outflow]]-TModelo[[#This Row],[Inflow]]</f>
        <v>32015375.298597742</v>
      </c>
      <c r="R50" s="24">
        <f>TModelo[[#This Row],[Act]]*IF(TModelo[[#This Row],[Rebal]]=1,PesoCDT*(X49+Y49+Z49),X49)</f>
        <v>18423768.681271162</v>
      </c>
      <c r="S50" s="24">
        <f>TModelo[[#This Row],[Act]]*IF(TModelo[[#This Row],[Rebal]]=1,PesoCOLCAP*(X49+Y49+Z49),Y49)</f>
        <v>7676570.2838629838</v>
      </c>
      <c r="T50" s="24">
        <f>TModelo[[#This Row],[Act]]*IF(TModelo[[#This Row],[Rebal]]=1,PesoUSD*(X49+Y49+Z49),Z49)</f>
        <v>4605942.1703177905</v>
      </c>
      <c r="U50" s="24">
        <f>TModelo[[#This Row],[IniCDT]]*TModelo[[#This Row],[RetCDT]]</f>
        <v>179939.06027880296</v>
      </c>
      <c r="V50" s="24">
        <f>TModelo[[#This Row],[IniCOLCAP]]*TModelo[[#This Row],[RetCOLCAP]]</f>
        <v>54719.406136185891</v>
      </c>
      <c r="W50" s="24">
        <f>TModelo[[#This Row],[IniUSD]]*TModelo[[#This Row],[RetUSD]]</f>
        <v>8783.3130843448107</v>
      </c>
      <c r="X50" s="24">
        <f>TModelo[[#This Row],[Act]]*(TModelo[[#This Row],[IniCDT]]+TModelo[[#This Row],[IntCDT]]+PesoCDT*TModelo[[#This Row],[Outflow]])</f>
        <v>19243099.171737846</v>
      </c>
      <c r="Y50" s="24">
        <f>TModelo[[#This Row],[Act]]*(TModelo[[#This Row],[IniCOLCAP]]+TModelo[[#This Row],[IntCOLCAP]]+PesoCOLCAP*TModelo[[#This Row],[Outflow]])</f>
        <v>7997702.7859107861</v>
      </c>
      <c r="Z50" s="24">
        <f>TModelo[[#This Row],[Act]]*(TModelo[[#This Row],[IniUSD]]+TModelo[[#This Row],[IntUSD]]+PesoUSD*TModelo[[#This Row],[Outflow]])</f>
        <v>4774573.3409491051</v>
      </c>
      <c r="AA50" s="24">
        <f>TModelo[[#This Row],[BalCDT]]+TModelo[[#This Row],[BalCOLCAP]]+TModelo[[#This Row],[BalUSD]]</f>
        <v>32015375.298597738</v>
      </c>
      <c r="AB50" s="24">
        <f>IF(TModelo[[#This Row],[CumInfl]]&gt;0,TModelo[[#This Row],[TotalPreLiq]]/TModelo[[#This Row],[CumInfl]],0)</f>
        <v>29968774.44250305</v>
      </c>
      <c r="AC50" s="41">
        <f>(1+PerRate)^(-TModelo[[#This Row],[Period]])</f>
        <v>0.8359116400648422</v>
      </c>
      <c r="AD50" s="42">
        <f>TModelo[[#This Row],[NetCF]]*TModelo[[#This Row],[fd]]</f>
        <v>-890791.23175292648</v>
      </c>
    </row>
    <row r="51" spans="2:30" ht="16.95" customHeight="1">
      <c r="B51" s="11">
        <v>24</v>
      </c>
      <c r="C51" s="25">
        <f>EDATE(FechaInicio,TModelo[[#This Row],[Period]])</f>
        <v>47025</v>
      </c>
      <c r="D51" s="11">
        <f>IF(AND(TModelo[[#This Row],[Period]]&gt;=1,TModelo[[#This Row],[Period]]&lt;=HorizonteMeses),1,0)</f>
        <v>1</v>
      </c>
      <c r="E51" s="40">
        <f>TModelo[[#This Row],[Act]]*(INFb+(INFpi0-INFb)*(1-INFa)^TModelo[[#This Row],[Period]])</f>
        <v>2.4740328911337511E-3</v>
      </c>
      <c r="F51" s="28">
        <f>IF(TModelo[[#This Row],[Period]]&lt;=HorizonteMeses,F50*(1+TModelo[[#This Row],[InflMes]]),0)</f>
        <v>1.0709340968107957</v>
      </c>
      <c r="G51" s="21">
        <f>TModelo[[#This Row],[Act]]*(CDTb+(CDTx0-CDTb)*(1-CDTa)^TModelo[[#This Row],[Period]]+CDTspread)</f>
        <v>0.1289565198534727</v>
      </c>
      <c r="H51" s="40">
        <f>TModelo[[#This Row],[Act]]*((1+TModelo[[#This Row],[TasaCDT]])^(1/12)-1)*(1-Retencion)</f>
        <v>9.7527080339136762E-3</v>
      </c>
      <c r="I51" s="40">
        <f>TModelo[[#This Row],[Act]]*(EXP(MuCOLCAP+SigmaCOLCAP^2/2)-1)</f>
        <v>7.1281059265766444E-3</v>
      </c>
      <c r="J51" s="40">
        <f>TModelo[[#This Row],[Act]]*(EXP(MuTRM+SigmaTRM^2/2)-1)</f>
        <v>1.9069525320893899E-3</v>
      </c>
      <c r="K51" s="11">
        <f>TModelo[[#This Row],[Act]]*IF(Rebalanceo="Mensual",1,IF(Rebalanceo="Anual",IF(MOD(TModelo[[#This Row],[Period]]-1,12)=0,1,0),0))</f>
        <v>1</v>
      </c>
      <c r="L51" s="24">
        <f>TModelo[[#This Row],[Act]]*AporteMensual*IF(CrecimientoAporte="Con IPC",F50,1)</f>
        <v>1068291.1094686645</v>
      </c>
      <c r="M51" s="24">
        <f>IF(TModelo[[#This Row],[Period]]=HorizonteMeses,TModelo[[#This Row],[TotalPreLiq]],0)</f>
        <v>0</v>
      </c>
      <c r="N51" s="24">
        <f>TModelo[[#This Row],[Inflow]]-TModelo[[#This Row],[Outflow]]</f>
        <v>-1068291.1094686645</v>
      </c>
      <c r="O51" s="24">
        <f t="shared" si="0"/>
        <v>32015375.298597742</v>
      </c>
      <c r="P51" s="24">
        <f>TModelo[[#This Row],[IntCDT]]+TModelo[[#This Row],[IntCOLCAP]]+TModelo[[#This Row],[IntUSD]]</f>
        <v>253551.98148063285</v>
      </c>
      <c r="Q51" s="24">
        <f>TModelo[[#This Row],[InitialBalance]]+TModelo[[#This Row],[Interest]]+TModelo[[#This Row],[Outflow]]-TModelo[[#This Row],[Inflow]]</f>
        <v>33337218.389547039</v>
      </c>
      <c r="R51" s="24">
        <f>TModelo[[#This Row],[Act]]*IF(TModelo[[#This Row],[Rebal]]=1,PesoCDT*(X50+Y50+Z50),X50)</f>
        <v>19209225.179158643</v>
      </c>
      <c r="S51" s="24">
        <f>TModelo[[#This Row],[Act]]*IF(TModelo[[#This Row],[Rebal]]=1,PesoCOLCAP*(X50+Y50+Z50),Y50)</f>
        <v>8003843.8246494345</v>
      </c>
      <c r="T51" s="24">
        <f>TModelo[[#This Row],[Act]]*IF(TModelo[[#This Row],[Rebal]]=1,PesoUSD*(X50+Y50+Z50),Z50)</f>
        <v>4802306.2947896607</v>
      </c>
      <c r="U51" s="24">
        <f>TModelo[[#This Row],[IniCDT]]*TModelo[[#This Row],[RetCDT]]</f>
        <v>187341.96473003738</v>
      </c>
      <c r="V51" s="24">
        <f>TModelo[[#This Row],[IniCOLCAP]]*TModelo[[#This Row],[RetCOLCAP]]</f>
        <v>57052.246601877509</v>
      </c>
      <c r="W51" s="24">
        <f>TModelo[[#This Row],[IniUSD]]*TModelo[[#This Row],[RetUSD]]</f>
        <v>9157.7701487179602</v>
      </c>
      <c r="X51" s="24">
        <f>TModelo[[#This Row],[Act]]*(TModelo[[#This Row],[IniCDT]]+TModelo[[#This Row],[IntCDT]]+PesoCDT*TModelo[[#This Row],[Outflow]])</f>
        <v>20037541.80956988</v>
      </c>
      <c r="Y51" s="24">
        <f>TModelo[[#This Row],[Act]]*(TModelo[[#This Row],[IniCOLCAP]]+TModelo[[#This Row],[IntCOLCAP]]+PesoCOLCAP*TModelo[[#This Row],[Outflow]])</f>
        <v>8327968.8486184785</v>
      </c>
      <c r="Z51" s="24">
        <f>TModelo[[#This Row],[Act]]*(TModelo[[#This Row],[IniUSD]]+TModelo[[#This Row],[IntUSD]]+PesoUSD*TModelo[[#This Row],[Outflow]])</f>
        <v>4971707.7313586781</v>
      </c>
      <c r="AA51" s="24">
        <f>TModelo[[#This Row],[BalCDT]]+TModelo[[#This Row],[BalCOLCAP]]+TModelo[[#This Row],[BalUSD]]</f>
        <v>33337218.389547035</v>
      </c>
      <c r="AB51" s="24">
        <f>IF(TModelo[[#This Row],[CumInfl]]&gt;0,TModelo[[#This Row],[TotalPreLiq]]/TModelo[[#This Row],[CumInfl]],0)</f>
        <v>31129103.545049231</v>
      </c>
      <c r="AC51" s="41">
        <f>(1+PerRate)^(-TModelo[[#This Row],[Period]])</f>
        <v>0.82942293692154134</v>
      </c>
      <c r="AD51" s="42">
        <f>TModelo[[#This Row],[NetCF]]*TModelo[[#This Row],[fd]]</f>
        <v>-886065.14950267156</v>
      </c>
    </row>
    <row r="52" spans="2:30" ht="16.95" customHeight="1">
      <c r="B52" s="11">
        <v>25</v>
      </c>
      <c r="C52" s="25">
        <f>EDATE(FechaInicio,TModelo[[#This Row],[Period]])</f>
        <v>47055</v>
      </c>
      <c r="D52" s="11">
        <f>IF(AND(TModelo[[#This Row],[Period]]&gt;=1,TModelo[[#This Row],[Period]]&lt;=HorizonteMeses),1,0)</f>
        <v>1</v>
      </c>
      <c r="E52" s="40">
        <f>TModelo[[#This Row],[Act]]*(INFb+(INFpi0-INFb)*(1-INFa)^TModelo[[#This Row],[Period]])</f>
        <v>2.4723632541587609E-3</v>
      </c>
      <c r="F52" s="28">
        <f>IF(TModelo[[#This Row],[Period]]&lt;=HorizonteMeses,F51*(1+TModelo[[#This Row],[InflMes]]),0)</f>
        <v>1.0735818349193764</v>
      </c>
      <c r="G52" s="21">
        <f>TModelo[[#This Row],[Act]]*(CDTb+(CDTx0-CDTb)*(1-CDTa)^TModelo[[#This Row],[Period]]+CDTspread)</f>
        <v>0.12876434593184602</v>
      </c>
      <c r="H52" s="40">
        <f>TModelo[[#This Row],[Act]]*((1+TModelo[[#This Row],[TasaCDT]])^(1/12)-1)*(1-Retencion)</f>
        <v>9.7389508077443312E-3</v>
      </c>
      <c r="I52" s="40">
        <f>TModelo[[#This Row],[Act]]*(EXP(MuCOLCAP+SigmaCOLCAP^2/2)-1)</f>
        <v>7.1281059265766444E-3</v>
      </c>
      <c r="J52" s="40">
        <f>TModelo[[#This Row],[Act]]*(EXP(MuTRM+SigmaTRM^2/2)-1)</f>
        <v>1.9069525320893899E-3</v>
      </c>
      <c r="K52" s="11">
        <f>TModelo[[#This Row],[Act]]*IF(Rebalanceo="Mensual",1,IF(Rebalanceo="Anual",IF(MOD(TModelo[[#This Row],[Period]]-1,12)=0,1,0),0))</f>
        <v>1</v>
      </c>
      <c r="L52" s="24">
        <f>TModelo[[#This Row],[Act]]*AporteMensual*IF(CrecimientoAporte="Con IPC",F51,1)</f>
        <v>1070934.0968107956</v>
      </c>
      <c r="M52" s="24">
        <f>IF(TModelo[[#This Row],[Period]]=HorizonteMeses,TModelo[[#This Row],[TotalPreLiq]],0)</f>
        <v>0</v>
      </c>
      <c r="N52" s="24">
        <f>TModelo[[#This Row],[Inflow]]-TModelo[[#This Row],[Outflow]]</f>
        <v>-1070934.0968107956</v>
      </c>
      <c r="O52" s="24">
        <f t="shared" si="0"/>
        <v>33337218.389547039</v>
      </c>
      <c r="P52" s="24">
        <f>TModelo[[#This Row],[IntCDT]]+TModelo[[#This Row],[IntCOLCAP]]+TModelo[[#This Row],[IntUSD]]</f>
        <v>263745.397925339</v>
      </c>
      <c r="Q52" s="24">
        <f>TModelo[[#This Row],[InitialBalance]]+TModelo[[#This Row],[Interest]]+TModelo[[#This Row],[Outflow]]-TModelo[[#This Row],[Inflow]]</f>
        <v>34671897.88428317</v>
      </c>
      <c r="R52" s="24">
        <f>TModelo[[#This Row],[Act]]*IF(TModelo[[#This Row],[Rebal]]=1,PesoCDT*(X51+Y51+Z51),X51)</f>
        <v>20002331.03372822</v>
      </c>
      <c r="S52" s="24">
        <f>TModelo[[#This Row],[Act]]*IF(TModelo[[#This Row],[Rebal]]=1,PesoCOLCAP*(X51+Y51+Z51),Y51)</f>
        <v>8334304.5973867588</v>
      </c>
      <c r="T52" s="24">
        <f>TModelo[[#This Row],[Act]]*IF(TModelo[[#This Row],[Rebal]]=1,PesoUSD*(X51+Y51+Z51),Z51)</f>
        <v>5000582.7584320549</v>
      </c>
      <c r="U52" s="24">
        <f>TModelo[[#This Row],[IniCDT]]*TModelo[[#This Row],[RetCDT]]</f>
        <v>194801.71797769694</v>
      </c>
      <c r="V52" s="24">
        <f>TModelo[[#This Row],[IniCOLCAP]]*TModelo[[#This Row],[RetCOLCAP]]</f>
        <v>59407.805994527531</v>
      </c>
      <c r="W52" s="24">
        <f>TModelo[[#This Row],[IniUSD]]*TModelo[[#This Row],[RetUSD]]</f>
        <v>9535.8739531145529</v>
      </c>
      <c r="X52" s="24">
        <f>TModelo[[#This Row],[Act]]*(TModelo[[#This Row],[IniCDT]]+TModelo[[#This Row],[IntCDT]]+PesoCDT*TModelo[[#This Row],[Outflow]])</f>
        <v>20839693.20979239</v>
      </c>
      <c r="Y52" s="24">
        <f>TModelo[[#This Row],[Act]]*(TModelo[[#This Row],[IniCOLCAP]]+TModelo[[#This Row],[IntCOLCAP]]+PesoCOLCAP*TModelo[[#This Row],[Outflow]])</f>
        <v>8661445.927583985</v>
      </c>
      <c r="Z52" s="24">
        <f>TModelo[[#This Row],[Act]]*(TModelo[[#This Row],[IniUSD]]+TModelo[[#This Row],[IntUSD]]+PesoUSD*TModelo[[#This Row],[Outflow]])</f>
        <v>5170758.7469067881</v>
      </c>
      <c r="AA52" s="24">
        <f>TModelo[[#This Row],[BalCDT]]+TModelo[[#This Row],[BalCOLCAP]]+TModelo[[#This Row],[BalUSD]]</f>
        <v>34671897.884283163</v>
      </c>
      <c r="AB52" s="24">
        <f>IF(TModelo[[#This Row],[CumInfl]]&gt;0,TModelo[[#This Row],[TotalPreLiq]]/TModelo[[#This Row],[CumInfl]],0)</f>
        <v>32295533.285440642</v>
      </c>
      <c r="AC52" s="41">
        <f>(1+PerRate)^(-TModelo[[#This Row],[Period]])</f>
        <v>0.82298460186317168</v>
      </c>
      <c r="AD52" s="42">
        <f>TModelo[[#This Row],[NetCF]]*TModelo[[#This Row],[fd]]</f>
        <v>-881362.27128552797</v>
      </c>
    </row>
    <row r="53" spans="2:30" ht="16.95" customHeight="1">
      <c r="B53" s="11">
        <v>26</v>
      </c>
      <c r="C53" s="25">
        <f>EDATE(FechaInicio,TModelo[[#This Row],[Period]])</f>
        <v>47086</v>
      </c>
      <c r="D53" s="11">
        <f>IF(AND(TModelo[[#This Row],[Period]]&gt;=1,TModelo[[#This Row],[Period]]&lt;=HorizonteMeses),1,0)</f>
        <v>1</v>
      </c>
      <c r="E53" s="40">
        <f>TModelo[[#This Row],[Act]]*(INFb+(INFpi0-INFb)*(1-INFa)^TModelo[[#This Row],[Period]])</f>
        <v>2.4710527109564253E-3</v>
      </c>
      <c r="F53" s="28">
        <f>IF(TModelo[[#This Row],[Period]]&lt;=HorizonteMeses,F52*(1+TModelo[[#This Row],[InflMes]]),0)</f>
        <v>1.0762347122229874</v>
      </c>
      <c r="G53" s="21">
        <f>TModelo[[#This Row],[Act]]*(CDTb+(CDTx0-CDTb)*(1-CDTa)^TModelo[[#This Row],[Period]]+CDTspread)</f>
        <v>0.12857516062616262</v>
      </c>
      <c r="H53" s="40">
        <f>TModelo[[#This Row],[Act]]*((1+TModelo[[#This Row],[TasaCDT]])^(1/12)-1)*(1-Retencion)</f>
        <v>9.7254054313958699E-3</v>
      </c>
      <c r="I53" s="40">
        <f>TModelo[[#This Row],[Act]]*(EXP(MuCOLCAP+SigmaCOLCAP^2/2)-1)</f>
        <v>7.1281059265766444E-3</v>
      </c>
      <c r="J53" s="40">
        <f>TModelo[[#This Row],[Act]]*(EXP(MuTRM+SigmaTRM^2/2)-1)</f>
        <v>1.9069525320893899E-3</v>
      </c>
      <c r="K53" s="11">
        <f>TModelo[[#This Row],[Act]]*IF(Rebalanceo="Mensual",1,IF(Rebalanceo="Anual",IF(MOD(TModelo[[#This Row],[Period]]-1,12)=0,1,0),0))</f>
        <v>1</v>
      </c>
      <c r="L53" s="24">
        <f>TModelo[[#This Row],[Act]]*AporteMensual*IF(CrecimientoAporte="Con IPC",F52,1)</f>
        <v>1073581.8349193765</v>
      </c>
      <c r="M53" s="24">
        <f>IF(TModelo[[#This Row],[Period]]=HorizonteMeses,TModelo[[#This Row],[TotalPreLiq]],0)</f>
        <v>0</v>
      </c>
      <c r="N53" s="24">
        <f>TModelo[[#This Row],[Inflow]]-TModelo[[#This Row],[Outflow]]</f>
        <v>-1073581.8349193765</v>
      </c>
      <c r="O53" s="24">
        <f t="shared" si="0"/>
        <v>34671897.88428317</v>
      </c>
      <c r="P53" s="24">
        <f>TModelo[[#This Row],[IntCDT]]+TModelo[[#This Row],[IntCOLCAP]]+TModelo[[#This Row],[IntUSD]]</f>
        <v>274022.8481184378</v>
      </c>
      <c r="Q53" s="24">
        <f>TModelo[[#This Row],[InitialBalance]]+TModelo[[#This Row],[Interest]]+TModelo[[#This Row],[Outflow]]-TModelo[[#This Row],[Inflow]]</f>
        <v>36019502.567320988</v>
      </c>
      <c r="R53" s="24">
        <f>TModelo[[#This Row],[Act]]*IF(TModelo[[#This Row],[Rebal]]=1,PesoCDT*(X52+Y52+Z52),X52)</f>
        <v>20803138.730569895</v>
      </c>
      <c r="S53" s="24">
        <f>TModelo[[#This Row],[Act]]*IF(TModelo[[#This Row],[Rebal]]=1,PesoCOLCAP*(X52+Y52+Z52),Y52)</f>
        <v>8667974.4710707907</v>
      </c>
      <c r="T53" s="24">
        <f>TModelo[[#This Row],[Act]]*IF(TModelo[[#This Row],[Rebal]]=1,PesoUSD*(X52+Y52+Z52),Z52)</f>
        <v>5200784.6826424738</v>
      </c>
      <c r="U53" s="24">
        <f>TModelo[[#This Row],[IniCDT]]*TModelo[[#This Row],[RetCDT]]</f>
        <v>202318.95840036625</v>
      </c>
      <c r="V53" s="24">
        <f>TModelo[[#This Row],[IniCOLCAP]]*TModelo[[#This Row],[RetCOLCAP]]</f>
        <v>61786.240198654756</v>
      </c>
      <c r="W53" s="24">
        <f>TModelo[[#This Row],[IniUSD]]*TModelo[[#This Row],[RetUSD]]</f>
        <v>9917.6495194167801</v>
      </c>
      <c r="X53" s="24">
        <f>TModelo[[#This Row],[Act]]*(TModelo[[#This Row],[IniCDT]]+TModelo[[#This Row],[IntCDT]]+PesoCDT*TModelo[[#This Row],[Outflow]])</f>
        <v>21649606.789921887</v>
      </c>
      <c r="Y53" s="24">
        <f>TModelo[[#This Row],[Act]]*(TModelo[[#This Row],[IniCOLCAP]]+TModelo[[#This Row],[IntCOLCAP]]+PesoCOLCAP*TModelo[[#This Row],[Outflow]])</f>
        <v>8998156.1699992903</v>
      </c>
      <c r="Z53" s="24">
        <f>TModelo[[#This Row],[Act]]*(TModelo[[#This Row],[IniUSD]]+TModelo[[#This Row],[IntUSD]]+PesoUSD*TModelo[[#This Row],[Outflow]])</f>
        <v>5371739.6073997971</v>
      </c>
      <c r="AA53" s="24">
        <f>TModelo[[#This Row],[BalCDT]]+TModelo[[#This Row],[BalCOLCAP]]+TModelo[[#This Row],[BalUSD]]</f>
        <v>36019502.567320973</v>
      </c>
      <c r="AB53" s="24">
        <f>IF(TModelo[[#This Row],[CumInfl]]&gt;0,TModelo[[#This Row],[TotalPreLiq]]/TModelo[[#This Row],[CumInfl]],0)</f>
        <v>33468073.607217025</v>
      </c>
      <c r="AC53" s="41">
        <f>(1+PerRate)^(-TModelo[[#This Row],[Period]])</f>
        <v>0.81659624391114727</v>
      </c>
      <c r="AD53" s="42">
        <f>TModelo[[#This Row],[NetCF]]*TModelo[[#This Row],[fd]]</f>
        <v>-876682.89392640023</v>
      </c>
    </row>
    <row r="54" spans="2:30" ht="16.95" customHeight="1">
      <c r="B54" s="11">
        <v>27</v>
      </c>
      <c r="C54" s="25">
        <f>EDATE(FechaInicio,TModelo[[#This Row],[Period]])</f>
        <v>47116</v>
      </c>
      <c r="D54" s="11">
        <f>IF(AND(TModelo[[#This Row],[Period]]&gt;=1,TModelo[[#This Row],[Period]]&lt;=HorizonteMeses),1,0)</f>
        <v>1</v>
      </c>
      <c r="E54" s="40">
        <f>TModelo[[#This Row],[Act]]*(INFb+(INFpi0-INFb)*(1-INFa)^TModelo[[#This Row],[Period]])</f>
        <v>2.4700240301647833E-3</v>
      </c>
      <c r="F54" s="28">
        <f>IF(TModelo[[#This Row],[Period]]&lt;=HorizonteMeses,F53*(1+TModelo[[#This Row],[InflMes]]),0)</f>
        <v>1.0788930378242756</v>
      </c>
      <c r="G54" s="21">
        <f>TModelo[[#This Row],[Act]]*(CDTb+(CDTx0-CDTb)*(1-CDTa)^TModelo[[#This Row],[Period]]+CDTspread)</f>
        <v>0.12838891745860084</v>
      </c>
      <c r="H54" s="40">
        <f>TModelo[[#This Row],[Act]]*((1+TModelo[[#This Row],[TasaCDT]])^(1/12)-1)*(1-Retencion)</f>
        <v>9.7120686743339488E-3</v>
      </c>
      <c r="I54" s="40">
        <f>TModelo[[#This Row],[Act]]*(EXP(MuCOLCAP+SigmaCOLCAP^2/2)-1)</f>
        <v>7.1281059265766444E-3</v>
      </c>
      <c r="J54" s="40">
        <f>TModelo[[#This Row],[Act]]*(EXP(MuTRM+SigmaTRM^2/2)-1)</f>
        <v>1.9069525320893899E-3</v>
      </c>
      <c r="K54" s="11">
        <f>TModelo[[#This Row],[Act]]*IF(Rebalanceo="Mensual",1,IF(Rebalanceo="Anual",IF(MOD(TModelo[[#This Row],[Period]]-1,12)=0,1,0),0))</f>
        <v>1</v>
      </c>
      <c r="L54" s="24">
        <f>TModelo[[#This Row],[Act]]*AporteMensual*IF(CrecimientoAporte="Con IPC",F53,1)</f>
        <v>1076234.7122229873</v>
      </c>
      <c r="M54" s="24">
        <f>IF(TModelo[[#This Row],[Period]]=HorizonteMeses,TModelo[[#This Row],[TotalPreLiq]],0)</f>
        <v>0</v>
      </c>
      <c r="N54" s="24">
        <f>TModelo[[#This Row],[Inflow]]-TModelo[[#This Row],[Outflow]]</f>
        <v>-1076234.7122229873</v>
      </c>
      <c r="O54" s="24">
        <f t="shared" si="0"/>
        <v>36019502.567320988</v>
      </c>
      <c r="P54" s="24">
        <f>TModelo[[#This Row],[IntCDT]]+TModelo[[#This Row],[IntCOLCAP]]+TModelo[[#This Row],[IntUSD]]</f>
        <v>284385.15920392028</v>
      </c>
      <c r="Q54" s="24">
        <f>TModelo[[#This Row],[InitialBalance]]+TModelo[[#This Row],[Interest]]+TModelo[[#This Row],[Outflow]]-TModelo[[#This Row],[Inflow]]</f>
        <v>37380122.43874789</v>
      </c>
      <c r="R54" s="24">
        <f>TModelo[[#This Row],[Act]]*IF(TModelo[[#This Row],[Rebal]]=1,PesoCDT*(X53+Y53+Z53),X53)</f>
        <v>21611701.540392581</v>
      </c>
      <c r="S54" s="24">
        <f>TModelo[[#This Row],[Act]]*IF(TModelo[[#This Row],[Rebal]]=1,PesoCOLCAP*(X53+Y53+Z53),Y53)</f>
        <v>9004875.6418302432</v>
      </c>
      <c r="T54" s="24">
        <f>TModelo[[#This Row],[Act]]*IF(TModelo[[#This Row],[Rebal]]=1,PesoUSD*(X53+Y53+Z53),Z53)</f>
        <v>5402925.3850981453</v>
      </c>
      <c r="U54" s="24">
        <f>TModelo[[#This Row],[IniCDT]]*TModelo[[#This Row],[RetCDT]]</f>
        <v>209894.32952950153</v>
      </c>
      <c r="V54" s="24">
        <f>TModelo[[#This Row],[IniCOLCAP]]*TModelo[[#This Row],[RetCOLCAP]]</f>
        <v>64187.707430615825</v>
      </c>
      <c r="W54" s="24">
        <f>TModelo[[#This Row],[IniUSD]]*TModelo[[#This Row],[RetUSD]]</f>
        <v>10303.122243802951</v>
      </c>
      <c r="X54" s="24">
        <f>TModelo[[#This Row],[Act]]*(TModelo[[#This Row],[IniCDT]]+TModelo[[#This Row],[IntCDT]]+PesoCDT*TModelo[[#This Row],[Outflow]])</f>
        <v>22467336.697255876</v>
      </c>
      <c r="Y54" s="24">
        <f>TModelo[[#This Row],[Act]]*(TModelo[[#This Row],[IniCOLCAP]]+TModelo[[#This Row],[IntCOLCAP]]+PesoCOLCAP*TModelo[[#This Row],[Outflow]])</f>
        <v>9338122.0273166057</v>
      </c>
      <c r="Z54" s="24">
        <f>TModelo[[#This Row],[Act]]*(TModelo[[#This Row],[IniUSD]]+TModelo[[#This Row],[IntUSD]]+PesoUSD*TModelo[[#This Row],[Outflow]])</f>
        <v>5574663.7141753966</v>
      </c>
      <c r="AA54" s="24">
        <f>TModelo[[#This Row],[BalCDT]]+TModelo[[#This Row],[BalCOLCAP]]+TModelo[[#This Row],[BalUSD]]</f>
        <v>37380122.438747875</v>
      </c>
      <c r="AB54" s="24">
        <f>IF(TModelo[[#This Row],[CumInfl]]&gt;0,TModelo[[#This Row],[TotalPreLiq]]/TModelo[[#This Row],[CumInfl]],0)</f>
        <v>34646736.171483345</v>
      </c>
      <c r="AC54" s="41">
        <f>(1+PerRate)^(-TModelo[[#This Row],[Period]])</f>
        <v>0.81025747512182522</v>
      </c>
      <c r="AD54" s="42">
        <f>TModelo[[#This Row],[NetCF]]*TModelo[[#This Row],[fd]]</f>
        <v>-872027.22056426189</v>
      </c>
    </row>
    <row r="55" spans="2:30" ht="16.95" customHeight="1">
      <c r="B55" s="11">
        <v>28</v>
      </c>
      <c r="C55" s="25">
        <f>EDATE(FechaInicio,TModelo[[#This Row],[Period]])</f>
        <v>47147</v>
      </c>
      <c r="D55" s="11">
        <f>IF(AND(TModelo[[#This Row],[Period]]&gt;=1,TModelo[[#This Row],[Period]]&lt;=HorizonteMeses),1,0)</f>
        <v>1</v>
      </c>
      <c r="E55" s="40">
        <f>TModelo[[#This Row],[Act]]*(INFb+(INFpi0-INFb)*(1-INFa)^TModelo[[#This Row],[Period]])</f>
        <v>2.4692165907997873E-3</v>
      </c>
      <c r="F55" s="28">
        <f>IF(TModelo[[#This Row],[Period]]&lt;=HorizonteMeses,F54*(1+TModelo[[#This Row],[InflMes]]),0)</f>
        <v>1.0815570584129697</v>
      </c>
      <c r="G55" s="21">
        <f>TModelo[[#This Row],[Act]]*(CDTb+(CDTx0-CDTb)*(1-CDTa)^TModelo[[#This Row],[Period]]+CDTspread)</f>
        <v>0.12820557067414445</v>
      </c>
      <c r="H55" s="40">
        <f>TModelo[[#This Row],[Act]]*((1+TModelo[[#This Row],[TasaCDT]])^(1/12)-1)*(1-Retencion)</f>
        <v>9.6989373543168965E-3</v>
      </c>
      <c r="I55" s="40">
        <f>TModelo[[#This Row],[Act]]*(EXP(MuCOLCAP+SigmaCOLCAP^2/2)-1)</f>
        <v>7.1281059265766444E-3</v>
      </c>
      <c r="J55" s="40">
        <f>TModelo[[#This Row],[Act]]*(EXP(MuTRM+SigmaTRM^2/2)-1)</f>
        <v>1.9069525320893899E-3</v>
      </c>
      <c r="K55" s="11">
        <f>TModelo[[#This Row],[Act]]*IF(Rebalanceo="Mensual",1,IF(Rebalanceo="Anual",IF(MOD(TModelo[[#This Row],[Period]]-1,12)=0,1,0),0))</f>
        <v>1</v>
      </c>
      <c r="L55" s="24">
        <f>TModelo[[#This Row],[Act]]*AporteMensual*IF(CrecimientoAporte="Con IPC",F54,1)</f>
        <v>1078893.0378242757</v>
      </c>
      <c r="M55" s="24">
        <f>IF(TModelo[[#This Row],[Period]]=HorizonteMeses,TModelo[[#This Row],[TotalPreLiq]],0)</f>
        <v>0</v>
      </c>
      <c r="N55" s="24">
        <f>TModelo[[#This Row],[Inflow]]-TModelo[[#This Row],[Outflow]]</f>
        <v>-1078893.0378242757</v>
      </c>
      <c r="O55" s="24">
        <f t="shared" si="0"/>
        <v>37380122.43874789</v>
      </c>
      <c r="P55" s="24">
        <f>TModelo[[#This Row],[IntCDT]]+TModelo[[#This Row],[IntCOLCAP]]+TModelo[[#This Row],[IntUSD]]</f>
        <v>294833.16544117365</v>
      </c>
      <c r="Q55" s="24">
        <f>TModelo[[#This Row],[InitialBalance]]+TModelo[[#This Row],[Interest]]+TModelo[[#This Row],[Outflow]]-TModelo[[#This Row],[Inflow]]</f>
        <v>38753848.642013334</v>
      </c>
      <c r="R55" s="24">
        <f>TModelo[[#This Row],[Act]]*IF(TModelo[[#This Row],[Rebal]]=1,PesoCDT*(X54+Y54+Z54),X54)</f>
        <v>22428073.463248726</v>
      </c>
      <c r="S55" s="24">
        <f>TModelo[[#This Row],[Act]]*IF(TModelo[[#This Row],[Rebal]]=1,PesoCOLCAP*(X54+Y54+Z54),Y54)</f>
        <v>9345030.6096869688</v>
      </c>
      <c r="T55" s="24">
        <f>TModelo[[#This Row],[Act]]*IF(TModelo[[#This Row],[Rebal]]=1,PesoUSD*(X54+Y54+Z54),Z54)</f>
        <v>5607018.3658121815</v>
      </c>
      <c r="U55" s="24">
        <f>TModelo[[#This Row],[IniCDT]]*TModelo[[#This Row],[RetCDT]]</f>
        <v>217528.47949806659</v>
      </c>
      <c r="V55" s="24">
        <f>TModelo[[#This Row],[IniCOLCAP]]*TModelo[[#This Row],[RetCOLCAP]]</f>
        <v>66612.36807294983</v>
      </c>
      <c r="W55" s="24">
        <f>TModelo[[#This Row],[IniUSD]]*TModelo[[#This Row],[RetUSD]]</f>
        <v>10692.317870157252</v>
      </c>
      <c r="X55" s="24">
        <f>TModelo[[#This Row],[Act]]*(TModelo[[#This Row],[IniCDT]]+TModelo[[#This Row],[IntCDT]]+PesoCDT*TModelo[[#This Row],[Outflow]])</f>
        <v>23292937.765441358</v>
      </c>
      <c r="Y55" s="24">
        <f>TModelo[[#This Row],[Act]]*(TModelo[[#This Row],[IniCOLCAP]]+TModelo[[#This Row],[IntCOLCAP]]+PesoCOLCAP*TModelo[[#This Row],[Outflow]])</f>
        <v>9681366.2372159865</v>
      </c>
      <c r="Z55" s="24">
        <f>TModelo[[#This Row],[Act]]*(TModelo[[#This Row],[IniUSD]]+TModelo[[#This Row],[IntUSD]]+PesoUSD*TModelo[[#This Row],[Outflow]])</f>
        <v>5779544.6393559799</v>
      </c>
      <c r="AA55" s="24">
        <f>TModelo[[#This Row],[BalCDT]]+TModelo[[#This Row],[BalCOLCAP]]+TModelo[[#This Row],[BalUSD]]</f>
        <v>38753848.642013326</v>
      </c>
      <c r="AB55" s="24">
        <f>IF(TModelo[[#This Row],[CumInfl]]&gt;0,TModelo[[#This Row],[TotalPreLiq]]/TModelo[[#This Row],[CumInfl]],0)</f>
        <v>35831534.120704696</v>
      </c>
      <c r="AC55" s="41">
        <f>(1+PerRate)^(-TModelo[[#This Row],[Period]])</f>
        <v>0.80396791056294659</v>
      </c>
      <c r="AD55" s="42">
        <f>TModelo[[#This Row],[NetCF]]*TModelo[[#This Row],[fd]]</f>
        <v>-867395.38134049298</v>
      </c>
    </row>
    <row r="56" spans="2:30" ht="16.95" customHeight="1">
      <c r="B56" s="11">
        <v>29</v>
      </c>
      <c r="C56" s="25">
        <f>EDATE(FechaInicio,TModelo[[#This Row],[Period]])</f>
        <v>47177</v>
      </c>
      <c r="D56" s="11">
        <f>IF(AND(TModelo[[#This Row],[Period]]&gt;=1,TModelo[[#This Row],[Period]]&lt;=HorizonteMeses),1,0)</f>
        <v>1</v>
      </c>
      <c r="E56" s="40">
        <f>TModelo[[#This Row],[Act]]*(INFb+(INFpi0-INFb)*(1-INFa)^TModelo[[#This Row],[Period]])</f>
        <v>2.4685828098120971E-3</v>
      </c>
      <c r="F56" s="28">
        <f>IF(TModelo[[#This Row],[Period]]&lt;=HorizonteMeses,F55*(1+TModelo[[#This Row],[InflMes]]),0)</f>
        <v>1.0842269715751989</v>
      </c>
      <c r="G56" s="21">
        <f>TModelo[[#This Row],[Act]]*(CDTb+(CDTx0-CDTb)*(1-CDTa)^TModelo[[#This Row],[Period]]+CDTspread)</f>
        <v>0.12802507522934195</v>
      </c>
      <c r="H56" s="40">
        <f>TModelo[[#This Row],[Act]]*((1+TModelo[[#This Row],[TasaCDT]])^(1/12)-1)*(1-Retencion)</f>
        <v>9.6860083367025143E-3</v>
      </c>
      <c r="I56" s="40">
        <f>TModelo[[#This Row],[Act]]*(EXP(MuCOLCAP+SigmaCOLCAP^2/2)-1)</f>
        <v>7.1281059265766444E-3</v>
      </c>
      <c r="J56" s="40">
        <f>TModelo[[#This Row],[Act]]*(EXP(MuTRM+SigmaTRM^2/2)-1)</f>
        <v>1.9069525320893899E-3</v>
      </c>
      <c r="K56" s="11">
        <f>TModelo[[#This Row],[Act]]*IF(Rebalanceo="Mensual",1,IF(Rebalanceo="Anual",IF(MOD(TModelo[[#This Row],[Period]]-1,12)=0,1,0),0))</f>
        <v>1</v>
      </c>
      <c r="L56" s="24">
        <f>TModelo[[#This Row],[Act]]*AporteMensual*IF(CrecimientoAporte="Con IPC",F55,1)</f>
        <v>1081557.0584129696</v>
      </c>
      <c r="M56" s="24">
        <f>IF(TModelo[[#This Row],[Period]]=HorizonteMeses,TModelo[[#This Row],[TotalPreLiq]],0)</f>
        <v>0</v>
      </c>
      <c r="N56" s="24">
        <f>TModelo[[#This Row],[Inflow]]-TModelo[[#This Row],[Outflow]]</f>
        <v>-1081557.0584129696</v>
      </c>
      <c r="O56" s="24">
        <f t="shared" si="0"/>
        <v>38753848.642013334</v>
      </c>
      <c r="P56" s="24">
        <f>TModelo[[#This Row],[IntCDT]]+TModelo[[#This Row],[IntCOLCAP]]+TModelo[[#This Row],[IntUSD]]</f>
        <v>305367.70763062092</v>
      </c>
      <c r="Q56" s="24">
        <f>TModelo[[#This Row],[InitialBalance]]+TModelo[[#This Row],[Interest]]+TModelo[[#This Row],[Outflow]]-TModelo[[#This Row],[Inflow]]</f>
        <v>40140773.408056922</v>
      </c>
      <c r="R56" s="24">
        <f>TModelo[[#This Row],[Act]]*IF(TModelo[[#This Row],[Rebal]]=1,PesoCDT*(X55+Y55+Z55),X55)</f>
        <v>23252309.185207997</v>
      </c>
      <c r="S56" s="24">
        <f>TModelo[[#This Row],[Act]]*IF(TModelo[[#This Row],[Rebal]]=1,PesoCOLCAP*(X55+Y55+Z55),Y55)</f>
        <v>9688462.1605033316</v>
      </c>
      <c r="T56" s="24">
        <f>TModelo[[#This Row],[Act]]*IF(TModelo[[#This Row],[Rebal]]=1,PesoUSD*(X55+Y55+Z55),Z55)</f>
        <v>5813077.2963019991</v>
      </c>
      <c r="U56" s="24">
        <f>TModelo[[#This Row],[IniCDT]]*TModelo[[#This Row],[RetCDT]]</f>
        <v>225222.06061550911</v>
      </c>
      <c r="V56" s="24">
        <f>TModelo[[#This Row],[IniCOLCAP]]*TModelo[[#This Row],[RetCOLCAP]]</f>
        <v>69060.384545697365</v>
      </c>
      <c r="W56" s="24">
        <f>TModelo[[#This Row],[IniUSD]]*TModelo[[#This Row],[RetUSD]]</f>
        <v>11085.262469414442</v>
      </c>
      <c r="X56" s="24">
        <f>TModelo[[#This Row],[Act]]*(TModelo[[#This Row],[IniCDT]]+TModelo[[#This Row],[IntCDT]]+PesoCDT*TModelo[[#This Row],[Outflow]])</f>
        <v>24126465.480871286</v>
      </c>
      <c r="Y56" s="24">
        <f>TModelo[[#This Row],[Act]]*(TModelo[[#This Row],[IniCOLCAP]]+TModelo[[#This Row],[IntCOLCAP]]+PesoCOLCAP*TModelo[[#This Row],[Outflow]])</f>
        <v>10027911.809652271</v>
      </c>
      <c r="Z56" s="24">
        <f>TModelo[[#This Row],[Act]]*(TModelo[[#This Row],[IniUSD]]+TModelo[[#This Row],[IntUSD]]+PesoUSD*TModelo[[#This Row],[Outflow]])</f>
        <v>5986396.1175333587</v>
      </c>
      <c r="AA56" s="24">
        <f>TModelo[[#This Row],[BalCDT]]+TModelo[[#This Row],[BalCOLCAP]]+TModelo[[#This Row],[BalUSD]]</f>
        <v>40140773.408056915</v>
      </c>
      <c r="AB56" s="24">
        <f>IF(TModelo[[#This Row],[CumInfl]]&gt;0,TModelo[[#This Row],[TotalPreLiq]]/TModelo[[#This Row],[CumInfl]],0)</f>
        <v>37022481.879176222</v>
      </c>
      <c r="AC56" s="41">
        <f>(1+PerRate)^(-TModelo[[#This Row],[Period]])</f>
        <v>0.79772716829026069</v>
      </c>
      <c r="AD56" s="42">
        <f>TModelo[[#This Row],[NetCF]]*TModelo[[#This Row],[fd]]</f>
        <v>-862787.44955212227</v>
      </c>
    </row>
    <row r="57" spans="2:30" ht="16.95" customHeight="1">
      <c r="B57" s="11">
        <v>30</v>
      </c>
      <c r="C57" s="25">
        <f>EDATE(FechaInicio,TModelo[[#This Row],[Period]])</f>
        <v>47206</v>
      </c>
      <c r="D57" s="11">
        <f>IF(AND(TModelo[[#This Row],[Period]]&gt;=1,TModelo[[#This Row],[Period]]&lt;=HorizonteMeses),1,0)</f>
        <v>1</v>
      </c>
      <c r="E57" s="40">
        <f>TModelo[[#This Row],[Act]]*(INFb+(INFpi0-INFb)*(1-INFa)^TModelo[[#This Row],[Period]])</f>
        <v>2.4680853379798191E-3</v>
      </c>
      <c r="F57" s="28">
        <f>IF(TModelo[[#This Row],[Period]]&lt;=HorizonteMeses,F56*(1+TModelo[[#This Row],[InflMes]]),0)</f>
        <v>1.0869029362667857</v>
      </c>
      <c r="G57" s="21">
        <f>TModelo[[#This Row],[Act]]*(CDTb+(CDTx0-CDTb)*(1-CDTa)^TModelo[[#This Row],[Period]]+CDTspread)</f>
        <v>0.12784738678124044</v>
      </c>
      <c r="H57" s="40">
        <f>TModelo[[#This Row],[Act]]*((1+TModelo[[#This Row],[TasaCDT]])^(1/12)-1)*(1-Retencion)</f>
        <v>9.6732785337657386E-3</v>
      </c>
      <c r="I57" s="40">
        <f>TModelo[[#This Row],[Act]]*(EXP(MuCOLCAP+SigmaCOLCAP^2/2)-1)</f>
        <v>7.1281059265766444E-3</v>
      </c>
      <c r="J57" s="40">
        <f>TModelo[[#This Row],[Act]]*(EXP(MuTRM+SigmaTRM^2/2)-1)</f>
        <v>1.9069525320893899E-3</v>
      </c>
      <c r="K57" s="11">
        <f>TModelo[[#This Row],[Act]]*IF(Rebalanceo="Mensual",1,IF(Rebalanceo="Anual",IF(MOD(TModelo[[#This Row],[Period]]-1,12)=0,1,0),0))</f>
        <v>1</v>
      </c>
      <c r="L57" s="24">
        <f>TModelo[[#This Row],[Act]]*AporteMensual*IF(CrecimientoAporte="Con IPC",F56,1)</f>
        <v>1084226.9715751989</v>
      </c>
      <c r="M57" s="24">
        <f>IF(TModelo[[#This Row],[Period]]=HorizonteMeses,TModelo[[#This Row],[TotalPreLiq]],0)</f>
        <v>0</v>
      </c>
      <c r="N57" s="24">
        <f>TModelo[[#This Row],[Inflow]]-TModelo[[#This Row],[Outflow]]</f>
        <v>-1084226.9715751989</v>
      </c>
      <c r="O57" s="24">
        <f t="shared" si="0"/>
        <v>40140773.408056922</v>
      </c>
      <c r="P57" s="24">
        <f>TModelo[[#This Row],[IntCDT]]+TModelo[[#This Row],[IntCOLCAP]]+TModelo[[#This Row],[IntUSD]]</f>
        <v>315989.63267256017</v>
      </c>
      <c r="Q57" s="24">
        <f>TModelo[[#This Row],[InitialBalance]]+TModelo[[#This Row],[Interest]]+TModelo[[#This Row],[Outflow]]-TModelo[[#This Row],[Inflow]]</f>
        <v>41540990.012304686</v>
      </c>
      <c r="R57" s="24">
        <f>TModelo[[#This Row],[Act]]*IF(TModelo[[#This Row],[Rebal]]=1,PesoCDT*(X56+Y56+Z56),X56)</f>
        <v>24084464.044834148</v>
      </c>
      <c r="S57" s="24">
        <f>TModelo[[#This Row],[Act]]*IF(TModelo[[#This Row],[Rebal]]=1,PesoCOLCAP*(X56+Y56+Z56),Y56)</f>
        <v>10035193.352014229</v>
      </c>
      <c r="T57" s="24">
        <f>TModelo[[#This Row],[Act]]*IF(TModelo[[#This Row],[Rebal]]=1,PesoUSD*(X56+Y56+Z56),Z56)</f>
        <v>6021116.011208537</v>
      </c>
      <c r="U57" s="24">
        <f>TModelo[[#This Row],[IniCDT]]*TModelo[[#This Row],[RetCDT]]</f>
        <v>232975.72904214691</v>
      </c>
      <c r="V57" s="24">
        <f>TModelo[[#This Row],[IniCOLCAP]]*TModelo[[#This Row],[RetCOLCAP]]</f>
        <v>71531.921206835163</v>
      </c>
      <c r="W57" s="24">
        <f>TModelo[[#This Row],[IniUSD]]*TModelo[[#This Row],[RetUSD]]</f>
        <v>11481.982423578087</v>
      </c>
      <c r="X57" s="24">
        <f>TModelo[[#This Row],[Act]]*(TModelo[[#This Row],[IniCDT]]+TModelo[[#This Row],[IntCDT]]+PesoCDT*TModelo[[#This Row],[Outflow]])</f>
        <v>24967975.956821416</v>
      </c>
      <c r="Y57" s="24">
        <f>TModelo[[#This Row],[Act]]*(TModelo[[#This Row],[IniCOLCAP]]+TModelo[[#This Row],[IntCOLCAP]]+PesoCOLCAP*TModelo[[#This Row],[Outflow]])</f>
        <v>10377782.016114864</v>
      </c>
      <c r="Z57" s="24">
        <f>TModelo[[#This Row],[Act]]*(TModelo[[#This Row],[IniUSD]]+TModelo[[#This Row],[IntUSD]]+PesoUSD*TModelo[[#This Row],[Outflow]])</f>
        <v>6195232.0393683957</v>
      </c>
      <c r="AA57" s="24">
        <f>TModelo[[#This Row],[BalCDT]]+TModelo[[#This Row],[BalCOLCAP]]+TModelo[[#This Row],[BalUSD]]</f>
        <v>41540990.012304679</v>
      </c>
      <c r="AB57" s="24">
        <f>IF(TModelo[[#This Row],[CumInfl]]&gt;0,TModelo[[#This Row],[TotalPreLiq]]/TModelo[[#This Row],[CumInfl]],0)</f>
        <v>38219594.985166401</v>
      </c>
      <c r="AC57" s="41">
        <f>(1+PerRate)^(-TModelo[[#This Row],[Period]])</f>
        <v>0.79153486932433148</v>
      </c>
      <c r="AD57" s="42">
        <f>TModelo[[#This Row],[NetCF]]*TModelo[[#This Row],[fd]]</f>
        <v>-858203.45426369074</v>
      </c>
    </row>
    <row r="58" spans="2:30" ht="16.95" customHeight="1">
      <c r="B58" s="11">
        <v>31</v>
      </c>
      <c r="C58" s="25">
        <f>EDATE(FechaInicio,TModelo[[#This Row],[Period]])</f>
        <v>47237</v>
      </c>
      <c r="D58" s="11">
        <f>IF(AND(TModelo[[#This Row],[Period]]&gt;=1,TModelo[[#This Row],[Period]]&lt;=HorizonteMeses),1,0)</f>
        <v>1</v>
      </c>
      <c r="E58" s="40">
        <f>TModelo[[#This Row],[Act]]*(INFb+(INFpi0-INFb)*(1-INFa)^TModelo[[#This Row],[Period]])</f>
        <v>2.4676948588889087E-3</v>
      </c>
      <c r="F58" s="28">
        <f>IF(TModelo[[#This Row],[Period]]&lt;=HorizonteMeses,F57*(1+TModelo[[#This Row],[InflMes]]),0)</f>
        <v>1.0895850810547225</v>
      </c>
      <c r="G58" s="21">
        <f>TModelo[[#This Row],[Act]]*(CDTb+(CDTx0-CDTb)*(1-CDTa)^TModelo[[#This Row],[Period]]+CDTspread)</f>
        <v>0.12767246167649185</v>
      </c>
      <c r="H58" s="40">
        <f>TModelo[[#This Row],[Act]]*((1+TModelo[[#This Row],[TasaCDT]])^(1/12)-1)*(1-Retencion)</f>
        <v>9.6607449040239848E-3</v>
      </c>
      <c r="I58" s="40">
        <f>TModelo[[#This Row],[Act]]*(EXP(MuCOLCAP+SigmaCOLCAP^2/2)-1)</f>
        <v>7.1281059265766444E-3</v>
      </c>
      <c r="J58" s="40">
        <f>TModelo[[#This Row],[Act]]*(EXP(MuTRM+SigmaTRM^2/2)-1)</f>
        <v>1.9069525320893899E-3</v>
      </c>
      <c r="K58" s="11">
        <f>TModelo[[#This Row],[Act]]*IF(Rebalanceo="Mensual",1,IF(Rebalanceo="Anual",IF(MOD(TModelo[[#This Row],[Period]]-1,12)=0,1,0),0))</f>
        <v>1</v>
      </c>
      <c r="L58" s="24">
        <f>TModelo[[#This Row],[Act]]*AporteMensual*IF(CrecimientoAporte="Con IPC",F57,1)</f>
        <v>1086902.9362667857</v>
      </c>
      <c r="M58" s="24">
        <f>IF(TModelo[[#This Row],[Period]]=HorizonteMeses,TModelo[[#This Row],[TotalPreLiq]],0)</f>
        <v>0</v>
      </c>
      <c r="N58" s="24">
        <f>TModelo[[#This Row],[Inflow]]-TModelo[[#This Row],[Outflow]]</f>
        <v>-1086902.9362667857</v>
      </c>
      <c r="O58" s="24">
        <f t="shared" si="0"/>
        <v>41540990.012304686</v>
      </c>
      <c r="P58" s="24">
        <f>TModelo[[#This Row],[IntCDT]]+TModelo[[#This Row],[IntCOLCAP]]+TModelo[[#This Row],[IntUSD]]</f>
        <v>326699.7932307524</v>
      </c>
      <c r="Q58" s="24">
        <f>TModelo[[#This Row],[InitialBalance]]+TModelo[[#This Row],[Interest]]+TModelo[[#This Row],[Outflow]]-TModelo[[#This Row],[Inflow]]</f>
        <v>42954592.741802223</v>
      </c>
      <c r="R58" s="24">
        <f>TModelo[[#This Row],[Act]]*IF(TModelo[[#This Row],[Rebal]]=1,PesoCDT*(X57+Y57+Z57),X57)</f>
        <v>24924594.007382806</v>
      </c>
      <c r="S58" s="24">
        <f>TModelo[[#This Row],[Act]]*IF(TModelo[[#This Row],[Rebal]]=1,PesoCOLCAP*(X57+Y57+Z57),Y57)</f>
        <v>10385247.50307617</v>
      </c>
      <c r="T58" s="24">
        <f>TModelo[[#This Row],[Act]]*IF(TModelo[[#This Row],[Rebal]]=1,PesoUSD*(X57+Y57+Z57),Z57)</f>
        <v>6231148.5018457016</v>
      </c>
      <c r="U58" s="24">
        <f>TModelo[[#This Row],[IniCDT]]*TModelo[[#This Row],[RetCDT]]</f>
        <v>240790.14454169018</v>
      </c>
      <c r="V58" s="24">
        <f>TModelo[[#This Row],[IniCOLCAP]]*TModelo[[#This Row],[RetCOLCAP]]</f>
        <v>74027.144275642539</v>
      </c>
      <c r="W58" s="24">
        <f>TModelo[[#This Row],[IniUSD]]*TModelo[[#This Row],[RetUSD]]</f>
        <v>11882.504413419669</v>
      </c>
      <c r="X58" s="24">
        <f>TModelo[[#This Row],[Act]]*(TModelo[[#This Row],[IniCDT]]+TModelo[[#This Row],[IntCDT]]+PesoCDT*TModelo[[#This Row],[Outflow]])</f>
        <v>25817525.913684569</v>
      </c>
      <c r="Y58" s="24">
        <f>TModelo[[#This Row],[Act]]*(TModelo[[#This Row],[IniCOLCAP]]+TModelo[[#This Row],[IntCOLCAP]]+PesoCOLCAP*TModelo[[#This Row],[Outflow]])</f>
        <v>10731000.381418509</v>
      </c>
      <c r="Z58" s="24">
        <f>TModelo[[#This Row],[Act]]*(TModelo[[#This Row],[IniUSD]]+TModelo[[#This Row],[IntUSD]]+PesoUSD*TModelo[[#This Row],[Outflow]])</f>
        <v>6406066.4466991387</v>
      </c>
      <c r="AA58" s="24">
        <f>TModelo[[#This Row],[BalCDT]]+TModelo[[#This Row],[BalCOLCAP]]+TModelo[[#This Row],[BalUSD]]</f>
        <v>42954592.741802216</v>
      </c>
      <c r="AB58" s="24">
        <f>IF(TModelo[[#This Row],[CumInfl]]&gt;0,TModelo[[#This Row],[TotalPreLiq]]/TModelo[[#This Row],[CumInfl]],0)</f>
        <v>39422889.950201966</v>
      </c>
      <c r="AC58" s="41">
        <f>(1+PerRate)^(-TModelo[[#This Row],[Period]])</f>
        <v>0.78539063762752359</v>
      </c>
      <c r="AD58" s="42">
        <f>TModelo[[#This Row],[NetCF]]*TModelo[[#This Row],[fd]]</f>
        <v>-853643.39015379851</v>
      </c>
    </row>
    <row r="59" spans="2:30" ht="16.95" customHeight="1">
      <c r="B59" s="11">
        <v>32</v>
      </c>
      <c r="C59" s="25">
        <f>EDATE(FechaInicio,TModelo[[#This Row],[Period]])</f>
        <v>47267</v>
      </c>
      <c r="D59" s="11">
        <f>IF(AND(TModelo[[#This Row],[Period]]&gt;=1,TModelo[[#This Row],[Period]]&lt;=HorizonteMeses),1,0)</f>
        <v>1</v>
      </c>
      <c r="E59" s="40">
        <f>TModelo[[#This Row],[Act]]*(INFb+(INFpi0-INFb)*(1-INFa)^TModelo[[#This Row],[Period]])</f>
        <v>2.4673883612933759E-3</v>
      </c>
      <c r="F59" s="28">
        <f>IF(TModelo[[#This Row],[Period]]&lt;=HorizonteMeses,F58*(1+TModelo[[#This Row],[InflMes]]),0)</f>
        <v>1.0922735106023558</v>
      </c>
      <c r="G59" s="21">
        <f>TModelo[[#This Row],[Act]]*(CDTb+(CDTx0-CDTb)*(1-CDTa)^TModelo[[#This Row],[Period]]+CDTspread)</f>
        <v>0.12750025694062841</v>
      </c>
      <c r="H59" s="40">
        <f>TModelo[[#This Row],[Act]]*((1+TModelo[[#This Row],[TasaCDT]])^(1/12)-1)*(1-Retencion)</f>
        <v>9.6484044515718626E-3</v>
      </c>
      <c r="I59" s="40">
        <f>TModelo[[#This Row],[Act]]*(EXP(MuCOLCAP+SigmaCOLCAP^2/2)-1)</f>
        <v>7.1281059265766444E-3</v>
      </c>
      <c r="J59" s="40">
        <f>TModelo[[#This Row],[Act]]*(EXP(MuTRM+SigmaTRM^2/2)-1)</f>
        <v>1.9069525320893899E-3</v>
      </c>
      <c r="K59" s="11">
        <f>TModelo[[#This Row],[Act]]*IF(Rebalanceo="Mensual",1,IF(Rebalanceo="Anual",IF(MOD(TModelo[[#This Row],[Period]]-1,12)=0,1,0),0))</f>
        <v>1</v>
      </c>
      <c r="L59" s="24">
        <f>TModelo[[#This Row],[Act]]*AporteMensual*IF(CrecimientoAporte="Con IPC",F58,1)</f>
        <v>1089585.0810547224</v>
      </c>
      <c r="M59" s="24">
        <f>IF(TModelo[[#This Row],[Period]]=HorizonteMeses,TModelo[[#This Row],[TotalPreLiq]],0)</f>
        <v>0</v>
      </c>
      <c r="N59" s="24">
        <f>TModelo[[#This Row],[Inflow]]-TModelo[[#This Row],[Outflow]]</f>
        <v>-1089585.0810547224</v>
      </c>
      <c r="O59" s="24">
        <f t="shared" si="0"/>
        <v>42954592.741802223</v>
      </c>
      <c r="P59" s="24">
        <f>TModelo[[#This Row],[IntCDT]]+TModelo[[#This Row],[IntCOLCAP]]+TModelo[[#This Row],[IntUSD]]</f>
        <v>337499.04747848545</v>
      </c>
      <c r="Q59" s="24">
        <f>TModelo[[#This Row],[InitialBalance]]+TModelo[[#This Row],[Interest]]+TModelo[[#This Row],[Outflow]]-TModelo[[#This Row],[Inflow]]</f>
        <v>44381676.87033543</v>
      </c>
      <c r="R59" s="24">
        <f>TModelo[[#This Row],[Act]]*IF(TModelo[[#This Row],[Rebal]]=1,PesoCDT*(X58+Y58+Z58),X58)</f>
        <v>25772755.64508133</v>
      </c>
      <c r="S59" s="24">
        <f>TModelo[[#This Row],[Act]]*IF(TModelo[[#This Row],[Rebal]]=1,PesoCOLCAP*(X58+Y58+Z58),Y58)</f>
        <v>10738648.185450554</v>
      </c>
      <c r="T59" s="24">
        <f>TModelo[[#This Row],[Act]]*IF(TModelo[[#This Row],[Rebal]]=1,PesoUSD*(X58+Y58+Z58),Z58)</f>
        <v>6443188.9112703325</v>
      </c>
      <c r="U59" s="24">
        <f>TModelo[[#This Row],[IniCDT]]*TModelo[[#This Row],[RetCDT]]</f>
        <v>248665.97029527655</v>
      </c>
      <c r="V59" s="24">
        <f>TModelo[[#This Row],[IniCOLCAP]]*TModelo[[#This Row],[RetCOLCAP]]</f>
        <v>76546.221774131627</v>
      </c>
      <c r="W59" s="24">
        <f>TModelo[[#This Row],[IniUSD]]*TModelo[[#This Row],[RetUSD]]</f>
        <v>12286.85540907724</v>
      </c>
      <c r="X59" s="24">
        <f>TModelo[[#This Row],[Act]]*(TModelo[[#This Row],[IniCDT]]+TModelo[[#This Row],[IntCDT]]+PesoCDT*TModelo[[#This Row],[Outflow]])</f>
        <v>26675172.664009441</v>
      </c>
      <c r="Y59" s="24">
        <f>TModelo[[#This Row],[Act]]*(TModelo[[#This Row],[IniCOLCAP]]+TModelo[[#This Row],[IntCOLCAP]]+PesoCOLCAP*TModelo[[#This Row],[Outflow]])</f>
        <v>11087590.677488366</v>
      </c>
      <c r="Z59" s="24">
        <f>TModelo[[#This Row],[Act]]*(TModelo[[#This Row],[IniUSD]]+TModelo[[#This Row],[IntUSD]]+PesoUSD*TModelo[[#This Row],[Outflow]])</f>
        <v>6618913.5288376184</v>
      </c>
      <c r="AA59" s="24">
        <f>TModelo[[#This Row],[BalCDT]]+TModelo[[#This Row],[BalCOLCAP]]+TModelo[[#This Row],[BalUSD]]</f>
        <v>44381676.87033543</v>
      </c>
      <c r="AB59" s="24">
        <f>IF(TModelo[[#This Row],[CumInfl]]&gt;0,TModelo[[#This Row],[TotalPreLiq]]/TModelo[[#This Row],[CumInfl]],0)</f>
        <v>40632384.141459472</v>
      </c>
      <c r="AC59" s="41">
        <f>(1+PerRate)^(-TModelo[[#This Row],[Period]])</f>
        <v>0.77929410008116573</v>
      </c>
      <c r="AD59" s="42">
        <f>TModelo[[#This Row],[NetCF]]*TModelo[[#This Row],[fd]]</f>
        <v>-849107.22520240396</v>
      </c>
    </row>
    <row r="60" spans="2:30" ht="16.95" customHeight="1">
      <c r="B60" s="11">
        <v>33</v>
      </c>
      <c r="C60" s="25">
        <f>EDATE(FechaInicio,TModelo[[#This Row],[Period]])</f>
        <v>47298</v>
      </c>
      <c r="D60" s="11">
        <f>IF(AND(TModelo[[#This Row],[Period]]&gt;=1,TModelo[[#This Row],[Period]]&lt;=HorizonteMeses),1,0)</f>
        <v>1</v>
      </c>
      <c r="E60" s="40">
        <f>TModelo[[#This Row],[Act]]*(INFb+(INFpi0-INFb)*(1-INFa)^TModelo[[#This Row],[Period]])</f>
        <v>2.4671477830441068E-3</v>
      </c>
      <c r="F60" s="28">
        <f>IF(TModelo[[#This Row],[Period]]&lt;=HorizonteMeses,F59*(1+TModelo[[#This Row],[InflMes]]),0)</f>
        <v>1.0949683107725161</v>
      </c>
      <c r="G60" s="21">
        <f>TModelo[[#This Row],[Act]]*(CDTb+(CDTx0-CDTb)*(1-CDTa)^TModelo[[#This Row],[Period]]+CDTspread)</f>
        <v>0.12733073026750494</v>
      </c>
      <c r="H60" s="40">
        <f>TModelo[[#This Row],[Act]]*((1+TModelo[[#This Row],[TasaCDT]])^(1/12)-1)*(1-Retencion)</f>
        <v>9.6362542254237842E-3</v>
      </c>
      <c r="I60" s="40">
        <f>TModelo[[#This Row],[Act]]*(EXP(MuCOLCAP+SigmaCOLCAP^2/2)-1)</f>
        <v>7.1281059265766444E-3</v>
      </c>
      <c r="J60" s="40">
        <f>TModelo[[#This Row],[Act]]*(EXP(MuTRM+SigmaTRM^2/2)-1)</f>
        <v>1.9069525320893899E-3</v>
      </c>
      <c r="K60" s="11">
        <f>TModelo[[#This Row],[Act]]*IF(Rebalanceo="Mensual",1,IF(Rebalanceo="Anual",IF(MOD(TModelo[[#This Row],[Period]]-1,12)=0,1,0),0))</f>
        <v>1</v>
      </c>
      <c r="L60" s="24">
        <f>TModelo[[#This Row],[Act]]*AporteMensual*IF(CrecimientoAporte="Con IPC",F59,1)</f>
        <v>1092273.5106023557</v>
      </c>
      <c r="M60" s="24">
        <f>IF(TModelo[[#This Row],[Period]]=HorizonteMeses,TModelo[[#This Row],[TotalPreLiq]],0)</f>
        <v>0</v>
      </c>
      <c r="N60" s="24">
        <f>TModelo[[#This Row],[Inflow]]-TModelo[[#This Row],[Outflow]]</f>
        <v>-1092273.5106023557</v>
      </c>
      <c r="O60" s="24">
        <f t="shared" si="0"/>
        <v>44381676.87033543</v>
      </c>
      <c r="P60" s="24">
        <f>TModelo[[#This Row],[IntCDT]]+TModelo[[#This Row],[IntCOLCAP]]+TModelo[[#This Row],[IntUSD]]</f>
        <v>348388.25890954846</v>
      </c>
      <c r="Q60" s="24">
        <f>TModelo[[#This Row],[InitialBalance]]+TModelo[[#This Row],[Interest]]+TModelo[[#This Row],[Outflow]]-TModelo[[#This Row],[Inflow]]</f>
        <v>45822338.639847331</v>
      </c>
      <c r="R60" s="24">
        <f>TModelo[[#This Row],[Act]]*IF(TModelo[[#This Row],[Rebal]]=1,PesoCDT*(X59+Y59+Z59),X59)</f>
        <v>26629006.122201256</v>
      </c>
      <c r="S60" s="24">
        <f>TModelo[[#This Row],[Act]]*IF(TModelo[[#This Row],[Rebal]]=1,PesoCOLCAP*(X59+Y59+Z59),Y59)</f>
        <v>11095419.217583857</v>
      </c>
      <c r="T60" s="24">
        <f>TModelo[[#This Row],[Act]]*IF(TModelo[[#This Row],[Rebal]]=1,PesoUSD*(X59+Y59+Z59),Z59)</f>
        <v>6657251.5305503141</v>
      </c>
      <c r="U60" s="24">
        <f>TModelo[[#This Row],[IniCDT]]*TModelo[[#This Row],[RetCDT]]</f>
        <v>256603.87276389767</v>
      </c>
      <c r="V60" s="24">
        <f>TModelo[[#This Row],[IniCOLCAP]]*TModelo[[#This Row],[RetCOLCAP]]</f>
        <v>79089.323482711887</v>
      </c>
      <c r="W60" s="24">
        <f>TModelo[[#This Row],[IniUSD]]*TModelo[[#This Row],[RetUSD]]</f>
        <v>12695.062662938888</v>
      </c>
      <c r="X60" s="24">
        <f>TModelo[[#This Row],[Act]]*(TModelo[[#This Row],[IniCDT]]+TModelo[[#This Row],[IntCDT]]+PesoCDT*TModelo[[#This Row],[Outflow]])</f>
        <v>27540974.10132657</v>
      </c>
      <c r="Y60" s="24">
        <f>TModelo[[#This Row],[Act]]*(TModelo[[#This Row],[IniCOLCAP]]+TModelo[[#This Row],[IntCOLCAP]]+PesoCOLCAP*TModelo[[#This Row],[Outflow]])</f>
        <v>11447576.918717159</v>
      </c>
      <c r="Z60" s="24">
        <f>TModelo[[#This Row],[Act]]*(TModelo[[#This Row],[IniUSD]]+TModelo[[#This Row],[IntUSD]]+PesoUSD*TModelo[[#This Row],[Outflow]])</f>
        <v>6833787.6198036056</v>
      </c>
      <c r="AA60" s="24">
        <f>TModelo[[#This Row],[BalCDT]]+TModelo[[#This Row],[BalCOLCAP]]+TModelo[[#This Row],[BalUSD]]</f>
        <v>45822338.639847338</v>
      </c>
      <c r="AB60" s="24">
        <f>IF(TModelo[[#This Row],[CumInfl]]&gt;0,TModelo[[#This Row],[TotalPreLiq]]/TModelo[[#This Row],[CumInfl]],0)</f>
        <v>41848095.683718018</v>
      </c>
      <c r="AC60" s="41">
        <f>(1+PerRate)^(-TModelo[[#This Row],[Period]])</f>
        <v>0.77324488646289347</v>
      </c>
      <c r="AD60" s="42">
        <f>TModelo[[#This Row],[NetCF]]*TModelo[[#This Row],[fd]]</f>
        <v>-844594.90669214458</v>
      </c>
    </row>
    <row r="61" spans="2:30" ht="16.95" customHeight="1">
      <c r="B61" s="11">
        <v>34</v>
      </c>
      <c r="C61" s="25">
        <f>EDATE(FechaInicio,TModelo[[#This Row],[Period]])</f>
        <v>47328</v>
      </c>
      <c r="D61" s="11">
        <f>IF(AND(TModelo[[#This Row],[Period]]&gt;=1,TModelo[[#This Row],[Period]]&lt;=HorizonteMeses),1,0)</f>
        <v>1</v>
      </c>
      <c r="E61" s="40">
        <f>TModelo[[#This Row],[Act]]*(INFb+(INFpi0-INFb)*(1-INFa)^TModelo[[#This Row],[Period]])</f>
        <v>2.4669589466719305E-3</v>
      </c>
      <c r="F61" s="28">
        <f>IF(TModelo[[#This Row],[Period]]&lt;=HorizonteMeses,F60*(1+TModelo[[#This Row],[InflMes]]),0)</f>
        <v>1.0976695526430986</v>
      </c>
      <c r="G61" s="21">
        <f>TModelo[[#This Row],[Act]]*(CDTb+(CDTx0-CDTb)*(1-CDTa)^TModelo[[#This Row],[Period]]+CDTspread)</f>
        <v>0.12716384000890549</v>
      </c>
      <c r="H61" s="40">
        <f>TModelo[[#This Row],[Act]]*((1+TModelo[[#This Row],[TasaCDT]])^(1/12)-1)*(1-Retencion)</f>
        <v>9.6242913188670075E-3</v>
      </c>
      <c r="I61" s="40">
        <f>TModelo[[#This Row],[Act]]*(EXP(MuCOLCAP+SigmaCOLCAP^2/2)-1)</f>
        <v>7.1281059265766444E-3</v>
      </c>
      <c r="J61" s="40">
        <f>TModelo[[#This Row],[Act]]*(EXP(MuTRM+SigmaTRM^2/2)-1)</f>
        <v>1.9069525320893899E-3</v>
      </c>
      <c r="K61" s="11">
        <f>TModelo[[#This Row],[Act]]*IF(Rebalanceo="Mensual",1,IF(Rebalanceo="Anual",IF(MOD(TModelo[[#This Row],[Period]]-1,12)=0,1,0),0))</f>
        <v>1</v>
      </c>
      <c r="L61" s="24">
        <f>TModelo[[#This Row],[Act]]*AporteMensual*IF(CrecimientoAporte="Con IPC",F60,1)</f>
        <v>1094968.3107725161</v>
      </c>
      <c r="M61" s="24">
        <f>IF(TModelo[[#This Row],[Period]]=HorizonteMeses,TModelo[[#This Row],[TotalPreLiq]],0)</f>
        <v>0</v>
      </c>
      <c r="N61" s="24">
        <f>TModelo[[#This Row],[Inflow]]-TModelo[[#This Row],[Outflow]]</f>
        <v>-1094968.3107725161</v>
      </c>
      <c r="O61" s="24">
        <f t="shared" si="0"/>
        <v>45822338.639847331</v>
      </c>
      <c r="P61" s="24">
        <f>TModelo[[#This Row],[IntCDT]]+TModelo[[#This Row],[IntCOLCAP]]+TModelo[[#This Row],[IntUSD]]</f>
        <v>359368.29620040185</v>
      </c>
      <c r="Q61" s="24">
        <f>TModelo[[#This Row],[InitialBalance]]+TModelo[[#This Row],[Interest]]+TModelo[[#This Row],[Outflow]]-TModelo[[#This Row],[Inflow]]</f>
        <v>47276675.246820249</v>
      </c>
      <c r="R61" s="24">
        <f>TModelo[[#This Row],[Act]]*IF(TModelo[[#This Row],[Rebal]]=1,PesoCDT*(X60+Y60+Z60),X60)</f>
        <v>27493403.183908403</v>
      </c>
      <c r="S61" s="24">
        <f>TModelo[[#This Row],[Act]]*IF(TModelo[[#This Row],[Rebal]]=1,PesoCOLCAP*(X60+Y60+Z60),Y60)</f>
        <v>11455584.659961835</v>
      </c>
      <c r="T61" s="24">
        <f>TModelo[[#This Row],[Act]]*IF(TModelo[[#This Row],[Rebal]]=1,PesoUSD*(X60+Y60+Z60),Z60)</f>
        <v>6873350.7959771007</v>
      </c>
      <c r="U61" s="24">
        <f>TModelo[[#This Row],[IniCDT]]*TModelo[[#This Row],[RetCDT]]</f>
        <v>264604.52158900019</v>
      </c>
      <c r="V61" s="24">
        <f>TModelo[[#This Row],[IniCOLCAP]]*TModelo[[#This Row],[RetCOLCAP]]</f>
        <v>81656.620907074452</v>
      </c>
      <c r="W61" s="24">
        <f>TModelo[[#This Row],[IniUSD]]*TModelo[[#This Row],[RetUSD]]</f>
        <v>13107.153704327155</v>
      </c>
      <c r="X61" s="24">
        <f>TModelo[[#This Row],[Act]]*(TModelo[[#This Row],[IniCDT]]+TModelo[[#This Row],[IntCDT]]+PesoCDT*TModelo[[#This Row],[Outflow]])</f>
        <v>28414988.691960912</v>
      </c>
      <c r="Y61" s="24">
        <f>TModelo[[#This Row],[Act]]*(TModelo[[#This Row],[IniCOLCAP]]+TModelo[[#This Row],[IntCOLCAP]]+PesoCOLCAP*TModelo[[#This Row],[Outflow]])</f>
        <v>11810983.358562037</v>
      </c>
      <c r="Z61" s="24">
        <f>TModelo[[#This Row],[Act]]*(TModelo[[#This Row],[IniUSD]]+TModelo[[#This Row],[IntUSD]]+PesoUSD*TModelo[[#This Row],[Outflow]])</f>
        <v>7050703.1962973056</v>
      </c>
      <c r="AA61" s="24">
        <f>TModelo[[#This Row],[BalCDT]]+TModelo[[#This Row],[BalCOLCAP]]+TModelo[[#This Row],[BalUSD]]</f>
        <v>47276675.246820256</v>
      </c>
      <c r="AB61" s="24">
        <f>IF(TModelo[[#This Row],[CumInfl]]&gt;0,TModelo[[#This Row],[TotalPreLiq]]/TModelo[[#This Row],[CumInfl]],0)</f>
        <v>43070043.377792418</v>
      </c>
      <c r="AC61" s="41">
        <f>(1+PerRate)^(-TModelo[[#This Row],[Period]])</f>
        <v>0.76724262942416632</v>
      </c>
      <c r="AD61" s="42">
        <f>TModelo[[#This Row],[NetCF]]*TModelo[[#This Row],[fd]]</f>
        <v>-840106.36589324288</v>
      </c>
    </row>
    <row r="62" spans="2:30" ht="16.95" customHeight="1">
      <c r="B62" s="11">
        <v>35</v>
      </c>
      <c r="C62" s="25">
        <f>EDATE(FechaInicio,TModelo[[#This Row],[Period]])</f>
        <v>47359</v>
      </c>
      <c r="D62" s="11">
        <f>IF(AND(TModelo[[#This Row],[Period]]&gt;=1,TModelo[[#This Row],[Period]]&lt;=HorizonteMeses),1,0)</f>
        <v>1</v>
      </c>
      <c r="E62" s="40">
        <f>TModelo[[#This Row],[Act]]*(INFb+(INFpi0-INFb)*(1-INFa)^TModelo[[#This Row],[Period]])</f>
        <v>2.4668107238979878E-3</v>
      </c>
      <c r="F62" s="28">
        <f>IF(TModelo[[#This Row],[Period]]&lt;=HorizonteMeses,F61*(1+TModelo[[#This Row],[InflMes]]),0)</f>
        <v>1.1003772956668549</v>
      </c>
      <c r="G62" s="21">
        <f>TModelo[[#This Row],[Act]]*(CDTb+(CDTx0-CDTb)*(1-CDTa)^TModelo[[#This Row],[Period]]+CDTspread)</f>
        <v>0.12699954516431122</v>
      </c>
      <c r="H62" s="40">
        <f>TModelo[[#This Row],[Act]]*((1+TModelo[[#This Row],[TasaCDT]])^(1/12)-1)*(1-Retencion)</f>
        <v>9.6125128688208852E-3</v>
      </c>
      <c r="I62" s="40">
        <f>TModelo[[#This Row],[Act]]*(EXP(MuCOLCAP+SigmaCOLCAP^2/2)-1)</f>
        <v>7.1281059265766444E-3</v>
      </c>
      <c r="J62" s="40">
        <f>TModelo[[#This Row],[Act]]*(EXP(MuTRM+SigmaTRM^2/2)-1)</f>
        <v>1.9069525320893899E-3</v>
      </c>
      <c r="K62" s="11">
        <f>TModelo[[#This Row],[Act]]*IF(Rebalanceo="Mensual",1,IF(Rebalanceo="Anual",IF(MOD(TModelo[[#This Row],[Period]]-1,12)=0,1,0),0))</f>
        <v>1</v>
      </c>
      <c r="L62" s="24">
        <f>TModelo[[#This Row],[Act]]*AporteMensual*IF(CrecimientoAporte="Con IPC",F61,1)</f>
        <v>1097669.5526430986</v>
      </c>
      <c r="M62" s="24">
        <f>IF(TModelo[[#This Row],[Period]]=HorizonteMeses,TModelo[[#This Row],[TotalPreLiq]],0)</f>
        <v>0</v>
      </c>
      <c r="N62" s="24">
        <f>TModelo[[#This Row],[Inflow]]-TModelo[[#This Row],[Outflow]]</f>
        <v>-1097669.5526430986</v>
      </c>
      <c r="O62" s="24">
        <f t="shared" si="0"/>
        <v>47276675.246820249</v>
      </c>
      <c r="P62" s="24">
        <f>TModelo[[#This Row],[IntCDT]]+TModelo[[#This Row],[IntCOLCAP]]+TModelo[[#This Row],[IntUSD]]</f>
        <v>370440.03311260376</v>
      </c>
      <c r="Q62" s="24">
        <f>TModelo[[#This Row],[InitialBalance]]+TModelo[[#This Row],[Interest]]+TModelo[[#This Row],[Outflow]]-TModelo[[#This Row],[Inflow]]</f>
        <v>48744784.832575947</v>
      </c>
      <c r="R62" s="24">
        <f>TModelo[[#This Row],[Act]]*IF(TModelo[[#This Row],[Rebal]]=1,PesoCDT*(X61+Y61+Z61),X61)</f>
        <v>28366005.148092154</v>
      </c>
      <c r="S62" s="24">
        <f>TModelo[[#This Row],[Act]]*IF(TModelo[[#This Row],[Rebal]]=1,PesoCOLCAP*(X61+Y61+Z61),Y61)</f>
        <v>11819168.811705064</v>
      </c>
      <c r="T62" s="24">
        <f>TModelo[[#This Row],[Act]]*IF(TModelo[[#This Row],[Rebal]]=1,PesoUSD*(X61+Y61+Z61),Z61)</f>
        <v>7091501.2870230386</v>
      </c>
      <c r="U62" s="24">
        <f>TModelo[[#This Row],[IniCDT]]*TModelo[[#This Row],[RetCDT]]</f>
        <v>272668.58952307532</v>
      </c>
      <c r="V62" s="24">
        <f>TModelo[[#This Row],[IniCOLCAP]]*TModelo[[#This Row],[RetCOLCAP]]</f>
        <v>84248.287253924704</v>
      </c>
      <c r="W62" s="24">
        <f>TModelo[[#This Row],[IniUSD]]*TModelo[[#This Row],[RetUSD]]</f>
        <v>13523.156335603751</v>
      </c>
      <c r="X62" s="24">
        <f>TModelo[[#This Row],[Act]]*(TModelo[[#This Row],[IniCDT]]+TModelo[[#This Row],[IntCDT]]+PesoCDT*TModelo[[#This Row],[Outflow]])</f>
        <v>29297275.469201092</v>
      </c>
      <c r="Y62" s="24">
        <f>TModelo[[#This Row],[Act]]*(TModelo[[#This Row],[IniCOLCAP]]+TModelo[[#This Row],[IntCOLCAP]]+PesoCOLCAP*TModelo[[#This Row],[Outflow]])</f>
        <v>12177834.487119764</v>
      </c>
      <c r="Z62" s="24">
        <f>TModelo[[#This Row],[Act]]*(TModelo[[#This Row],[IniUSD]]+TModelo[[#This Row],[IntUSD]]+PesoUSD*TModelo[[#This Row],[Outflow]])</f>
        <v>7269674.8762551071</v>
      </c>
      <c r="AA62" s="24">
        <f>TModelo[[#This Row],[BalCDT]]+TModelo[[#This Row],[BalCOLCAP]]+TModelo[[#This Row],[BalUSD]]</f>
        <v>48744784.832575962</v>
      </c>
      <c r="AB62" s="24">
        <f>IF(TModelo[[#This Row],[CumInfl]]&gt;0,TModelo[[#This Row],[TotalPreLiq]]/TModelo[[#This Row],[CumInfl]],0)</f>
        <v>44298246.632792853</v>
      </c>
      <c r="AC62" s="41">
        <f>(1+PerRate)^(-TModelo[[#This Row],[Period]])</f>
        <v>0.76128696446795985</v>
      </c>
      <c r="AD62" s="42">
        <f>TModelo[[#This Row],[NetCF]]*TModelo[[#This Row],[fd]]</f>
        <v>-835641.52172056807</v>
      </c>
    </row>
    <row r="63" spans="2:30" ht="16.95" customHeight="1">
      <c r="B63" s="11">
        <v>36</v>
      </c>
      <c r="C63" s="25">
        <f>EDATE(FechaInicio,TModelo[[#This Row],[Period]])</f>
        <v>47390</v>
      </c>
      <c r="D63" s="11">
        <f>IF(AND(TModelo[[#This Row],[Period]]&gt;=1,TModelo[[#This Row],[Period]]&lt;=HorizonteMeses),1,0)</f>
        <v>1</v>
      </c>
      <c r="E63" s="40">
        <f>TModelo[[#This Row],[Act]]*(INFb+(INFpi0-INFb)*(1-INFa)^TModelo[[#This Row],[Period]])</f>
        <v>2.4666943798353378E-3</v>
      </c>
      <c r="F63" s="28">
        <f>IF(TModelo[[#This Row],[Period]]&lt;=HorizonteMeses,F62*(1+TModelo[[#This Row],[InflMes]]),0)</f>
        <v>1.1030915901577747</v>
      </c>
      <c r="G63" s="21">
        <f>TModelo[[#This Row],[Act]]*(CDTb+(CDTx0-CDTb)*(1-CDTa)^TModelo[[#This Row],[Period]]+CDTspread)</f>
        <v>0.12683780537082792</v>
      </c>
      <c r="H63" s="40">
        <f>TModelo[[#This Row],[Act]]*((1+TModelo[[#This Row],[TasaCDT]])^(1/12)-1)*(1-Retencion)</f>
        <v>9.6009160552067378E-3</v>
      </c>
      <c r="I63" s="40">
        <f>TModelo[[#This Row],[Act]]*(EXP(MuCOLCAP+SigmaCOLCAP^2/2)-1)</f>
        <v>7.1281059265766444E-3</v>
      </c>
      <c r="J63" s="40">
        <f>TModelo[[#This Row],[Act]]*(EXP(MuTRM+SigmaTRM^2/2)-1)</f>
        <v>1.9069525320893899E-3</v>
      </c>
      <c r="K63" s="11">
        <f>TModelo[[#This Row],[Act]]*IF(Rebalanceo="Mensual",1,IF(Rebalanceo="Anual",IF(MOD(TModelo[[#This Row],[Period]]-1,12)=0,1,0),0))</f>
        <v>1</v>
      </c>
      <c r="L63" s="24">
        <f>TModelo[[#This Row],[Act]]*AporteMensual*IF(CrecimientoAporte="Con IPC",F62,1)</f>
        <v>1100377.2956668548</v>
      </c>
      <c r="M63" s="24">
        <f>IF(TModelo[[#This Row],[Period]]=HorizonteMeses,TModelo[[#This Row],[TotalPreLiq]],0)</f>
        <v>0</v>
      </c>
      <c r="N63" s="24">
        <f>TModelo[[#This Row],[Inflow]]-TModelo[[#This Row],[Outflow]]</f>
        <v>-1100377.2956668548</v>
      </c>
      <c r="O63" s="24">
        <f t="shared" si="0"/>
        <v>48744784.832575947</v>
      </c>
      <c r="P63" s="24">
        <f>TModelo[[#This Row],[IntCDT]]+TModelo[[#This Row],[IntCOLCAP]]+TModelo[[#This Row],[IntUSD]]</f>
        <v>381604.3484270979</v>
      </c>
      <c r="Q63" s="24">
        <f>TModelo[[#This Row],[InitialBalance]]+TModelo[[#This Row],[Interest]]+TModelo[[#This Row],[Outflow]]-TModelo[[#This Row],[Inflow]]</f>
        <v>50226766.476669893</v>
      </c>
      <c r="R63" s="24">
        <f>TModelo[[#This Row],[Act]]*IF(TModelo[[#This Row],[Rebal]]=1,PesoCDT*(X62+Y62+Z62),X62)</f>
        <v>29246870.899545576</v>
      </c>
      <c r="S63" s="24">
        <f>TModelo[[#This Row],[Act]]*IF(TModelo[[#This Row],[Rebal]]=1,PesoCOLCAP*(X62+Y62+Z62),Y62)</f>
        <v>12186196.20814399</v>
      </c>
      <c r="T63" s="24">
        <f>TModelo[[#This Row],[Act]]*IF(TModelo[[#This Row],[Rebal]]=1,PesoUSD*(X62+Y62+Z62),Z62)</f>
        <v>7311717.7248863941</v>
      </c>
      <c r="U63" s="24">
        <f>TModelo[[#This Row],[IniCDT]]*TModelo[[#This Row],[RetCDT]]</f>
        <v>280796.75238400587</v>
      </c>
      <c r="V63" s="24">
        <f>TModelo[[#This Row],[IniCOLCAP]]*TModelo[[#This Row],[RetCOLCAP]]</f>
        <v>86864.497413697012</v>
      </c>
      <c r="W63" s="24">
        <f>TModelo[[#This Row],[IniUSD]]*TModelo[[#This Row],[RetUSD]]</f>
        <v>13943.098629394983</v>
      </c>
      <c r="X63" s="24">
        <f>TModelo[[#This Row],[Act]]*(TModelo[[#This Row],[IniCDT]]+TModelo[[#This Row],[IntCDT]]+PesoCDT*TModelo[[#This Row],[Outflow]])</f>
        <v>30187894.029329695</v>
      </c>
      <c r="Y63" s="24">
        <f>TModelo[[#This Row],[Act]]*(TModelo[[#This Row],[IniCOLCAP]]+TModelo[[#This Row],[IntCOLCAP]]+PesoCOLCAP*TModelo[[#This Row],[Outflow]])</f>
        <v>12548155.0294744</v>
      </c>
      <c r="Z63" s="24">
        <f>TModelo[[#This Row],[Act]]*(TModelo[[#This Row],[IniUSD]]+TModelo[[#This Row],[IntUSD]]+PesoUSD*TModelo[[#This Row],[Outflow]])</f>
        <v>7490717.4178658165</v>
      </c>
      <c r="AA63" s="24">
        <f>TModelo[[#This Row],[BalCDT]]+TModelo[[#This Row],[BalCOLCAP]]+TModelo[[#This Row],[BalUSD]]</f>
        <v>50226766.476669908</v>
      </c>
      <c r="AB63" s="24">
        <f>IF(TModelo[[#This Row],[CumInfl]]&gt;0,TModelo[[#This Row],[TotalPreLiq]]/TModelo[[#This Row],[CumInfl]],0)</f>
        <v>45532725.409941703</v>
      </c>
      <c r="AC63" s="41">
        <f>(1+PerRate)^(-TModelo[[#This Row],[Period]])</f>
        <v>0.75537752992663199</v>
      </c>
      <c r="AD63" s="42">
        <f>TModelo[[#This Row],[NetCF]]*TModelo[[#This Row],[fd]]</f>
        <v>-831200.28358817601</v>
      </c>
    </row>
    <row r="64" spans="2:30" ht="16.95" customHeight="1">
      <c r="B64" s="11">
        <v>37</v>
      </c>
      <c r="C64" s="25">
        <f>EDATE(FechaInicio,TModelo[[#This Row],[Period]])</f>
        <v>47420</v>
      </c>
      <c r="D64" s="11">
        <f>IF(AND(TModelo[[#This Row],[Period]]&gt;=1,TModelo[[#This Row],[Period]]&lt;=HorizonteMeses),1,0)</f>
        <v>1</v>
      </c>
      <c r="E64" s="40">
        <f>TModelo[[#This Row],[Act]]*(INFb+(INFpi0-INFb)*(1-INFa)^TModelo[[#This Row],[Period]])</f>
        <v>2.4666030582350604E-3</v>
      </c>
      <c r="F64" s="28">
        <f>IF(TModelo[[#This Row],[Period]]&lt;=HorizonteMeses,F63*(1+TModelo[[#This Row],[InflMes]]),0)</f>
        <v>1.1058124792475712</v>
      </c>
      <c r="G64" s="21">
        <f>TModelo[[#This Row],[Act]]*(CDTb+(CDTx0-CDTb)*(1-CDTa)^TModelo[[#This Row],[Period]]+CDTspread)</f>
        <v>0.12667858089326978</v>
      </c>
      <c r="H64" s="40">
        <f>TModelo[[#This Row],[Act]]*((1+TModelo[[#This Row],[TasaCDT]])^(1/12)-1)*(1-Retencion)</f>
        <v>9.5894981003247885E-3</v>
      </c>
      <c r="I64" s="40">
        <f>TModelo[[#This Row],[Act]]*(EXP(MuCOLCAP+SigmaCOLCAP^2/2)-1)</f>
        <v>7.1281059265766444E-3</v>
      </c>
      <c r="J64" s="40">
        <f>TModelo[[#This Row],[Act]]*(EXP(MuTRM+SigmaTRM^2/2)-1)</f>
        <v>1.9069525320893899E-3</v>
      </c>
      <c r="K64" s="11">
        <f>TModelo[[#This Row],[Act]]*IF(Rebalanceo="Mensual",1,IF(Rebalanceo="Anual",IF(MOD(TModelo[[#This Row],[Period]]-1,12)=0,1,0),0))</f>
        <v>1</v>
      </c>
      <c r="L64" s="24">
        <f>TModelo[[#This Row],[Act]]*AporteMensual*IF(CrecimientoAporte="Con IPC",F63,1)</f>
        <v>1103091.5901577747</v>
      </c>
      <c r="M64" s="24">
        <f>IF(TModelo[[#This Row],[Period]]=HorizonteMeses,TModelo[[#This Row],[TotalPreLiq]],0)</f>
        <v>0</v>
      </c>
      <c r="N64" s="24">
        <f>TModelo[[#This Row],[Inflow]]-TModelo[[#This Row],[Outflow]]</f>
        <v>-1103091.5901577747</v>
      </c>
      <c r="O64" s="24">
        <f t="shared" si="0"/>
        <v>50226766.476669893</v>
      </c>
      <c r="P64" s="24">
        <f>TModelo[[#This Row],[IntCDT]]+TModelo[[#This Row],[IntCOLCAP]]+TModelo[[#This Row],[IntUSD]]</f>
        <v>392862.12590357487</v>
      </c>
      <c r="Q64" s="24">
        <f>TModelo[[#This Row],[InitialBalance]]+TModelo[[#This Row],[Interest]]+TModelo[[#This Row],[Outflow]]-TModelo[[#This Row],[Inflow]]</f>
        <v>51722720.192731246</v>
      </c>
      <c r="R64" s="24">
        <f>TModelo[[#This Row],[Act]]*IF(TModelo[[#This Row],[Rebal]]=1,PesoCDT*(X63+Y63+Z63),X63)</f>
        <v>30136059.886001945</v>
      </c>
      <c r="S64" s="24">
        <f>TModelo[[#This Row],[Act]]*IF(TModelo[[#This Row],[Rebal]]=1,PesoCOLCAP*(X63+Y63+Z63),Y63)</f>
        <v>12556691.619167477</v>
      </c>
      <c r="T64" s="24">
        <f>TModelo[[#This Row],[Act]]*IF(TModelo[[#This Row],[Rebal]]=1,PesoUSD*(X63+Y63+Z63),Z63)</f>
        <v>7534014.9715004861</v>
      </c>
      <c r="U64" s="24">
        <f>TModelo[[#This Row],[IniCDT]]*TModelo[[#This Row],[RetCDT]]</f>
        <v>288989.68902808969</v>
      </c>
      <c r="V64" s="24">
        <f>TModelo[[#This Row],[IniCOLCAP]]*TModelo[[#This Row],[RetCOLCAP]]</f>
        <v>89505.427948782977</v>
      </c>
      <c r="W64" s="24">
        <f>TModelo[[#This Row],[IniUSD]]*TModelo[[#This Row],[RetUSD]]</f>
        <v>14367.008926702225</v>
      </c>
      <c r="X64" s="24">
        <f>TModelo[[#This Row],[Act]]*(TModelo[[#This Row],[IniCDT]]+TModelo[[#This Row],[IntCDT]]+PesoCDT*TModelo[[#This Row],[Outflow]])</f>
        <v>31086904.529124696</v>
      </c>
      <c r="Y64" s="24">
        <f>TModelo[[#This Row],[Act]]*(TModelo[[#This Row],[IniCOLCAP]]+TModelo[[#This Row],[IntCOLCAP]]+PesoCOLCAP*TModelo[[#This Row],[Outflow]])</f>
        <v>12921969.944655703</v>
      </c>
      <c r="Z64" s="24">
        <f>TModelo[[#This Row],[Act]]*(TModelo[[#This Row],[IniUSD]]+TModelo[[#This Row],[IntUSD]]+PesoUSD*TModelo[[#This Row],[Outflow]])</f>
        <v>7713845.7189508546</v>
      </c>
      <c r="AA64" s="24">
        <f>TModelo[[#This Row],[BalCDT]]+TModelo[[#This Row],[BalCOLCAP]]+TModelo[[#This Row],[BalUSD]]</f>
        <v>51722720.192731254</v>
      </c>
      <c r="AB64" s="24">
        <f>IF(TModelo[[#This Row],[CumInfl]]&gt;0,TModelo[[#This Row],[TotalPreLiq]]/TModelo[[#This Row],[CumInfl]],0)</f>
        <v>46773500.176019885</v>
      </c>
      <c r="AC64" s="41">
        <f>(1+PerRate)^(-TModelo[[#This Row],[Period]])</f>
        <v>0.74951396693995831</v>
      </c>
      <c r="AD64" s="42">
        <f>TModelo[[#This Row],[NetCF]]*TModelo[[#This Row],[fd]]</f>
        <v>-826782.55363726045</v>
      </c>
    </row>
    <row r="65" spans="2:30" ht="16.95" customHeight="1">
      <c r="B65" s="11">
        <v>38</v>
      </c>
      <c r="C65" s="25">
        <f>EDATE(FechaInicio,TModelo[[#This Row],[Period]])</f>
        <v>47451</v>
      </c>
      <c r="D65" s="11">
        <f>IF(AND(TModelo[[#This Row],[Period]]&gt;=1,TModelo[[#This Row],[Period]]&lt;=HorizonteMeses),1,0)</f>
        <v>1</v>
      </c>
      <c r="E65" s="40">
        <f>TModelo[[#This Row],[Act]]*(INFb+(INFpi0-INFb)*(1-INFa)^TModelo[[#This Row],[Period]])</f>
        <v>2.4665313774420122E-3</v>
      </c>
      <c r="F65" s="28">
        <f>IF(TModelo[[#This Row],[Period]]&lt;=HorizonteMeses,F64*(1+TModelo[[#This Row],[InflMes]]),0)</f>
        <v>1.1085400004252022</v>
      </c>
      <c r="G65" s="21">
        <f>TModelo[[#This Row],[Act]]*(CDTb+(CDTx0-CDTb)*(1-CDTa)^TModelo[[#This Row],[Period]]+CDTspread)</f>
        <v>0.12652183261439748</v>
      </c>
      <c r="H65" s="40">
        <f>TModelo[[#This Row],[Act]]*((1+TModelo[[#This Row],[TasaCDT]])^(1/12)-1)*(1-Retencion)</f>
        <v>9.5782562682398265E-3</v>
      </c>
      <c r="I65" s="40">
        <f>TModelo[[#This Row],[Act]]*(EXP(MuCOLCAP+SigmaCOLCAP^2/2)-1)</f>
        <v>7.1281059265766444E-3</v>
      </c>
      <c r="J65" s="40">
        <f>TModelo[[#This Row],[Act]]*(EXP(MuTRM+SigmaTRM^2/2)-1)</f>
        <v>1.9069525320893899E-3</v>
      </c>
      <c r="K65" s="11">
        <f>TModelo[[#This Row],[Act]]*IF(Rebalanceo="Mensual",1,IF(Rebalanceo="Anual",IF(MOD(TModelo[[#This Row],[Period]]-1,12)=0,1,0),0))</f>
        <v>1</v>
      </c>
      <c r="L65" s="24">
        <f>TModelo[[#This Row],[Act]]*AporteMensual*IF(CrecimientoAporte="Con IPC",F64,1)</f>
        <v>1105812.4792475712</v>
      </c>
      <c r="M65" s="24">
        <f>IF(TModelo[[#This Row],[Period]]=HorizonteMeses,TModelo[[#This Row],[TotalPreLiq]],0)</f>
        <v>0</v>
      </c>
      <c r="N65" s="24">
        <f>TModelo[[#This Row],[Inflow]]-TModelo[[#This Row],[Outflow]]</f>
        <v>-1105812.4792475712</v>
      </c>
      <c r="O65" s="24">
        <f t="shared" si="0"/>
        <v>51722720.192731246</v>
      </c>
      <c r="P65" s="24">
        <f>TModelo[[#This Row],[IntCDT]]+TModelo[[#This Row],[IntCOLCAP]]+TModelo[[#This Row],[IntUSD]]</f>
        <v>404214.25425969594</v>
      </c>
      <c r="Q65" s="24">
        <f>TModelo[[#This Row],[InitialBalance]]+TModelo[[#This Row],[Interest]]+TModelo[[#This Row],[Outflow]]-TModelo[[#This Row],[Inflow]]</f>
        <v>53232746.926238514</v>
      </c>
      <c r="R65" s="24">
        <f>TModelo[[#This Row],[Act]]*IF(TModelo[[#This Row],[Rebal]]=1,PesoCDT*(X64+Y64+Z64),X64)</f>
        <v>31033632.115638752</v>
      </c>
      <c r="S65" s="24">
        <f>TModelo[[#This Row],[Act]]*IF(TModelo[[#This Row],[Rebal]]=1,PesoCOLCAP*(X64+Y64+Z64),Y64)</f>
        <v>12930680.048182813</v>
      </c>
      <c r="T65" s="24">
        <f>TModelo[[#This Row],[Act]]*IF(TModelo[[#This Row],[Rebal]]=1,PesoUSD*(X64+Y64+Z64),Z64)</f>
        <v>7758408.0289096879</v>
      </c>
      <c r="U65" s="24">
        <f>TModelo[[#This Row],[IniCDT]]*TModelo[[#This Row],[RetCDT]]</f>
        <v>297248.08133786567</v>
      </c>
      <c r="V65" s="24">
        <f>TModelo[[#This Row],[IniCOLCAP]]*TModelo[[#This Row],[RetCOLCAP]]</f>
        <v>92171.257086118276</v>
      </c>
      <c r="W65" s="24">
        <f>TModelo[[#This Row],[IniUSD]]*TModelo[[#This Row],[RetUSD]]</f>
        <v>14794.915835711981</v>
      </c>
      <c r="X65" s="24">
        <f>TModelo[[#This Row],[Act]]*(TModelo[[#This Row],[IniCDT]]+TModelo[[#This Row],[IntCDT]]+PesoCDT*TModelo[[#This Row],[Outflow]])</f>
        <v>31994367.684525158</v>
      </c>
      <c r="Y65" s="24">
        <f>TModelo[[#This Row],[Act]]*(TModelo[[#This Row],[IniCOLCAP]]+TModelo[[#This Row],[IntCOLCAP]]+PesoCOLCAP*TModelo[[#This Row],[Outflow]])</f>
        <v>13299304.425080825</v>
      </c>
      <c r="Z65" s="24">
        <f>TModelo[[#This Row],[Act]]*(TModelo[[#This Row],[IniUSD]]+TModelo[[#This Row],[IntUSD]]+PesoUSD*TModelo[[#This Row],[Outflow]])</f>
        <v>7939074.8166325353</v>
      </c>
      <c r="AA65" s="24">
        <f>TModelo[[#This Row],[BalCDT]]+TModelo[[#This Row],[BalCOLCAP]]+TModelo[[#This Row],[BalUSD]]</f>
        <v>53232746.926238522</v>
      </c>
      <c r="AB65" s="24">
        <f>IF(TModelo[[#This Row],[CumInfl]]&gt;0,TModelo[[#This Row],[TotalPreLiq]]/TModelo[[#This Row],[CumInfl]],0)</f>
        <v>48020591.864813231</v>
      </c>
      <c r="AC65" s="41">
        <f>(1+PerRate)^(-TModelo[[#This Row],[Period]])</f>
        <v>0.74369591943334146</v>
      </c>
      <c r="AD65" s="42">
        <f>TModelo[[#This Row],[NetCF]]*TModelo[[#This Row],[fd]]</f>
        <v>-822388.22847488534</v>
      </c>
    </row>
    <row r="66" spans="2:30" ht="16.95" customHeight="1">
      <c r="B66" s="11">
        <v>39</v>
      </c>
      <c r="C66" s="25">
        <f>EDATE(FechaInicio,TModelo[[#This Row],[Period]])</f>
        <v>47481</v>
      </c>
      <c r="D66" s="11">
        <f>IF(AND(TModelo[[#This Row],[Period]]&gt;=1,TModelo[[#This Row],[Period]]&lt;=HorizonteMeses),1,0)</f>
        <v>1</v>
      </c>
      <c r="E66" s="40">
        <f>TModelo[[#This Row],[Act]]*(INFb+(INFpi0-INFb)*(1-INFa)^TModelo[[#This Row],[Period]])</f>
        <v>2.4664751132495713E-3</v>
      </c>
      <c r="F66" s="28">
        <f>IF(TModelo[[#This Row],[Period]]&lt;=HorizonteMeses,F65*(1+TModelo[[#This Row],[InflMes]]),0)</f>
        <v>1.1112741867482925</v>
      </c>
      <c r="G66" s="21">
        <f>TModelo[[#This Row],[Act]]*(CDTb+(CDTx0-CDTb)*(1-CDTa)^TModelo[[#This Row],[Period]]+CDTspread)</f>
        <v>0.12636752202530824</v>
      </c>
      <c r="H66" s="40">
        <f>TModelo[[#This Row],[Act]]*((1+TModelo[[#This Row],[TasaCDT]])^(1/12)-1)*(1-Retencion)</f>
        <v>9.5671878641751806E-3</v>
      </c>
      <c r="I66" s="40">
        <f>TModelo[[#This Row],[Act]]*(EXP(MuCOLCAP+SigmaCOLCAP^2/2)-1)</f>
        <v>7.1281059265766444E-3</v>
      </c>
      <c r="J66" s="40">
        <f>TModelo[[#This Row],[Act]]*(EXP(MuTRM+SigmaTRM^2/2)-1)</f>
        <v>1.9069525320893899E-3</v>
      </c>
      <c r="K66" s="11">
        <f>TModelo[[#This Row],[Act]]*IF(Rebalanceo="Mensual",1,IF(Rebalanceo="Anual",IF(MOD(TModelo[[#This Row],[Period]]-1,12)=0,1,0),0))</f>
        <v>1</v>
      </c>
      <c r="L66" s="24">
        <f>TModelo[[#This Row],[Act]]*AporteMensual*IF(CrecimientoAporte="Con IPC",F65,1)</f>
        <v>1108540.0004252021</v>
      </c>
      <c r="M66" s="24">
        <f>IF(TModelo[[#This Row],[Period]]=HorizonteMeses,TModelo[[#This Row],[TotalPreLiq]],0)</f>
        <v>0</v>
      </c>
      <c r="N66" s="24">
        <f>TModelo[[#This Row],[Inflow]]-TModelo[[#This Row],[Outflow]]</f>
        <v>-1108540.0004252021</v>
      </c>
      <c r="O66" s="24">
        <f t="shared" si="0"/>
        <v>53232746.926238514</v>
      </c>
      <c r="P66" s="24">
        <f>TModelo[[#This Row],[IntCDT]]+TModelo[[#This Row],[IntCOLCAP]]+TModelo[[#This Row],[IntUSD]]</f>
        <v>415661.62716602918</v>
      </c>
      <c r="Q66" s="24">
        <f>TModelo[[#This Row],[InitialBalance]]+TModelo[[#This Row],[Interest]]+TModelo[[#This Row],[Outflow]]-TModelo[[#This Row],[Inflow]]</f>
        <v>54756948.553829752</v>
      </c>
      <c r="R66" s="24">
        <f>TModelo[[#This Row],[Act]]*IF(TModelo[[#This Row],[Rebal]]=1,PesoCDT*(X65+Y65+Z65),X65)</f>
        <v>31939648.155743111</v>
      </c>
      <c r="S66" s="24">
        <f>TModelo[[#This Row],[Act]]*IF(TModelo[[#This Row],[Rebal]]=1,PesoCOLCAP*(X65+Y65+Z65),Y65)</f>
        <v>13308186.73155963</v>
      </c>
      <c r="T66" s="24">
        <f>TModelo[[#This Row],[Act]]*IF(TModelo[[#This Row],[Rebal]]=1,PesoUSD*(X65+Y65+Z65),Z65)</f>
        <v>7984912.0389357777</v>
      </c>
      <c r="U66" s="24">
        <f>TModelo[[#This Row],[IniCDT]]*TModelo[[#This Row],[RetCDT]]</f>
        <v>305572.6142216507</v>
      </c>
      <c r="V66" s="24">
        <f>TModelo[[#This Row],[IniCOLCAP]]*TModelo[[#This Row],[RetCOLCAP]]</f>
        <v>94862.164713218866</v>
      </c>
      <c r="W66" s="24">
        <f>TModelo[[#This Row],[IniUSD]]*TModelo[[#This Row],[RetUSD]]</f>
        <v>15226.848231159634</v>
      </c>
      <c r="X66" s="24">
        <f>TModelo[[#This Row],[Act]]*(TModelo[[#This Row],[IniCDT]]+TModelo[[#This Row],[IntCDT]]+PesoCDT*TModelo[[#This Row],[Outflow]])</f>
        <v>32910344.770219885</v>
      </c>
      <c r="Y66" s="24">
        <f>TModelo[[#This Row],[Act]]*(TModelo[[#This Row],[IniCOLCAP]]+TModelo[[#This Row],[IntCOLCAP]]+PesoCOLCAP*TModelo[[#This Row],[Outflow]])</f>
        <v>13680183.89637915</v>
      </c>
      <c r="Z66" s="24">
        <f>TModelo[[#This Row],[Act]]*(TModelo[[#This Row],[IniUSD]]+TModelo[[#This Row],[IntUSD]]+PesoUSD*TModelo[[#This Row],[Outflow]])</f>
        <v>8166419.8872307185</v>
      </c>
      <c r="AA66" s="24">
        <f>TModelo[[#This Row],[BalCDT]]+TModelo[[#This Row],[BalCOLCAP]]+TModelo[[#This Row],[BalUSD]]</f>
        <v>54756948.553829752</v>
      </c>
      <c r="AB66" s="24">
        <f>IF(TModelo[[#This Row],[CumInfl]]&gt;0,TModelo[[#This Row],[TotalPreLiq]]/TModelo[[#This Row],[CumInfl]],0)</f>
        <v>49274021.845188774</v>
      </c>
      <c r="AC66" s="41">
        <f>(1+PerRate)^(-TModelo[[#This Row],[Period]])</f>
        <v>0.73792303409618676</v>
      </c>
      <c r="AD66" s="42">
        <f>TModelo[[#This Row],[NetCF]]*TModelo[[#This Row],[fd]]</f>
        <v>-818017.20053075324</v>
      </c>
    </row>
    <row r="67" spans="2:30" ht="16.95" customHeight="1">
      <c r="B67" s="11">
        <v>40</v>
      </c>
      <c r="C67" s="25">
        <f>EDATE(FechaInicio,TModelo[[#This Row],[Period]])</f>
        <v>47512</v>
      </c>
      <c r="D67" s="11">
        <f>IF(AND(TModelo[[#This Row],[Period]]&gt;=1,TModelo[[#This Row],[Period]]&lt;=HorizonteMeses),1,0)</f>
        <v>1</v>
      </c>
      <c r="E67" s="40">
        <f>TModelo[[#This Row],[Act]]*(INFb+(INFpi0-INFb)*(1-INFa)^TModelo[[#This Row],[Period]])</f>
        <v>2.4664309499637534E-3</v>
      </c>
      <c r="F67" s="28">
        <f>IF(TModelo[[#This Row],[Period]]&lt;=HorizonteMeses,F66*(1+TModelo[[#This Row],[InflMes]]),0)</f>
        <v>1.1140150677963843</v>
      </c>
      <c r="G67" s="21">
        <f>TModelo[[#This Row],[Act]]*(CDTb+(CDTx0-CDTb)*(1-CDTa)^TModelo[[#This Row],[Period]]+CDTspread)</f>
        <v>0.1262156112159751</v>
      </c>
      <c r="H67" s="40">
        <f>TModelo[[#This Row],[Act]]*((1+TModelo[[#This Row],[TasaCDT]])^(1/12)-1)*(1-Retencion)</f>
        <v>9.5562902339150213E-3</v>
      </c>
      <c r="I67" s="40">
        <f>TModelo[[#This Row],[Act]]*(EXP(MuCOLCAP+SigmaCOLCAP^2/2)-1)</f>
        <v>7.1281059265766444E-3</v>
      </c>
      <c r="J67" s="40">
        <f>TModelo[[#This Row],[Act]]*(EXP(MuTRM+SigmaTRM^2/2)-1)</f>
        <v>1.9069525320893899E-3</v>
      </c>
      <c r="K67" s="11">
        <f>TModelo[[#This Row],[Act]]*IF(Rebalanceo="Mensual",1,IF(Rebalanceo="Anual",IF(MOD(TModelo[[#This Row],[Period]]-1,12)=0,1,0),0))</f>
        <v>1</v>
      </c>
      <c r="L67" s="24">
        <f>TModelo[[#This Row],[Act]]*AporteMensual*IF(CrecimientoAporte="Con IPC",F66,1)</f>
        <v>1111274.1867482925</v>
      </c>
      <c r="M67" s="24">
        <f>IF(TModelo[[#This Row],[Period]]=HorizonteMeses,TModelo[[#This Row],[TotalPreLiq]],0)</f>
        <v>0</v>
      </c>
      <c r="N67" s="24">
        <f>TModelo[[#This Row],[Inflow]]-TModelo[[#This Row],[Outflow]]</f>
        <v>-1111274.1867482925</v>
      </c>
      <c r="O67" s="24">
        <f t="shared" si="0"/>
        <v>54756948.553829752</v>
      </c>
      <c r="P67" s="24">
        <f>TModelo[[#This Row],[IntCDT]]+TModelo[[#This Row],[IntCOLCAP]]+TModelo[[#This Row],[IntUSD]]</f>
        <v>427205.14325345401</v>
      </c>
      <c r="Q67" s="24">
        <f>TModelo[[#This Row],[InitialBalance]]+TModelo[[#This Row],[Interest]]+TModelo[[#This Row],[Outflow]]-TModelo[[#This Row],[Inflow]]</f>
        <v>56295427.883831501</v>
      </c>
      <c r="R67" s="24">
        <f>TModelo[[#This Row],[Act]]*IF(TModelo[[#This Row],[Rebal]]=1,PesoCDT*(X66+Y66+Z66),X66)</f>
        <v>32854169.132297851</v>
      </c>
      <c r="S67" s="24">
        <f>TModelo[[#This Row],[Act]]*IF(TModelo[[#This Row],[Rebal]]=1,PesoCOLCAP*(X66+Y66+Z66),Y66)</f>
        <v>13689237.138457438</v>
      </c>
      <c r="T67" s="24">
        <f>TModelo[[#This Row],[Act]]*IF(TModelo[[#This Row],[Rebal]]=1,PesoUSD*(X66+Y66+Z66),Z66)</f>
        <v>8213542.2830744628</v>
      </c>
      <c r="U67" s="24">
        <f>TModelo[[#This Row],[IniCDT]]*TModelo[[#This Row],[RetCDT]]</f>
        <v>313963.97562237032</v>
      </c>
      <c r="V67" s="24">
        <f>TModelo[[#This Row],[IniCOLCAP]]*TModelo[[#This Row],[RetCOLCAP]]</f>
        <v>97578.33237695157</v>
      </c>
      <c r="W67" s="24">
        <f>TModelo[[#This Row],[IniUSD]]*TModelo[[#This Row],[RetUSD]]</f>
        <v>15662.835254132115</v>
      </c>
      <c r="X67" s="24">
        <f>TModelo[[#This Row],[Act]]*(TModelo[[#This Row],[IniCDT]]+TModelo[[#This Row],[IntCDT]]+PesoCDT*TModelo[[#This Row],[Outflow]])</f>
        <v>33834897.619969197</v>
      </c>
      <c r="Y67" s="24">
        <f>TModelo[[#This Row],[Act]]*(TModelo[[#This Row],[IniCOLCAP]]+TModelo[[#This Row],[IntCOLCAP]]+PesoCOLCAP*TModelo[[#This Row],[Outflow]])</f>
        <v>14064634.017521463</v>
      </c>
      <c r="Z67" s="24">
        <f>TModelo[[#This Row],[Act]]*(TModelo[[#This Row],[IniUSD]]+TModelo[[#This Row],[IntUSD]]+PesoUSD*TModelo[[#This Row],[Outflow]])</f>
        <v>8395896.2463408392</v>
      </c>
      <c r="AA67" s="24">
        <f>TModelo[[#This Row],[BalCDT]]+TModelo[[#This Row],[BalCOLCAP]]+TModelo[[#This Row],[BalUSD]]</f>
        <v>56295427.883831501</v>
      </c>
      <c r="AB67" s="24">
        <f>IF(TModelo[[#This Row],[CumInfl]]&gt;0,TModelo[[#This Row],[TotalPreLiq]]/TModelo[[#This Row],[CumInfl]],0)</f>
        <v>50533811.894652918</v>
      </c>
      <c r="AC67" s="41">
        <f>(1+PerRate)^(-TModelo[[#This Row],[Period]])</f>
        <v>0.73219496036044751</v>
      </c>
      <c r="AD67" s="42">
        <f>TModelo[[#This Row],[NetCF]]*TModelo[[#This Row],[fd]]</f>
        <v>-813669.3591157546</v>
      </c>
    </row>
    <row r="68" spans="2:30" ht="16.95" customHeight="1">
      <c r="B68" s="11">
        <v>41</v>
      </c>
      <c r="C68" s="25">
        <f>EDATE(FechaInicio,TModelo[[#This Row],[Period]])</f>
        <v>47542</v>
      </c>
      <c r="D68" s="11">
        <f>IF(AND(TModelo[[#This Row],[Period]]&gt;=1,TModelo[[#This Row],[Period]]&lt;=HorizonteMeses),1,0)</f>
        <v>1</v>
      </c>
      <c r="E68" s="40">
        <f>TModelo[[#This Row],[Act]]*(INFb+(INFpi0-INFb)*(1-INFa)^TModelo[[#This Row],[Period]])</f>
        <v>2.4663962850067071E-3</v>
      </c>
      <c r="F68" s="28">
        <f>IF(TModelo[[#This Row],[Period]]&lt;=HorizonteMeses,F67*(1+TModelo[[#This Row],[InflMes]]),0)</f>
        <v>1.1167626704210387</v>
      </c>
      <c r="G68" s="21">
        <f>TModelo[[#This Row],[Act]]*(CDTb+(CDTx0-CDTb)*(1-CDTa)^TModelo[[#This Row],[Period]]+CDTspread)</f>
        <v>0.12606606286593341</v>
      </c>
      <c r="H68" s="40">
        <f>TModelo[[#This Row],[Act]]*((1+TModelo[[#This Row],[TasaCDT]])^(1/12)-1)*(1-Retencion)</f>
        <v>9.5455607632134575E-3</v>
      </c>
      <c r="I68" s="40">
        <f>TModelo[[#This Row],[Act]]*(EXP(MuCOLCAP+SigmaCOLCAP^2/2)-1)</f>
        <v>7.1281059265766444E-3</v>
      </c>
      <c r="J68" s="40">
        <f>TModelo[[#This Row],[Act]]*(EXP(MuTRM+SigmaTRM^2/2)-1)</f>
        <v>1.9069525320893899E-3</v>
      </c>
      <c r="K68" s="11">
        <f>TModelo[[#This Row],[Act]]*IF(Rebalanceo="Mensual",1,IF(Rebalanceo="Anual",IF(MOD(TModelo[[#This Row],[Period]]-1,12)=0,1,0),0))</f>
        <v>1</v>
      </c>
      <c r="L68" s="24">
        <f>TModelo[[#This Row],[Act]]*AporteMensual*IF(CrecimientoAporte="Con IPC",F67,1)</f>
        <v>1114015.0677963842</v>
      </c>
      <c r="M68" s="24">
        <f>IF(TModelo[[#This Row],[Period]]=HorizonteMeses,TModelo[[#This Row],[TotalPreLiq]],0)</f>
        <v>0</v>
      </c>
      <c r="N68" s="24">
        <f>TModelo[[#This Row],[Inflow]]-TModelo[[#This Row],[Outflow]]</f>
        <v>-1114015.0677963842</v>
      </c>
      <c r="O68" s="24">
        <f t="shared" si="0"/>
        <v>56295427.883831501</v>
      </c>
      <c r="P68" s="24">
        <f>TModelo[[#This Row],[IntCDT]]+TModelo[[#This Row],[IntCOLCAP]]+TModelo[[#This Row],[IntUSD]]</f>
        <v>438845.70613042486</v>
      </c>
      <c r="Q68" s="24">
        <f>TModelo[[#This Row],[InitialBalance]]+TModelo[[#This Row],[Interest]]+TModelo[[#This Row],[Outflow]]-TModelo[[#This Row],[Inflow]]</f>
        <v>57848288.65775831</v>
      </c>
      <c r="R68" s="24">
        <f>TModelo[[#This Row],[Act]]*IF(TModelo[[#This Row],[Rebal]]=1,PesoCDT*(X67+Y67+Z67),X67)</f>
        <v>33777256.730298899</v>
      </c>
      <c r="S68" s="24">
        <f>TModelo[[#This Row],[Act]]*IF(TModelo[[#This Row],[Rebal]]=1,PesoCOLCAP*(X67+Y67+Z67),Y67)</f>
        <v>14073856.970957875</v>
      </c>
      <c r="T68" s="24">
        <f>TModelo[[#This Row],[Act]]*IF(TModelo[[#This Row],[Rebal]]=1,PesoUSD*(X67+Y67+Z67),Z67)</f>
        <v>8444314.1825747248</v>
      </c>
      <c r="U68" s="24">
        <f>TModelo[[#This Row],[IniCDT]]*TModelo[[#This Row],[RetCDT]]</f>
        <v>322422.85653372883</v>
      </c>
      <c r="V68" s="24">
        <f>TModelo[[#This Row],[IniCOLCAP]]*TModelo[[#This Row],[RetCOLCAP]]</f>
        <v>100319.94328447685</v>
      </c>
      <c r="W68" s="24">
        <f>TModelo[[#This Row],[IniUSD]]*TModelo[[#This Row],[RetUSD]]</f>
        <v>16102.906312219218</v>
      </c>
      <c r="X68" s="24">
        <f>TModelo[[#This Row],[Act]]*(TModelo[[#This Row],[IniCDT]]+TModelo[[#This Row],[IntCDT]]+PesoCDT*TModelo[[#This Row],[Outflow]])</f>
        <v>34768088.627510458</v>
      </c>
      <c r="Y68" s="24">
        <f>TModelo[[#This Row],[Act]]*(TModelo[[#This Row],[IniCOLCAP]]+TModelo[[#This Row],[IntCOLCAP]]+PesoCOLCAP*TModelo[[#This Row],[Outflow]])</f>
        <v>14452680.681191448</v>
      </c>
      <c r="Z68" s="24">
        <f>TModelo[[#This Row],[Act]]*(TModelo[[#This Row],[IniUSD]]+TModelo[[#This Row],[IntUSD]]+PesoUSD*TModelo[[#This Row],[Outflow]])</f>
        <v>8627519.3490564022</v>
      </c>
      <c r="AA68" s="24">
        <f>TModelo[[#This Row],[BalCDT]]+TModelo[[#This Row],[BalCOLCAP]]+TModelo[[#This Row],[BalUSD]]</f>
        <v>57848288.657758303</v>
      </c>
      <c r="AB68" s="24">
        <f>IF(TModelo[[#This Row],[CumInfl]]&gt;0,TModelo[[#This Row],[TotalPreLiq]]/TModelo[[#This Row],[CumInfl]],0)</f>
        <v>51799984.177433603</v>
      </c>
      <c r="AC68" s="41">
        <f>(1+PerRate)^(-TModelo[[#This Row],[Period]])</f>
        <v>0.7265113503793359</v>
      </c>
      <c r="AD68" s="42">
        <f>TModelo[[#This Row],[NetCF]]*TModelo[[#This Row],[fd]]</f>
        <v>-809344.5912476785</v>
      </c>
    </row>
    <row r="69" spans="2:30" ht="16.95" customHeight="1">
      <c r="B69" s="11">
        <v>42</v>
      </c>
      <c r="C69" s="25">
        <f>EDATE(FechaInicio,TModelo[[#This Row],[Period]])</f>
        <v>47571</v>
      </c>
      <c r="D69" s="11">
        <f>IF(AND(TModelo[[#This Row],[Period]]&gt;=1,TModelo[[#This Row],[Period]]&lt;=HorizonteMeses),1,0)</f>
        <v>1</v>
      </c>
      <c r="E69" s="40">
        <f>TModelo[[#This Row],[Act]]*(INFb+(INFpi0-INFb)*(1-INFa)^TModelo[[#This Row],[Period]])</f>
        <v>2.4663690755447119E-3</v>
      </c>
      <c r="F69" s="28">
        <f>IF(TModelo[[#This Row],[Period]]&lt;=HorizonteMeses,F68*(1+TModelo[[#This Row],[InflMes]]),0)</f>
        <v>1.1195170193360879</v>
      </c>
      <c r="G69" s="21">
        <f>TModelo[[#This Row],[Act]]*(CDTb+(CDTx0-CDTb)*(1-CDTa)^TModelo[[#This Row],[Period]]+CDTspread)</f>
        <v>0.12591884023511235</v>
      </c>
      <c r="H69" s="40">
        <f>TModelo[[#This Row],[Act]]*((1+TModelo[[#This Row],[TasaCDT]])^(1/12)-1)*(1-Retencion)</f>
        <v>9.5349968772138992E-3</v>
      </c>
      <c r="I69" s="40">
        <f>TModelo[[#This Row],[Act]]*(EXP(MuCOLCAP+SigmaCOLCAP^2/2)-1)</f>
        <v>7.1281059265766444E-3</v>
      </c>
      <c r="J69" s="40">
        <f>TModelo[[#This Row],[Act]]*(EXP(MuTRM+SigmaTRM^2/2)-1)</f>
        <v>1.9069525320893899E-3</v>
      </c>
      <c r="K69" s="11">
        <f>TModelo[[#This Row],[Act]]*IF(Rebalanceo="Mensual",1,IF(Rebalanceo="Anual",IF(MOD(TModelo[[#This Row],[Period]]-1,12)=0,1,0),0))</f>
        <v>1</v>
      </c>
      <c r="L69" s="24">
        <f>TModelo[[#This Row],[Act]]*AporteMensual*IF(CrecimientoAporte="Con IPC",F68,1)</f>
        <v>1116762.6704210388</v>
      </c>
      <c r="M69" s="24">
        <f>IF(TModelo[[#This Row],[Period]]=HorizonteMeses,TModelo[[#This Row],[TotalPreLiq]],0)</f>
        <v>0</v>
      </c>
      <c r="N69" s="24">
        <f>TModelo[[#This Row],[Inflow]]-TModelo[[#This Row],[Outflow]]</f>
        <v>-1116762.6704210388</v>
      </c>
      <c r="O69" s="24">
        <f t="shared" si="0"/>
        <v>57848288.65775831</v>
      </c>
      <c r="P69" s="24">
        <f>TModelo[[#This Row],[IntCDT]]+TModelo[[#This Row],[IntCOLCAP]]+TModelo[[#This Row],[IntUSD]]</f>
        <v>450584.22440819954</v>
      </c>
      <c r="Q69" s="24">
        <f>TModelo[[#This Row],[InitialBalance]]+TModelo[[#This Row],[Interest]]+TModelo[[#This Row],[Outflow]]-TModelo[[#This Row],[Inflow]]</f>
        <v>59415635.552587554</v>
      </c>
      <c r="R69" s="24">
        <f>TModelo[[#This Row],[Act]]*IF(TModelo[[#This Row],[Rebal]]=1,PesoCDT*(X68+Y68+Z68),X68)</f>
        <v>34708973.194654979</v>
      </c>
      <c r="S69" s="24">
        <f>TModelo[[#This Row],[Act]]*IF(TModelo[[#This Row],[Rebal]]=1,PesoCOLCAP*(X68+Y68+Z68),Y68)</f>
        <v>14462072.164439576</v>
      </c>
      <c r="T69" s="24">
        <f>TModelo[[#This Row],[Act]]*IF(TModelo[[#This Row],[Rebal]]=1,PesoUSD*(X68+Y68+Z68),Z68)</f>
        <v>8677243.2986637447</v>
      </c>
      <c r="U69" s="24">
        <f>TModelo[[#This Row],[IniCDT]]*TModelo[[#This Row],[RetCDT]]</f>
        <v>330949.95102233614</v>
      </c>
      <c r="V69" s="24">
        <f>TModelo[[#This Row],[IniCOLCAP]]*TModelo[[#This Row],[RetCOLCAP]]</f>
        <v>103087.18230592085</v>
      </c>
      <c r="W69" s="24">
        <f>TModelo[[#This Row],[IniUSD]]*TModelo[[#This Row],[RetUSD]]</f>
        <v>16547.091079942518</v>
      </c>
      <c r="X69" s="24">
        <f>TModelo[[#This Row],[Act]]*(TModelo[[#This Row],[IniCDT]]+TModelo[[#This Row],[IntCDT]]+PesoCDT*TModelo[[#This Row],[Outflow]])</f>
        <v>35709980.747929938</v>
      </c>
      <c r="Y69" s="24">
        <f>TModelo[[#This Row],[Act]]*(TModelo[[#This Row],[IniCOLCAP]]+TModelo[[#This Row],[IntCOLCAP]]+PesoCOLCAP*TModelo[[#This Row],[Outflow]])</f>
        <v>14844350.014350757</v>
      </c>
      <c r="Z69" s="24">
        <f>TModelo[[#This Row],[Act]]*(TModelo[[#This Row],[IniUSD]]+TModelo[[#This Row],[IntUSD]]+PesoUSD*TModelo[[#This Row],[Outflow]])</f>
        <v>8861304.7903068438</v>
      </c>
      <c r="AA69" s="24">
        <f>TModelo[[#This Row],[BalCDT]]+TModelo[[#This Row],[BalCOLCAP]]+TModelo[[#This Row],[BalUSD]]</f>
        <v>59415635.552587539</v>
      </c>
      <c r="AB69" s="24">
        <f>IF(TModelo[[#This Row],[CumInfl]]&gt;0,TModelo[[#This Row],[TotalPreLiq]]/TModelo[[#This Row],[CumInfl]],0)</f>
        <v>53072561.226289399</v>
      </c>
      <c r="AC69" s="41">
        <f>(1+PerRate)^(-TModelo[[#This Row],[Period]])</f>
        <v>0.7208718590061991</v>
      </c>
      <c r="AD69" s="42">
        <f>TModelo[[#This Row],[NetCF]]*TModelo[[#This Row],[fd]]</f>
        <v>-805042.78229514149</v>
      </c>
    </row>
    <row r="70" spans="2:30" ht="16.95" customHeight="1">
      <c r="B70" s="11">
        <v>43</v>
      </c>
      <c r="C70" s="25">
        <f>EDATE(FechaInicio,TModelo[[#This Row],[Period]])</f>
        <v>47602</v>
      </c>
      <c r="D70" s="11">
        <f>IF(AND(TModelo[[#This Row],[Period]]&gt;=1,TModelo[[#This Row],[Period]]&lt;=HorizonteMeses),1,0)</f>
        <v>1</v>
      </c>
      <c r="E70" s="40">
        <f>TModelo[[#This Row],[Act]]*(INFb+(INFpi0-INFb)*(1-INFa)^TModelo[[#This Row],[Period]])</f>
        <v>2.4663477181023508E-3</v>
      </c>
      <c r="F70" s="28">
        <f>IF(TModelo[[#This Row],[Period]]&lt;=HorizonteMeses,F69*(1+TModelo[[#This Row],[InflMes]]),0)</f>
        <v>1.1222781375821043</v>
      </c>
      <c r="G70" s="21">
        <f>TModelo[[#This Row],[Act]]*(CDTb+(CDTx0-CDTb)*(1-CDTa)^TModelo[[#This Row],[Period]]+CDTspread)</f>
        <v>0.12577390715480863</v>
      </c>
      <c r="H70" s="40">
        <f>TModelo[[#This Row],[Act]]*((1+TModelo[[#This Row],[TasaCDT]])^(1/12)-1)*(1-Retencion)</f>
        <v>9.5245960398732867E-3</v>
      </c>
      <c r="I70" s="40">
        <f>TModelo[[#This Row],[Act]]*(EXP(MuCOLCAP+SigmaCOLCAP^2/2)-1)</f>
        <v>7.1281059265766444E-3</v>
      </c>
      <c r="J70" s="40">
        <f>TModelo[[#This Row],[Act]]*(EXP(MuTRM+SigmaTRM^2/2)-1)</f>
        <v>1.9069525320893899E-3</v>
      </c>
      <c r="K70" s="11">
        <f>TModelo[[#This Row],[Act]]*IF(Rebalanceo="Mensual",1,IF(Rebalanceo="Anual",IF(MOD(TModelo[[#This Row],[Period]]-1,12)=0,1,0),0))</f>
        <v>1</v>
      </c>
      <c r="L70" s="24">
        <f>TModelo[[#This Row],[Act]]*AporteMensual*IF(CrecimientoAporte="Con IPC",F69,1)</f>
        <v>1119517.0193360879</v>
      </c>
      <c r="M70" s="24">
        <f>IF(TModelo[[#This Row],[Period]]=HorizonteMeses,TModelo[[#This Row],[TotalPreLiq]],0)</f>
        <v>0</v>
      </c>
      <c r="N70" s="24">
        <f>TModelo[[#This Row],[Inflow]]-TModelo[[#This Row],[Outflow]]</f>
        <v>-1119517.0193360879</v>
      </c>
      <c r="O70" s="24">
        <f t="shared" si="0"/>
        <v>59415635.552587554</v>
      </c>
      <c r="P70" s="24">
        <f>TModelo[[#This Row],[IntCDT]]+TModelo[[#This Row],[IntCOLCAP]]+TModelo[[#This Row],[IntUSD]]</f>
        <v>462421.61173227319</v>
      </c>
      <c r="Q70" s="24">
        <f>TModelo[[#This Row],[InitialBalance]]+TModelo[[#This Row],[Interest]]+TModelo[[#This Row],[Outflow]]-TModelo[[#This Row],[Inflow]]</f>
        <v>60997574.183655918</v>
      </c>
      <c r="R70" s="24">
        <f>TModelo[[#This Row],[Act]]*IF(TModelo[[#This Row],[Rebal]]=1,PesoCDT*(X69+Y69+Z69),X69)</f>
        <v>35649381.33155252</v>
      </c>
      <c r="S70" s="24">
        <f>TModelo[[#This Row],[Act]]*IF(TModelo[[#This Row],[Rebal]]=1,PesoCOLCAP*(X69+Y69+Z69),Y69)</f>
        <v>14853908.888146885</v>
      </c>
      <c r="T70" s="24">
        <f>TModelo[[#This Row],[Act]]*IF(TModelo[[#This Row],[Rebal]]=1,PesoUSD*(X69+Y69+Z69),Z69)</f>
        <v>8912345.3328881301</v>
      </c>
      <c r="U70" s="24">
        <f>TModelo[[#This Row],[IniCDT]]*TModelo[[#This Row],[RetCDT]]</f>
        <v>339545.9562544378</v>
      </c>
      <c r="V70" s="24">
        <f>TModelo[[#This Row],[IniCOLCAP]]*TModelo[[#This Row],[RetCOLCAP]]</f>
        <v>105880.23597842931</v>
      </c>
      <c r="W70" s="24">
        <f>TModelo[[#This Row],[IniUSD]]*TModelo[[#This Row],[RetUSD]]</f>
        <v>16995.419499406074</v>
      </c>
      <c r="X70" s="24">
        <f>TModelo[[#This Row],[Act]]*(TModelo[[#This Row],[IniCDT]]+TModelo[[#This Row],[IntCDT]]+PesoCDT*TModelo[[#This Row],[Outflow]])</f>
        <v>36660637.49940861</v>
      </c>
      <c r="Y70" s="24">
        <f>TModelo[[#This Row],[Act]]*(TModelo[[#This Row],[IniCOLCAP]]+TModelo[[#This Row],[IntCOLCAP]]+PesoCOLCAP*TModelo[[#This Row],[Outflow]])</f>
        <v>15239668.378959337</v>
      </c>
      <c r="Z70" s="24">
        <f>TModelo[[#This Row],[Act]]*(TModelo[[#This Row],[IniUSD]]+TModelo[[#This Row],[IntUSD]]+PesoUSD*TModelo[[#This Row],[Outflow]])</f>
        <v>9097268.3052879497</v>
      </c>
      <c r="AA70" s="24">
        <f>TModelo[[#This Row],[BalCDT]]+TModelo[[#This Row],[BalCOLCAP]]+TModelo[[#This Row],[BalUSD]]</f>
        <v>60997574.183655895</v>
      </c>
      <c r="AB70" s="24">
        <f>IF(TModelo[[#This Row],[CumInfl]]&gt;0,TModelo[[#This Row],[TotalPreLiq]]/TModelo[[#This Row],[CumInfl]],0)</f>
        <v>54351565.927384377</v>
      </c>
      <c r="AC70" s="41">
        <f>(1+PerRate)^(-TModelo[[#This Row],[Period]])</f>
        <v>0.71527614377356052</v>
      </c>
      <c r="AD70" s="42">
        <f>TModelo[[#This Row],[NetCF]]*TModelo[[#This Row],[fd]]</f>
        <v>-800763.81647958746</v>
      </c>
    </row>
    <row r="71" spans="2:30" ht="16.95" customHeight="1">
      <c r="B71" s="11">
        <v>44</v>
      </c>
      <c r="C71" s="25">
        <f>EDATE(FechaInicio,TModelo[[#This Row],[Period]])</f>
        <v>47632</v>
      </c>
      <c r="D71" s="11">
        <f>IF(AND(TModelo[[#This Row],[Period]]&gt;=1,TModelo[[#This Row],[Period]]&lt;=HorizonteMeses),1,0)</f>
        <v>1</v>
      </c>
      <c r="E71" s="40">
        <f>TModelo[[#This Row],[Act]]*(INFb+(INFpi0-INFb)*(1-INFa)^TModelo[[#This Row],[Period]])</f>
        <v>2.4663309540684177E-3</v>
      </c>
      <c r="F71" s="28">
        <f>IF(TModelo[[#This Row],[Period]]&lt;=HorizonteMeses,F70*(1+TModelo[[#This Row],[InflMes]]),0)</f>
        <v>1.1250460468918972</v>
      </c>
      <c r="G71" s="21">
        <f>TModelo[[#This Row],[Act]]*(CDTb+(CDTx0-CDTb)*(1-CDTa)^TModelo[[#This Row],[Period]]+CDTspread)</f>
        <v>0.12563122801880097</v>
      </c>
      <c r="H71" s="40">
        <f>TModelo[[#This Row],[Act]]*((1+TModelo[[#This Row],[TasaCDT]])^(1/12)-1)*(1-Retencion)</f>
        <v>9.5143557533972252E-3</v>
      </c>
      <c r="I71" s="40">
        <f>TModelo[[#This Row],[Act]]*(EXP(MuCOLCAP+SigmaCOLCAP^2/2)-1)</f>
        <v>7.1281059265766444E-3</v>
      </c>
      <c r="J71" s="40">
        <f>TModelo[[#This Row],[Act]]*(EXP(MuTRM+SigmaTRM^2/2)-1)</f>
        <v>1.9069525320893899E-3</v>
      </c>
      <c r="K71" s="11">
        <f>TModelo[[#This Row],[Act]]*IF(Rebalanceo="Mensual",1,IF(Rebalanceo="Anual",IF(MOD(TModelo[[#This Row],[Period]]-1,12)=0,1,0),0))</f>
        <v>1</v>
      </c>
      <c r="L71" s="24">
        <f>TModelo[[#This Row],[Act]]*AporteMensual*IF(CrecimientoAporte="Con IPC",F70,1)</f>
        <v>1122278.1375821042</v>
      </c>
      <c r="M71" s="24">
        <f>IF(TModelo[[#This Row],[Period]]=HorizonteMeses,TModelo[[#This Row],[TotalPreLiq]],0)</f>
        <v>0</v>
      </c>
      <c r="N71" s="24">
        <f>TModelo[[#This Row],[Inflow]]-TModelo[[#This Row],[Outflow]]</f>
        <v>-1122278.1375821042</v>
      </c>
      <c r="O71" s="24">
        <f t="shared" si="0"/>
        <v>60997574.183655918</v>
      </c>
      <c r="P71" s="24">
        <f>TModelo[[#This Row],[IntCDT]]+TModelo[[#This Row],[IntCOLCAP]]+TModelo[[#This Row],[IntUSD]]</f>
        <v>474358.78681897832</v>
      </c>
      <c r="Q71" s="24">
        <f>TModelo[[#This Row],[InitialBalance]]+TModelo[[#This Row],[Interest]]+TModelo[[#This Row],[Outflow]]-TModelo[[#This Row],[Inflow]]</f>
        <v>62594211.108057</v>
      </c>
      <c r="R71" s="24">
        <f>TModelo[[#This Row],[Act]]*IF(TModelo[[#This Row],[Rebal]]=1,PesoCDT*(X70+Y70+Z70),X70)</f>
        <v>36598544.510193534</v>
      </c>
      <c r="S71" s="24">
        <f>TModelo[[#This Row],[Act]]*IF(TModelo[[#This Row],[Rebal]]=1,PesoCOLCAP*(X70+Y70+Z70),Y70)</f>
        <v>15249393.545913974</v>
      </c>
      <c r="T71" s="24">
        <f>TModelo[[#This Row],[Act]]*IF(TModelo[[#This Row],[Rebal]]=1,PesoUSD*(X70+Y70+Z70),Z70)</f>
        <v>9149636.1275483835</v>
      </c>
      <c r="U71" s="24">
        <f>TModelo[[#This Row],[IniCDT]]*TModelo[[#This Row],[RetCDT]]</f>
        <v>348211.57252652431</v>
      </c>
      <c r="V71" s="24">
        <f>TModelo[[#This Row],[IniCOLCAP]]*TModelo[[#This Row],[RetCOLCAP]]</f>
        <v>108699.29251132903</v>
      </c>
      <c r="W71" s="24">
        <f>TModelo[[#This Row],[IniUSD]]*TModelo[[#This Row],[RetUSD]]</f>
        <v>17447.921781124951</v>
      </c>
      <c r="X71" s="24">
        <f>TModelo[[#This Row],[Act]]*(TModelo[[#This Row],[IniCDT]]+TModelo[[#This Row],[IntCDT]]+PesoCDT*TModelo[[#This Row],[Outflow]])</f>
        <v>37620122.96526932</v>
      </c>
      <c r="Y71" s="24">
        <f>TModelo[[#This Row],[Act]]*(TModelo[[#This Row],[IniCOLCAP]]+TModelo[[#This Row],[IntCOLCAP]]+PesoCOLCAP*TModelo[[#This Row],[Outflow]])</f>
        <v>15638662.372820828</v>
      </c>
      <c r="Z71" s="24">
        <f>TModelo[[#This Row],[Act]]*(TModelo[[#This Row],[IniUSD]]+TModelo[[#This Row],[IntUSD]]+PesoUSD*TModelo[[#This Row],[Outflow]])</f>
        <v>9335425.769966824</v>
      </c>
      <c r="AA71" s="24">
        <f>TModelo[[#This Row],[BalCDT]]+TModelo[[#This Row],[BalCOLCAP]]+TModelo[[#This Row],[BalUSD]]</f>
        <v>62594211.108056977</v>
      </c>
      <c r="AB71" s="24">
        <f>IF(TModelo[[#This Row],[CumInfl]]&gt;0,TModelo[[#This Row],[TotalPreLiq]]/TModelo[[#This Row],[CumInfl]],0)</f>
        <v>55637021.507681891</v>
      </c>
      <c r="AC71" s="41">
        <f>(1+PerRate)^(-TModelo[[#This Row],[Period]])</f>
        <v>0.70972386487232209</v>
      </c>
      <c r="AD71" s="42">
        <f>TModelo[[#This Row],[NetCF]]*TModelo[[#This Row],[fd]]</f>
        <v>-796507.57726648264</v>
      </c>
    </row>
    <row r="72" spans="2:30" ht="16.95" customHeight="1">
      <c r="B72" s="11">
        <v>45</v>
      </c>
      <c r="C72" s="25">
        <f>EDATE(FechaInicio,TModelo[[#This Row],[Period]])</f>
        <v>47663</v>
      </c>
      <c r="D72" s="11">
        <f>IF(AND(TModelo[[#This Row],[Period]]&gt;=1,TModelo[[#This Row],[Period]]&lt;=HorizonteMeses),1,0)</f>
        <v>1</v>
      </c>
      <c r="E72" s="40">
        <f>TModelo[[#This Row],[Act]]*(INFb+(INFpi0-INFb)*(1-INFa)^TModelo[[#This Row],[Period]])</f>
        <v>2.4663177955249471E-3</v>
      </c>
      <c r="F72" s="28">
        <f>IF(TModelo[[#This Row],[Period]]&lt;=HorizonteMeses,F71*(1+TModelo[[#This Row],[InflMes]]),0)</f>
        <v>1.1278207679781316</v>
      </c>
      <c r="G72" s="21">
        <f>TModelo[[#This Row],[Act]]*(CDTb+(CDTx0-CDTb)*(1-CDTa)^TModelo[[#This Row],[Period]]+CDTspread)</f>
        <v>0.12549076777460252</v>
      </c>
      <c r="H72" s="40">
        <f>TModelo[[#This Row],[Act]]*((1+TModelo[[#This Row],[TasaCDT]])^(1/12)-1)*(1-Retencion)</f>
        <v>9.5042735576802064E-3</v>
      </c>
      <c r="I72" s="40">
        <f>TModelo[[#This Row],[Act]]*(EXP(MuCOLCAP+SigmaCOLCAP^2/2)-1)</f>
        <v>7.1281059265766444E-3</v>
      </c>
      <c r="J72" s="40">
        <f>TModelo[[#This Row],[Act]]*(EXP(MuTRM+SigmaTRM^2/2)-1)</f>
        <v>1.9069525320893899E-3</v>
      </c>
      <c r="K72" s="11">
        <f>TModelo[[#This Row],[Act]]*IF(Rebalanceo="Mensual",1,IF(Rebalanceo="Anual",IF(MOD(TModelo[[#This Row],[Period]]-1,12)=0,1,0),0))</f>
        <v>1</v>
      </c>
      <c r="L72" s="24">
        <f>TModelo[[#This Row],[Act]]*AporteMensual*IF(CrecimientoAporte="Con IPC",F71,1)</f>
        <v>1125046.0468918972</v>
      </c>
      <c r="M72" s="24">
        <f>IF(TModelo[[#This Row],[Period]]=HorizonteMeses,TModelo[[#This Row],[TotalPreLiq]],0)</f>
        <v>0</v>
      </c>
      <c r="N72" s="24">
        <f>TModelo[[#This Row],[Inflow]]-TModelo[[#This Row],[Outflow]]</f>
        <v>-1125046.0468918972</v>
      </c>
      <c r="O72" s="24">
        <f t="shared" si="0"/>
        <v>62594211.108057</v>
      </c>
      <c r="P72" s="24">
        <f>TModelo[[#This Row],[IntCDT]]+TModelo[[#This Row],[IntCOLCAP]]+TModelo[[#This Row],[IntUSD]]</f>
        <v>486396.67349607486</v>
      </c>
      <c r="Q72" s="24">
        <f>TModelo[[#This Row],[InitialBalance]]+TModelo[[#This Row],[Interest]]+TModelo[[#This Row],[Outflow]]-TModelo[[#This Row],[Inflow]]</f>
        <v>64205653.828444973</v>
      </c>
      <c r="R72" s="24">
        <f>TModelo[[#This Row],[Act]]*IF(TModelo[[#This Row],[Rebal]]=1,PesoCDT*(X71+Y71+Z71),X71)</f>
        <v>37556526.664834186</v>
      </c>
      <c r="S72" s="24">
        <f>TModelo[[#This Row],[Act]]*IF(TModelo[[#This Row],[Rebal]]=1,PesoCOLCAP*(X71+Y71+Z71),Y71)</f>
        <v>15648552.777014244</v>
      </c>
      <c r="T72" s="24">
        <f>TModelo[[#This Row],[Act]]*IF(TModelo[[#This Row],[Rebal]]=1,PesoUSD*(X71+Y71+Z71),Z71)</f>
        <v>9389131.6662085466</v>
      </c>
      <c r="U72" s="24">
        <f>TModelo[[#This Row],[IniCDT]]*TModelo[[#This Row],[RetCDT]]</f>
        <v>356947.50329889514</v>
      </c>
      <c r="V72" s="24">
        <f>TModelo[[#This Row],[IniCOLCAP]]*TModelo[[#This Row],[RetCOLCAP]]</f>
        <v>111544.54179218264</v>
      </c>
      <c r="W72" s="24">
        <f>TModelo[[#This Row],[IniUSD]]*TModelo[[#This Row],[RetUSD]]</f>
        <v>17904.62840499706</v>
      </c>
      <c r="X72" s="24">
        <f>TModelo[[#This Row],[Act]]*(TModelo[[#This Row],[IniCDT]]+TModelo[[#This Row],[IntCDT]]+PesoCDT*TModelo[[#This Row],[Outflow]])</f>
        <v>38588501.796268217</v>
      </c>
      <c r="Y72" s="24">
        <f>TModelo[[#This Row],[Act]]*(TModelo[[#This Row],[IniCOLCAP]]+TModelo[[#This Row],[IntCOLCAP]]+PesoCOLCAP*TModelo[[#This Row],[Outflow]])</f>
        <v>16041358.830529401</v>
      </c>
      <c r="Z72" s="24">
        <f>TModelo[[#This Row],[Act]]*(TModelo[[#This Row],[IniUSD]]+TModelo[[#This Row],[IntUSD]]+PesoUSD*TModelo[[#This Row],[Outflow]])</f>
        <v>9575793.2016473282</v>
      </c>
      <c r="AA72" s="24">
        <f>TModelo[[#This Row],[BalCDT]]+TModelo[[#This Row],[BalCOLCAP]]+TModelo[[#This Row],[BalUSD]]</f>
        <v>64205653.828444943</v>
      </c>
      <c r="AB72" s="24">
        <f>IF(TModelo[[#This Row],[CumInfl]]&gt;0,TModelo[[#This Row],[TotalPreLiq]]/TModelo[[#This Row],[CumInfl]],0)</f>
        <v>56928951.524405599</v>
      </c>
      <c r="AC72" s="41">
        <f>(1+PerRate)^(-TModelo[[#This Row],[Period]])</f>
        <v>0.70421468513112884</v>
      </c>
      <c r="AD72" s="42">
        <f>TModelo[[#This Row],[NetCF]]*TModelo[[#This Row],[fd]]</f>
        <v>-792273.94766999863</v>
      </c>
    </row>
    <row r="73" spans="2:30" ht="16.95" customHeight="1">
      <c r="B73" s="11">
        <v>46</v>
      </c>
      <c r="C73" s="25">
        <f>EDATE(FechaInicio,TModelo[[#This Row],[Period]])</f>
        <v>47693</v>
      </c>
      <c r="D73" s="11">
        <f>IF(AND(TModelo[[#This Row],[Period]]&gt;=1,TModelo[[#This Row],[Period]]&lt;=HorizonteMeses),1,0)</f>
        <v>1</v>
      </c>
      <c r="E73" s="40">
        <f>TModelo[[#This Row],[Act]]*(INFb+(INFpi0-INFb)*(1-INFa)^TModelo[[#This Row],[Period]])</f>
        <v>2.4663074670284199E-3</v>
      </c>
      <c r="F73" s="28">
        <f>IF(TModelo[[#This Row],[Period]]&lt;=HorizonteMeses,F72*(1+TModelo[[#This Row],[InflMes]]),0)</f>
        <v>1.1306023207596656</v>
      </c>
      <c r="G73" s="21">
        <f>TModelo[[#This Row],[Act]]*(CDTb+(CDTx0-CDTb)*(1-CDTa)^TModelo[[#This Row],[Period]]+CDTspread)</f>
        <v>0.12535249191484946</v>
      </c>
      <c r="H73" s="40">
        <f>TModelo[[#This Row],[Act]]*((1+TModelo[[#This Row],[TasaCDT]])^(1/12)-1)*(1-Retencion)</f>
        <v>9.4943470297556582E-3</v>
      </c>
      <c r="I73" s="40">
        <f>TModelo[[#This Row],[Act]]*(EXP(MuCOLCAP+SigmaCOLCAP^2/2)-1)</f>
        <v>7.1281059265766444E-3</v>
      </c>
      <c r="J73" s="40">
        <f>TModelo[[#This Row],[Act]]*(EXP(MuTRM+SigmaTRM^2/2)-1)</f>
        <v>1.9069525320893899E-3</v>
      </c>
      <c r="K73" s="11">
        <f>TModelo[[#This Row],[Act]]*IF(Rebalanceo="Mensual",1,IF(Rebalanceo="Anual",IF(MOD(TModelo[[#This Row],[Period]]-1,12)=0,1,0),0))</f>
        <v>1</v>
      </c>
      <c r="L73" s="24">
        <f>TModelo[[#This Row],[Act]]*AporteMensual*IF(CrecimientoAporte="Con IPC",F72,1)</f>
        <v>1127820.7679781315</v>
      </c>
      <c r="M73" s="24">
        <f>IF(TModelo[[#This Row],[Period]]=HorizonteMeses,TModelo[[#This Row],[TotalPreLiq]],0)</f>
        <v>0</v>
      </c>
      <c r="N73" s="24">
        <f>TModelo[[#This Row],[Inflow]]-TModelo[[#This Row],[Outflow]]</f>
        <v>-1127820.7679781315</v>
      </c>
      <c r="O73" s="24">
        <f t="shared" si="0"/>
        <v>64205653.828444973</v>
      </c>
      <c r="P73" s="24">
        <f>TModelo[[#This Row],[IntCDT]]+TModelo[[#This Row],[IntCOLCAP]]+TModelo[[#This Row],[IntUSD]]</f>
        <v>498536.20074672764</v>
      </c>
      <c r="Q73" s="24">
        <f>TModelo[[#This Row],[InitialBalance]]+TModelo[[#This Row],[Interest]]+TModelo[[#This Row],[Outflow]]-TModelo[[#This Row],[Inflow]]</f>
        <v>65832010.797169834</v>
      </c>
      <c r="R73" s="24">
        <f>TModelo[[#This Row],[Act]]*IF(TModelo[[#This Row],[Rebal]]=1,PesoCDT*(X72+Y72+Z72),X72)</f>
        <v>38523392.297066964</v>
      </c>
      <c r="S73" s="24">
        <f>TModelo[[#This Row],[Act]]*IF(TModelo[[#This Row],[Rebal]]=1,PesoCOLCAP*(X72+Y72+Z72),Y72)</f>
        <v>16051413.457111236</v>
      </c>
      <c r="T73" s="24">
        <f>TModelo[[#This Row],[Act]]*IF(TModelo[[#This Row],[Rebal]]=1,PesoUSD*(X72+Y72+Z72),Z72)</f>
        <v>9630848.0742667411</v>
      </c>
      <c r="U73" s="24">
        <f>TModelo[[#This Row],[IniCDT]]*TModelo[[#This Row],[RetCDT]]</f>
        <v>365754.45523176971</v>
      </c>
      <c r="V73" s="24">
        <f>TModelo[[#This Row],[IniCOLCAP]]*TModelo[[#This Row],[RetCOLCAP]]</f>
        <v>114416.17539356671</v>
      </c>
      <c r="W73" s="24">
        <f>TModelo[[#This Row],[IniUSD]]*TModelo[[#This Row],[RetUSD]]</f>
        <v>18365.570121391185</v>
      </c>
      <c r="X73" s="24">
        <f>TModelo[[#This Row],[Act]]*(TModelo[[#This Row],[IniCDT]]+TModelo[[#This Row],[IntCDT]]+PesoCDT*TModelo[[#This Row],[Outflow]])</f>
        <v>39565839.213085614</v>
      </c>
      <c r="Y73" s="24">
        <f>TModelo[[#This Row],[Act]]*(TModelo[[#This Row],[IniCOLCAP]]+TModelo[[#This Row],[IntCOLCAP]]+PesoCOLCAP*TModelo[[#This Row],[Outflow]])</f>
        <v>16447784.824499335</v>
      </c>
      <c r="Z73" s="24">
        <f>TModelo[[#This Row],[Act]]*(TModelo[[#This Row],[IniUSD]]+TModelo[[#This Row],[IntUSD]]+PesoUSD*TModelo[[#This Row],[Outflow]])</f>
        <v>9818386.7595848516</v>
      </c>
      <c r="AA73" s="24">
        <f>TModelo[[#This Row],[BalCDT]]+TModelo[[#This Row],[BalCOLCAP]]+TModelo[[#This Row],[BalUSD]]</f>
        <v>65832010.797169797</v>
      </c>
      <c r="AB73" s="24">
        <f>IF(TModelo[[#This Row],[CumInfl]]&gt;0,TModelo[[#This Row],[TotalPreLiq]]/TModelo[[#This Row],[CumInfl]],0)</f>
        <v>58227379.856195994</v>
      </c>
      <c r="AC73" s="41">
        <f>(1+PerRate)^(-TModelo[[#This Row],[Period]])</f>
        <v>0.69874826999589457</v>
      </c>
      <c r="AD73" s="42">
        <f>TModelo[[#This Row],[NetCF]]*TModelo[[#This Row],[fd]]</f>
        <v>-788062.8104901606</v>
      </c>
    </row>
    <row r="74" spans="2:30" ht="16.95" customHeight="1">
      <c r="B74" s="11">
        <v>47</v>
      </c>
      <c r="C74" s="25">
        <f>EDATE(FechaInicio,TModelo[[#This Row],[Period]])</f>
        <v>47724</v>
      </c>
      <c r="D74" s="11">
        <f>IF(AND(TModelo[[#This Row],[Period]]&gt;=1,TModelo[[#This Row],[Period]]&lt;=HorizonteMeses),1,0)</f>
        <v>1</v>
      </c>
      <c r="E74" s="40">
        <f>TModelo[[#This Row],[Act]]*(INFb+(INFpi0-INFb)*(1-INFa)^TModelo[[#This Row],[Period]])</f>
        <v>2.4662993599122527E-3</v>
      </c>
      <c r="F74" s="28">
        <f>IF(TModelo[[#This Row],[Period]]&lt;=HorizonteMeses,F73*(1+TModelo[[#This Row],[InflMes]]),0)</f>
        <v>1.1333907245396706</v>
      </c>
      <c r="G74" s="21">
        <f>TModelo[[#This Row],[Act]]*(CDTb+(CDTx0-CDTb)*(1-CDTa)^TModelo[[#This Row],[Period]]+CDTspread)</f>
        <v>0.12521636646882336</v>
      </c>
      <c r="H74" s="40">
        <f>TModelo[[#This Row],[Act]]*((1+TModelo[[#This Row],[TasaCDT]])^(1/12)-1)*(1-Retencion)</f>
        <v>9.4845737832506671E-3</v>
      </c>
      <c r="I74" s="40">
        <f>TModelo[[#This Row],[Act]]*(EXP(MuCOLCAP+SigmaCOLCAP^2/2)-1)</f>
        <v>7.1281059265766444E-3</v>
      </c>
      <c r="J74" s="40">
        <f>TModelo[[#This Row],[Act]]*(EXP(MuTRM+SigmaTRM^2/2)-1)</f>
        <v>1.9069525320893899E-3</v>
      </c>
      <c r="K74" s="11">
        <f>TModelo[[#This Row],[Act]]*IF(Rebalanceo="Mensual",1,IF(Rebalanceo="Anual",IF(MOD(TModelo[[#This Row],[Period]]-1,12)=0,1,0),0))</f>
        <v>1</v>
      </c>
      <c r="L74" s="24">
        <f>TModelo[[#This Row],[Act]]*AporteMensual*IF(CrecimientoAporte="Con IPC",F73,1)</f>
        <v>1130602.3207596657</v>
      </c>
      <c r="M74" s="24">
        <f>IF(TModelo[[#This Row],[Period]]=HorizonteMeses,TModelo[[#This Row],[TotalPreLiq]],0)</f>
        <v>0</v>
      </c>
      <c r="N74" s="24">
        <f>TModelo[[#This Row],[Inflow]]-TModelo[[#This Row],[Outflow]]</f>
        <v>-1130602.3207596657</v>
      </c>
      <c r="O74" s="24">
        <f t="shared" si="0"/>
        <v>65832010.797169834</v>
      </c>
      <c r="P74" s="24">
        <f>TModelo[[#This Row],[IntCDT]]+TModelo[[#This Row],[IntCOLCAP]]+TModelo[[#This Row],[IntUSD]]</f>
        <v>510778.30275607761</v>
      </c>
      <c r="Q74" s="24">
        <f>TModelo[[#This Row],[InitialBalance]]+TModelo[[#This Row],[Interest]]+TModelo[[#This Row],[Outflow]]-TModelo[[#This Row],[Inflow]]</f>
        <v>67473391.420685574</v>
      </c>
      <c r="R74" s="24">
        <f>TModelo[[#This Row],[Act]]*IF(TModelo[[#This Row],[Rebal]]=1,PesoCDT*(X73+Y73+Z73),X73)</f>
        <v>39499206.478301875</v>
      </c>
      <c r="S74" s="24">
        <f>TModelo[[#This Row],[Act]]*IF(TModelo[[#This Row],[Rebal]]=1,PesoCOLCAP*(X73+Y73+Z73),Y73)</f>
        <v>16458002.699292449</v>
      </c>
      <c r="T74" s="24">
        <f>TModelo[[#This Row],[Act]]*IF(TModelo[[#This Row],[Rebal]]=1,PesoUSD*(X73+Y73+Z73),Z73)</f>
        <v>9874801.6195754688</v>
      </c>
      <c r="U74" s="24">
        <f>TModelo[[#This Row],[IniCDT]]*TModelo[[#This Row],[RetCDT]]</f>
        <v>374633.13822330686</v>
      </c>
      <c r="V74" s="24">
        <f>TModelo[[#This Row],[IniCOLCAP]]*TModelo[[#This Row],[RetCOLCAP]]</f>
        <v>117314.38658044091</v>
      </c>
      <c r="W74" s="24">
        <f>TModelo[[#This Row],[IniUSD]]*TModelo[[#This Row],[RetUSD]]</f>
        <v>18830.777952329849</v>
      </c>
      <c r="X74" s="24">
        <f>TModelo[[#This Row],[Act]]*(TModelo[[#This Row],[IniCDT]]+TModelo[[#This Row],[IntCDT]]+PesoCDT*TModelo[[#This Row],[Outflow]])</f>
        <v>40552201.008980982</v>
      </c>
      <c r="Y74" s="24">
        <f>TModelo[[#This Row],[Act]]*(TModelo[[#This Row],[IniCOLCAP]]+TModelo[[#This Row],[IntCOLCAP]]+PesoCOLCAP*TModelo[[#This Row],[Outflow]])</f>
        <v>16857967.666062806</v>
      </c>
      <c r="Z74" s="24">
        <f>TModelo[[#This Row],[Act]]*(TModelo[[#This Row],[IniUSD]]+TModelo[[#This Row],[IntUSD]]+PesoUSD*TModelo[[#This Row],[Outflow]])</f>
        <v>10063222.745641749</v>
      </c>
      <c r="AA74" s="24">
        <f>TModelo[[#This Row],[BalCDT]]+TModelo[[#This Row],[BalCOLCAP]]+TModelo[[#This Row],[BalUSD]]</f>
        <v>67473391.420685545</v>
      </c>
      <c r="AB74" s="24">
        <f>IF(TModelo[[#This Row],[CumInfl]]&gt;0,TModelo[[#This Row],[TotalPreLiq]]/TModelo[[#This Row],[CumInfl]],0)</f>
        <v>59532330.695656635</v>
      </c>
      <c r="AC74" s="41">
        <f>(1+PerRate)^(-TModelo[[#This Row],[Period]])</f>
        <v>0.69332428750948383</v>
      </c>
      <c r="AD74" s="42">
        <f>TModelo[[#This Row],[NetCF]]*TModelo[[#This Row],[fd]]</f>
        <v>-783874.04849726416</v>
      </c>
    </row>
    <row r="75" spans="2:30" ht="16.95" customHeight="1">
      <c r="B75" s="11">
        <v>48</v>
      </c>
      <c r="C75" s="25">
        <f>EDATE(FechaInicio,TModelo[[#This Row],[Period]])</f>
        <v>47755</v>
      </c>
      <c r="D75" s="11">
        <f>IF(AND(TModelo[[#This Row],[Period]]&gt;=1,TModelo[[#This Row],[Period]]&lt;=HorizonteMeses),1,0)</f>
        <v>1</v>
      </c>
      <c r="E75" s="40">
        <f>TModelo[[#This Row],[Act]]*(INFb+(INFpi0-INFb)*(1-INFa)^TModelo[[#This Row],[Period]])</f>
        <v>2.4662929964175866E-3</v>
      </c>
      <c r="F75" s="28">
        <f>IF(TModelo[[#This Row],[Period]]&lt;=HorizonteMeses,F74*(1+TModelo[[#This Row],[InflMes]]),0)</f>
        <v>1.1361859981458076</v>
      </c>
      <c r="G75" s="21">
        <f>TModelo[[#This Row],[Act]]*(CDTb+(CDTx0-CDTb)*(1-CDTa)^TModelo[[#This Row],[Period]]+CDTspread)</f>
        <v>0.1250823579941055</v>
      </c>
      <c r="H75" s="40">
        <f>TModelo[[#This Row],[Act]]*((1+TModelo[[#This Row],[TasaCDT]])^(1/12)-1)*(1-Retencion)</f>
        <v>9.4749514678517943E-3</v>
      </c>
      <c r="I75" s="40">
        <f>TModelo[[#This Row],[Act]]*(EXP(MuCOLCAP+SigmaCOLCAP^2/2)-1)</f>
        <v>7.1281059265766444E-3</v>
      </c>
      <c r="J75" s="40">
        <f>TModelo[[#This Row],[Act]]*(EXP(MuTRM+SigmaTRM^2/2)-1)</f>
        <v>1.9069525320893899E-3</v>
      </c>
      <c r="K75" s="11">
        <f>TModelo[[#This Row],[Act]]*IF(Rebalanceo="Mensual",1,IF(Rebalanceo="Anual",IF(MOD(TModelo[[#This Row],[Period]]-1,12)=0,1,0),0))</f>
        <v>1</v>
      </c>
      <c r="L75" s="24">
        <f>TModelo[[#This Row],[Act]]*AporteMensual*IF(CrecimientoAporte="Con IPC",F74,1)</f>
        <v>1133390.7245396706</v>
      </c>
      <c r="M75" s="24">
        <f>IF(TModelo[[#This Row],[Period]]=HorizonteMeses,TModelo[[#This Row],[TotalPreLiq]],0)</f>
        <v>0</v>
      </c>
      <c r="N75" s="24">
        <f>TModelo[[#This Row],[Inflow]]-TModelo[[#This Row],[Outflow]]</f>
        <v>-1133390.7245396706</v>
      </c>
      <c r="O75" s="24">
        <f t="shared" si="0"/>
        <v>67473391.420685574</v>
      </c>
      <c r="P75" s="24">
        <f>TModelo[[#This Row],[IntCDT]]+TModelo[[#This Row],[IntCOLCAP]]+TModelo[[#This Row],[IntUSD]]</f>
        <v>523123.91896017169</v>
      </c>
      <c r="Q75" s="24">
        <f>TModelo[[#This Row],[InitialBalance]]+TModelo[[#This Row],[Interest]]+TModelo[[#This Row],[Outflow]]-TModelo[[#This Row],[Inflow]]</f>
        <v>69129906.064185411</v>
      </c>
      <c r="R75" s="24">
        <f>TModelo[[#This Row],[Act]]*IF(TModelo[[#This Row],[Rebal]]=1,PesoCDT*(X74+Y74+Z74),X74)</f>
        <v>40484034.852411322</v>
      </c>
      <c r="S75" s="24">
        <f>TModelo[[#This Row],[Act]]*IF(TModelo[[#This Row],[Rebal]]=1,PesoCOLCAP*(X74+Y74+Z74),Y74)</f>
        <v>16868347.855171386</v>
      </c>
      <c r="T75" s="24">
        <f>TModelo[[#This Row],[Act]]*IF(TModelo[[#This Row],[Rebal]]=1,PesoUSD*(X74+Y74+Z74),Z74)</f>
        <v>10121008.713102831</v>
      </c>
      <c r="U75" s="24">
        <f>TModelo[[#This Row],[IniCDT]]*TModelo[[#This Row],[RetCDT]]</f>
        <v>383584.26544941787</v>
      </c>
      <c r="V75" s="24">
        <f>TModelo[[#This Row],[IniCOLCAP]]*TModelo[[#This Row],[RetCOLCAP]]</f>
        <v>120239.37031800358</v>
      </c>
      <c r="W75" s="24">
        <f>TModelo[[#This Row],[IniUSD]]*TModelo[[#This Row],[RetUSD]]</f>
        <v>19300.283192750219</v>
      </c>
      <c r="X75" s="24">
        <f>TModelo[[#This Row],[Act]]*(TModelo[[#This Row],[IniCDT]]+TModelo[[#This Row],[IntCDT]]+PesoCDT*TModelo[[#This Row],[Outflow]])</f>
        <v>41547653.552584544</v>
      </c>
      <c r="Y75" s="24">
        <f>TModelo[[#This Row],[Act]]*(TModelo[[#This Row],[IniCOLCAP]]+TModelo[[#This Row],[IntCOLCAP]]+PesoCOLCAP*TModelo[[#This Row],[Outflow]])</f>
        <v>17271934.906624306</v>
      </c>
      <c r="Z75" s="24">
        <f>TModelo[[#This Row],[Act]]*(TModelo[[#This Row],[IniUSD]]+TModelo[[#This Row],[IntUSD]]+PesoUSD*TModelo[[#This Row],[Outflow]])</f>
        <v>10310317.604976531</v>
      </c>
      <c r="AA75" s="24">
        <f>TModelo[[#This Row],[BalCDT]]+TModelo[[#This Row],[BalCOLCAP]]+TModelo[[#This Row],[BalUSD]]</f>
        <v>69129906.064185381</v>
      </c>
      <c r="AB75" s="24">
        <f>IF(TModelo[[#This Row],[CumInfl]]&gt;0,TModelo[[#This Row],[TotalPreLiq]]/TModelo[[#This Row],[CumInfl]],0)</f>
        <v>60843828.54303921</v>
      </c>
      <c r="AC75" s="41">
        <f>(1+PerRate)^(-TModelo[[#This Row],[Period]])</f>
        <v>0.68794240829155506</v>
      </c>
      <c r="AD75" s="42">
        <f>TModelo[[#This Row],[NetCF]]*TModelo[[#This Row],[fd]]</f>
        <v>-779707.5445751315</v>
      </c>
    </row>
    <row r="76" spans="2:30" ht="16.95" customHeight="1">
      <c r="B76" s="11">
        <v>49</v>
      </c>
      <c r="C76" s="25">
        <f>EDATE(FechaInicio,TModelo[[#This Row],[Period]])</f>
        <v>47785</v>
      </c>
      <c r="D76" s="11">
        <f>IF(AND(TModelo[[#This Row],[Period]]&gt;=1,TModelo[[#This Row],[Period]]&lt;=HorizonteMeses),1,0)</f>
        <v>1</v>
      </c>
      <c r="E76" s="40">
        <f>TModelo[[#This Row],[Act]]*(INFb+(INFpi0-INFb)*(1-INFa)^TModelo[[#This Row],[Period]])</f>
        <v>2.4662880015385788E-3</v>
      </c>
      <c r="F76" s="28">
        <f>IF(TModelo[[#This Row],[Period]]&lt;=HorizonteMeses,F75*(1+TModelo[[#This Row],[InflMes]]),0)</f>
        <v>1.1389881600405505</v>
      </c>
      <c r="G76" s="21">
        <f>TModelo[[#This Row],[Act]]*(CDTb+(CDTx0-CDTb)*(1-CDTa)^TModelo[[#This Row],[Period]]+CDTspread)</f>
        <v>0.124950433568361</v>
      </c>
      <c r="H76" s="40">
        <f>TModelo[[#This Row],[Act]]*((1+TModelo[[#This Row],[TasaCDT]])^(1/12)-1)*(1-Retencion)</f>
        <v>9.465477768774733E-3</v>
      </c>
      <c r="I76" s="40">
        <f>TModelo[[#This Row],[Act]]*(EXP(MuCOLCAP+SigmaCOLCAP^2/2)-1)</f>
        <v>7.1281059265766444E-3</v>
      </c>
      <c r="J76" s="40">
        <f>TModelo[[#This Row],[Act]]*(EXP(MuTRM+SigmaTRM^2/2)-1)</f>
        <v>1.9069525320893899E-3</v>
      </c>
      <c r="K76" s="11">
        <f>TModelo[[#This Row],[Act]]*IF(Rebalanceo="Mensual",1,IF(Rebalanceo="Anual",IF(MOD(TModelo[[#This Row],[Period]]-1,12)=0,1,0),0))</f>
        <v>1</v>
      </c>
      <c r="L76" s="24">
        <f>TModelo[[#This Row],[Act]]*AporteMensual*IF(CrecimientoAporte="Con IPC",F75,1)</f>
        <v>1136185.9981458075</v>
      </c>
      <c r="M76" s="24">
        <f>IF(TModelo[[#This Row],[Period]]=HorizonteMeses,TModelo[[#This Row],[TotalPreLiq]],0)</f>
        <v>0</v>
      </c>
      <c r="N76" s="24">
        <f>TModelo[[#This Row],[Inflow]]-TModelo[[#This Row],[Outflow]]</f>
        <v>-1136185.9981458075</v>
      </c>
      <c r="O76" s="24">
        <f t="shared" si="0"/>
        <v>69129906.064185411</v>
      </c>
      <c r="P76" s="24">
        <f>TModelo[[#This Row],[IntCDT]]+TModelo[[#This Row],[IntCOLCAP]]+TModelo[[#This Row],[IntUSD]]</f>
        <v>535573.99409660103</v>
      </c>
      <c r="Q76" s="24">
        <f>TModelo[[#This Row],[InitialBalance]]+TModelo[[#This Row],[Interest]]+TModelo[[#This Row],[Outflow]]-TModelo[[#This Row],[Inflow]]</f>
        <v>70801666.056427822</v>
      </c>
      <c r="R76" s="24">
        <f>TModelo[[#This Row],[Act]]*IF(TModelo[[#This Row],[Rebal]]=1,PesoCDT*(X75+Y75+Z75),X75)</f>
        <v>41477943.638511226</v>
      </c>
      <c r="S76" s="24">
        <f>TModelo[[#This Row],[Act]]*IF(TModelo[[#This Row],[Rebal]]=1,PesoCOLCAP*(X75+Y75+Z75),Y75)</f>
        <v>17282476.516046345</v>
      </c>
      <c r="T76" s="24">
        <f>TModelo[[#This Row],[Act]]*IF(TModelo[[#This Row],[Rebal]]=1,PesoUSD*(X75+Y75+Z75),Z75)</f>
        <v>10369485.909627806</v>
      </c>
      <c r="U76" s="24">
        <f>TModelo[[#This Row],[IniCDT]]*TModelo[[#This Row],[RetCDT]]</f>
        <v>392608.55340481939</v>
      </c>
      <c r="V76" s="24">
        <f>TModelo[[#This Row],[IniCOLCAP]]*TModelo[[#This Row],[RetCOLCAP]]</f>
        <v>123191.32327995163</v>
      </c>
      <c r="W76" s="24">
        <f>TModelo[[#This Row],[IniUSD]]*TModelo[[#This Row],[RetUSD]]</f>
        <v>19774.117411829997</v>
      </c>
      <c r="X76" s="24">
        <f>TModelo[[#This Row],[Act]]*(TModelo[[#This Row],[IniCDT]]+TModelo[[#This Row],[IntCDT]]+PesoCDT*TModelo[[#This Row],[Outflow]])</f>
        <v>42552263.790803537</v>
      </c>
      <c r="Y76" s="24">
        <f>TModelo[[#This Row],[Act]]*(TModelo[[#This Row],[IniCOLCAP]]+TModelo[[#This Row],[IntCOLCAP]]+PesoCOLCAP*TModelo[[#This Row],[Outflow]])</f>
        <v>17689714.338862747</v>
      </c>
      <c r="Z76" s="24">
        <f>TModelo[[#This Row],[Act]]*(TModelo[[#This Row],[IniUSD]]+TModelo[[#This Row],[IntUSD]]+PesoUSD*TModelo[[#This Row],[Outflow]])</f>
        <v>10559687.926761508</v>
      </c>
      <c r="AA76" s="24">
        <f>TModelo[[#This Row],[BalCDT]]+TModelo[[#This Row],[BalCOLCAP]]+TModelo[[#This Row],[BalUSD]]</f>
        <v>70801666.056427792</v>
      </c>
      <c r="AB76" s="24">
        <f>IF(TModelo[[#This Row],[CumInfl]]&gt;0,TModelo[[#This Row],[TotalPreLiq]]/TModelo[[#This Row],[CumInfl]],0)</f>
        <v>62161898.200861983</v>
      </c>
      <c r="AC76" s="41">
        <f>(1+PerRate)^(-TModelo[[#This Row],[Period]])</f>
        <v>0.68260230551855716</v>
      </c>
      <c r="AD76" s="42">
        <f>TModelo[[#This Row],[NetCF]]*TModelo[[#This Row],[fd]]</f>
        <v>-775563.18183223135</v>
      </c>
    </row>
    <row r="77" spans="2:30" ht="16.95" customHeight="1">
      <c r="B77" s="11">
        <v>50</v>
      </c>
      <c r="C77" s="25">
        <f>EDATE(FechaInicio,TModelo[[#This Row],[Period]])</f>
        <v>47816</v>
      </c>
      <c r="D77" s="11">
        <f>IF(AND(TModelo[[#This Row],[Period]]&gt;=1,TModelo[[#This Row],[Period]]&lt;=HorizonteMeses),1,0)</f>
        <v>1</v>
      </c>
      <c r="E77" s="40">
        <f>TModelo[[#This Row],[Act]]*(INFb+(INFpi0-INFb)*(1-INFa)^TModelo[[#This Row],[Period]])</f>
        <v>2.4662840809230031E-3</v>
      </c>
      <c r="F77" s="28">
        <f>IF(TModelo[[#This Row],[Period]]&lt;=HorizonteMeses,F76*(1+TModelo[[#This Row],[InflMes]]),0)</f>
        <v>1.1417972284080184</v>
      </c>
      <c r="G77" s="21">
        <f>TModelo[[#This Row],[Act]]*(CDTb+(CDTx0-CDTb)*(1-CDTa)^TModelo[[#This Row],[Period]]+CDTspread)</f>
        <v>0.12482056078125066</v>
      </c>
      <c r="H77" s="40">
        <f>TModelo[[#This Row],[Act]]*((1+TModelo[[#This Row],[TasaCDT]])^(1/12)-1)*(1-Retencion)</f>
        <v>9.456150406243537E-3</v>
      </c>
      <c r="I77" s="40">
        <f>TModelo[[#This Row],[Act]]*(EXP(MuCOLCAP+SigmaCOLCAP^2/2)-1)</f>
        <v>7.1281059265766444E-3</v>
      </c>
      <c r="J77" s="40">
        <f>TModelo[[#This Row],[Act]]*(EXP(MuTRM+SigmaTRM^2/2)-1)</f>
        <v>1.9069525320893899E-3</v>
      </c>
      <c r="K77" s="11">
        <f>TModelo[[#This Row],[Act]]*IF(Rebalanceo="Mensual",1,IF(Rebalanceo="Anual",IF(MOD(TModelo[[#This Row],[Period]]-1,12)=0,1,0),0))</f>
        <v>1</v>
      </c>
      <c r="L77" s="24">
        <f>TModelo[[#This Row],[Act]]*AporteMensual*IF(CrecimientoAporte="Con IPC",F76,1)</f>
        <v>1138988.1600405504</v>
      </c>
      <c r="M77" s="24">
        <f>IF(TModelo[[#This Row],[Period]]=HorizonteMeses,TModelo[[#This Row],[TotalPreLiq]],0)</f>
        <v>0</v>
      </c>
      <c r="N77" s="24">
        <f>TModelo[[#This Row],[Inflow]]-TModelo[[#This Row],[Outflow]]</f>
        <v>-1138988.1600405504</v>
      </c>
      <c r="O77" s="24">
        <f t="shared" si="0"/>
        <v>70801666.056427822</v>
      </c>
      <c r="P77" s="24">
        <f>TModelo[[#This Row],[IntCDT]]+TModelo[[#This Row],[IntCOLCAP]]+TModelo[[#This Row],[IntUSD]]</f>
        <v>548129.47825677413</v>
      </c>
      <c r="Q77" s="24">
        <f>TModelo[[#This Row],[InitialBalance]]+TModelo[[#This Row],[Interest]]+TModelo[[#This Row],[Outflow]]-TModelo[[#This Row],[Inflow]]</f>
        <v>72488783.694725156</v>
      </c>
      <c r="R77" s="24">
        <f>TModelo[[#This Row],[Act]]*IF(TModelo[[#This Row],[Rebal]]=1,PesoCDT*(X76+Y76+Z76),X76)</f>
        <v>42480999.633856677</v>
      </c>
      <c r="S77" s="24">
        <f>TModelo[[#This Row],[Act]]*IF(TModelo[[#This Row],[Rebal]]=1,PesoCOLCAP*(X76+Y76+Z76),Y76)</f>
        <v>17700416.514106948</v>
      </c>
      <c r="T77" s="24">
        <f>TModelo[[#This Row],[Act]]*IF(TModelo[[#This Row],[Rebal]]=1,PesoUSD*(X76+Y76+Z76),Z76)</f>
        <v>10620249.908464169</v>
      </c>
      <c r="U77" s="24">
        <f>TModelo[[#This Row],[IniCDT]]*TModelo[[#This Row],[RetCDT]]</f>
        <v>401706.72194532538</v>
      </c>
      <c r="V77" s="24">
        <f>TModelo[[#This Row],[IniCOLCAP]]*TModelo[[#This Row],[RetCOLCAP]]</f>
        <v>126170.44385708084</v>
      </c>
      <c r="W77" s="24">
        <f>TModelo[[#This Row],[IniUSD]]*TModelo[[#This Row],[RetUSD]]</f>
        <v>20252.312454367857</v>
      </c>
      <c r="X77" s="24">
        <f>TModelo[[#This Row],[Act]]*(TModelo[[#This Row],[IniCDT]]+TModelo[[#This Row],[IntCDT]]+PesoCDT*TModelo[[#This Row],[Outflow]])</f>
        <v>43566099.251826331</v>
      </c>
      <c r="Y77" s="24">
        <f>TModelo[[#This Row],[Act]]*(TModelo[[#This Row],[IniCOLCAP]]+TModelo[[#This Row],[IntCOLCAP]]+PesoCOLCAP*TModelo[[#This Row],[Outflow]])</f>
        <v>18111333.997974169</v>
      </c>
      <c r="Z77" s="24">
        <f>TModelo[[#This Row],[Act]]*(TModelo[[#This Row],[IniUSD]]+TModelo[[#This Row],[IntUSD]]+PesoUSD*TModelo[[#This Row],[Outflow]])</f>
        <v>10811350.444924619</v>
      </c>
      <c r="AA77" s="24">
        <f>TModelo[[#This Row],[BalCDT]]+TModelo[[#This Row],[BalCOLCAP]]+TModelo[[#This Row],[BalUSD]]</f>
        <v>72488783.694725126</v>
      </c>
      <c r="AB77" s="24">
        <f>IF(TModelo[[#This Row],[CumInfl]]&gt;0,TModelo[[#This Row],[TotalPreLiq]]/TModelo[[#This Row],[CumInfl]],0)</f>
        <v>63486564.769293204</v>
      </c>
      <c r="AC77" s="41">
        <f>(1+PerRate)^(-TModelo[[#This Row],[Period]])</f>
        <v>0.67730365490388311</v>
      </c>
      <c r="AD77" s="42">
        <f>TModelo[[#This Row],[NetCF]]*TModelo[[#This Row],[fd]]</f>
        <v>-771440.84368771373</v>
      </c>
    </row>
    <row r="78" spans="2:30" ht="16.95" customHeight="1">
      <c r="B78" s="11">
        <v>51</v>
      </c>
      <c r="C78" s="25">
        <f>EDATE(FechaInicio,TModelo[[#This Row],[Period]])</f>
        <v>47846</v>
      </c>
      <c r="D78" s="11">
        <f>IF(AND(TModelo[[#This Row],[Period]]&gt;=1,TModelo[[#This Row],[Period]]&lt;=HorizonteMeses),1,0)</f>
        <v>1</v>
      </c>
      <c r="E78" s="40">
        <f>TModelo[[#This Row],[Act]]*(INFb+(INFpi0-INFb)*(1-INFa)^TModelo[[#This Row],[Period]])</f>
        <v>2.4662810035258388E-3</v>
      </c>
      <c r="F78" s="28">
        <f>IF(TModelo[[#This Row],[Period]]&lt;=HorizonteMeses,F77*(1+TModelo[[#This Row],[InflMes]]),0)</f>
        <v>1.1446132212223197</v>
      </c>
      <c r="G78" s="21">
        <f>TModelo[[#This Row],[Act]]*(CDTb+(CDTx0-CDTb)*(1-CDTa)^TModelo[[#This Row],[Period]]+CDTspread)</f>
        <v>0.12469270772646858</v>
      </c>
      <c r="H78" s="40">
        <f>TModelo[[#This Row],[Act]]*((1+TModelo[[#This Row],[TasaCDT]])^(1/12)-1)*(1-Retencion)</f>
        <v>9.4469671349760621E-3</v>
      </c>
      <c r="I78" s="40">
        <f>TModelo[[#This Row],[Act]]*(EXP(MuCOLCAP+SigmaCOLCAP^2/2)-1)</f>
        <v>7.1281059265766444E-3</v>
      </c>
      <c r="J78" s="40">
        <f>TModelo[[#This Row],[Act]]*(EXP(MuTRM+SigmaTRM^2/2)-1)</f>
        <v>1.9069525320893899E-3</v>
      </c>
      <c r="K78" s="11">
        <f>TModelo[[#This Row],[Act]]*IF(Rebalanceo="Mensual",1,IF(Rebalanceo="Anual",IF(MOD(TModelo[[#This Row],[Period]]-1,12)=0,1,0),0))</f>
        <v>1</v>
      </c>
      <c r="L78" s="24">
        <f>TModelo[[#This Row],[Act]]*AporteMensual*IF(CrecimientoAporte="Con IPC",F77,1)</f>
        <v>1141797.2284080184</v>
      </c>
      <c r="M78" s="24">
        <f>IF(TModelo[[#This Row],[Period]]=HorizonteMeses,TModelo[[#This Row],[TotalPreLiq]],0)</f>
        <v>0</v>
      </c>
      <c r="N78" s="24">
        <f>TModelo[[#This Row],[Inflow]]-TModelo[[#This Row],[Outflow]]</f>
        <v>-1141797.2284080184</v>
      </c>
      <c r="O78" s="24">
        <f t="shared" si="0"/>
        <v>72488783.694725156</v>
      </c>
      <c r="P78" s="24">
        <f>TModelo[[#This Row],[IntCDT]]+TModelo[[#This Row],[IntCOLCAP]]+TModelo[[#This Row],[IntUSD]]</f>
        <v>560791.32693946012</v>
      </c>
      <c r="Q78" s="24">
        <f>TModelo[[#This Row],[InitialBalance]]+TModelo[[#This Row],[Interest]]+TModelo[[#This Row],[Outflow]]-TModelo[[#This Row],[Inflow]]</f>
        <v>74191372.250072643</v>
      </c>
      <c r="R78" s="24">
        <f>TModelo[[#This Row],[Act]]*IF(TModelo[[#This Row],[Rebal]]=1,PesoCDT*(X77+Y77+Z77),X77)</f>
        <v>43493270.216835074</v>
      </c>
      <c r="S78" s="24">
        <f>TModelo[[#This Row],[Act]]*IF(TModelo[[#This Row],[Rebal]]=1,PesoCOLCAP*(X77+Y77+Z77),Y77)</f>
        <v>18122195.923681282</v>
      </c>
      <c r="T78" s="24">
        <f>TModelo[[#This Row],[Act]]*IF(TModelo[[#This Row],[Rebal]]=1,PesoUSD*(X77+Y77+Z77),Z77)</f>
        <v>10873317.554208769</v>
      </c>
      <c r="U78" s="24">
        <f>TModelo[[#This Row],[IniCDT]]*TModelo[[#This Row],[RetCDT]]</f>
        <v>410879.49433107412</v>
      </c>
      <c r="V78" s="24">
        <f>TModelo[[#This Row],[IniCOLCAP]]*TModelo[[#This Row],[RetCOLCAP]]</f>
        <v>129176.93216617565</v>
      </c>
      <c r="W78" s="24">
        <f>TModelo[[#This Row],[IniUSD]]*TModelo[[#This Row],[RetUSD]]</f>
        <v>20734.900442210423</v>
      </c>
      <c r="X78" s="24">
        <f>TModelo[[#This Row],[Act]]*(TModelo[[#This Row],[IniCDT]]+TModelo[[#This Row],[IntCDT]]+PesoCDT*TModelo[[#This Row],[Outflow]])</f>
        <v>44589228.048210964</v>
      </c>
      <c r="Y78" s="24">
        <f>TModelo[[#This Row],[Act]]*(TModelo[[#This Row],[IniCOLCAP]]+TModelo[[#This Row],[IntCOLCAP]]+PesoCOLCAP*TModelo[[#This Row],[Outflow]])</f>
        <v>18536822.162949461</v>
      </c>
      <c r="Z78" s="24">
        <f>TModelo[[#This Row],[Act]]*(TModelo[[#This Row],[IniUSD]]+TModelo[[#This Row],[IntUSD]]+PesoUSD*TModelo[[#This Row],[Outflow]])</f>
        <v>11065322.038912183</v>
      </c>
      <c r="AA78" s="24">
        <f>TModelo[[#This Row],[BalCDT]]+TModelo[[#This Row],[BalCOLCAP]]+TModelo[[#This Row],[BalUSD]]</f>
        <v>74191372.250072598</v>
      </c>
      <c r="AB78" s="24">
        <f>IF(TModelo[[#This Row],[CumInfl]]&gt;0,TModelo[[#This Row],[TotalPreLiq]]/TModelo[[#This Row],[CumInfl]],0)</f>
        <v>64817853.642162599</v>
      </c>
      <c r="AC78" s="41">
        <f>(1+PerRate)^(-TModelo[[#This Row],[Period]])</f>
        <v>0.67204613467817698</v>
      </c>
      <c r="AD78" s="42">
        <f>TModelo[[#This Row],[NetCF]]*TModelo[[#This Row],[fd]]</f>
        <v>-767340.41393786436</v>
      </c>
    </row>
    <row r="79" spans="2:30" ht="16.95" customHeight="1">
      <c r="B79" s="11">
        <v>52</v>
      </c>
      <c r="C79" s="25">
        <f>EDATE(FechaInicio,TModelo[[#This Row],[Period]])</f>
        <v>47877</v>
      </c>
      <c r="D79" s="11">
        <f>IF(AND(TModelo[[#This Row],[Period]]&gt;=1,TModelo[[#This Row],[Period]]&lt;=HorizonteMeses),1,0)</f>
        <v>1</v>
      </c>
      <c r="E79" s="40">
        <f>TModelo[[#This Row],[Act]]*(INFb+(INFpi0-INFb)*(1-INFa)^TModelo[[#This Row],[Period]])</f>
        <v>2.4662785879936036E-3</v>
      </c>
      <c r="F79" s="28">
        <f>IF(TModelo[[#This Row],[Period]]&lt;=HorizonteMeses,F78*(1+TModelo[[#This Row],[InflMes]]),0)</f>
        <v>1.1474361563013546</v>
      </c>
      <c r="G79" s="21">
        <f>TModelo[[#This Row],[Act]]*(CDTb+(CDTx0-CDTb)*(1-CDTa)^TModelo[[#This Row],[Period]]+CDTspread)</f>
        <v>0.12456684299390358</v>
      </c>
      <c r="H79" s="40">
        <f>TModelo[[#This Row],[Act]]*((1+TModelo[[#This Row],[TasaCDT]])^(1/12)-1)*(1-Retencion)</f>
        <v>9.4379257436772689E-3</v>
      </c>
      <c r="I79" s="40">
        <f>TModelo[[#This Row],[Act]]*(EXP(MuCOLCAP+SigmaCOLCAP^2/2)-1)</f>
        <v>7.1281059265766444E-3</v>
      </c>
      <c r="J79" s="40">
        <f>TModelo[[#This Row],[Act]]*(EXP(MuTRM+SigmaTRM^2/2)-1)</f>
        <v>1.9069525320893899E-3</v>
      </c>
      <c r="K79" s="11">
        <f>TModelo[[#This Row],[Act]]*IF(Rebalanceo="Mensual",1,IF(Rebalanceo="Anual",IF(MOD(TModelo[[#This Row],[Period]]-1,12)=0,1,0),0))</f>
        <v>1</v>
      </c>
      <c r="L79" s="24">
        <f>TModelo[[#This Row],[Act]]*AporteMensual*IF(CrecimientoAporte="Con IPC",F78,1)</f>
        <v>1144613.2212223196</v>
      </c>
      <c r="M79" s="24">
        <f>IF(TModelo[[#This Row],[Period]]=HorizonteMeses,TModelo[[#This Row],[TotalPreLiq]],0)</f>
        <v>0</v>
      </c>
      <c r="N79" s="24">
        <f>TModelo[[#This Row],[Inflow]]-TModelo[[#This Row],[Outflow]]</f>
        <v>-1144613.2212223196</v>
      </c>
      <c r="O79" s="24">
        <f t="shared" si="0"/>
        <v>74191372.250072643</v>
      </c>
      <c r="P79" s="24">
        <f>TModelo[[#This Row],[IntCDT]]+TModelo[[#This Row],[IntCOLCAP]]+TModelo[[#This Row],[IntUSD]]</f>
        <v>573560.50110549061</v>
      </c>
      <c r="Q79" s="24">
        <f>TModelo[[#This Row],[InitialBalance]]+TModelo[[#This Row],[Interest]]+TModelo[[#This Row],[Outflow]]-TModelo[[#This Row],[Inflow]]</f>
        <v>75909545.972400457</v>
      </c>
      <c r="R79" s="24">
        <f>TModelo[[#This Row],[Act]]*IF(TModelo[[#This Row],[Rebal]]=1,PesoCDT*(X78+Y78+Z78),X78)</f>
        <v>44514823.350043558</v>
      </c>
      <c r="S79" s="24">
        <f>TModelo[[#This Row],[Act]]*IF(TModelo[[#This Row],[Rebal]]=1,PesoCOLCAP*(X78+Y78+Z78),Y78)</f>
        <v>18547843.06251815</v>
      </c>
      <c r="T79" s="24">
        <f>TModelo[[#This Row],[Act]]*IF(TModelo[[#This Row],[Rebal]]=1,PesoUSD*(X78+Y78+Z78),Z78)</f>
        <v>11128705.837510889</v>
      </c>
      <c r="U79" s="24">
        <f>TModelo[[#This Row],[IniCDT]]*TModelo[[#This Row],[RetCDT]]</f>
        <v>420127.59727062209</v>
      </c>
      <c r="V79" s="24">
        <f>TModelo[[#This Row],[IniCOLCAP]]*TModelo[[#This Row],[RetCOLCAP]]</f>
        <v>132210.99005914913</v>
      </c>
      <c r="W79" s="24">
        <f>TModelo[[#This Row],[IniUSD]]*TModelo[[#This Row],[RetUSD]]</f>
        <v>21221.913775719364</v>
      </c>
      <c r="X79" s="24">
        <f>TModelo[[#This Row],[Act]]*(TModelo[[#This Row],[IniCDT]]+TModelo[[#This Row],[IntCDT]]+PesoCDT*TModelo[[#This Row],[Outflow]])</f>
        <v>45621718.880047575</v>
      </c>
      <c r="Y79" s="24">
        <f>TModelo[[#This Row],[Act]]*(TModelo[[#This Row],[IniCOLCAP]]+TModelo[[#This Row],[IntCOLCAP]]+PesoCOLCAP*TModelo[[#This Row],[Outflow]])</f>
        <v>18966207.35788288</v>
      </c>
      <c r="Z79" s="24">
        <f>TModelo[[#This Row],[Act]]*(TModelo[[#This Row],[IniUSD]]+TModelo[[#This Row],[IntUSD]]+PesoUSD*TModelo[[#This Row],[Outflow]])</f>
        <v>11321619.734469958</v>
      </c>
      <c r="AA79" s="24">
        <f>TModelo[[#This Row],[BalCDT]]+TModelo[[#This Row],[BalCOLCAP]]+TModelo[[#This Row],[BalUSD]]</f>
        <v>75909545.972400412</v>
      </c>
      <c r="AB79" s="24">
        <f>IF(TModelo[[#This Row],[CumInfl]]&gt;0,TModelo[[#This Row],[TotalPreLiq]]/TModelo[[#This Row],[CumInfl]],0)</f>
        <v>66155790.503488421</v>
      </c>
      <c r="AC79" s="41">
        <f>(1+PerRate)^(-TModelo[[#This Row],[Period]])</f>
        <v>0.66682942556979408</v>
      </c>
      <c r="AD79" s="42">
        <f>TModelo[[#This Row],[NetCF]]*TModelo[[#This Row],[fd]]</f>
        <v>-763261.77680727106</v>
      </c>
    </row>
    <row r="80" spans="2:30" ht="16.95" customHeight="1">
      <c r="B80" s="11">
        <v>53</v>
      </c>
      <c r="C80" s="25">
        <f>EDATE(FechaInicio,TModelo[[#This Row],[Period]])</f>
        <v>47907</v>
      </c>
      <c r="D80" s="11">
        <f>IF(AND(TModelo[[#This Row],[Period]]&gt;=1,TModelo[[#This Row],[Period]]&lt;=HorizonteMeses),1,0)</f>
        <v>1</v>
      </c>
      <c r="E80" s="40">
        <f>TModelo[[#This Row],[Act]]*(INFb+(INFpi0-INFb)*(1-INFa)^TModelo[[#This Row],[Period]])</f>
        <v>2.466276691977045E-3</v>
      </c>
      <c r="F80" s="28">
        <f>IF(TModelo[[#This Row],[Period]]&lt;=HorizonteMeses,F79*(1+TModelo[[#This Row],[InflMes]]),0)</f>
        <v>1.1502660513491723</v>
      </c>
      <c r="G80" s="21">
        <f>TModelo[[#This Row],[Act]]*(CDTb+(CDTx0-CDTb)*(1-CDTa)^TModelo[[#This Row],[Period]]+CDTspread)</f>
        <v>0.12444293566192267</v>
      </c>
      <c r="H80" s="40">
        <f>TModelo[[#This Row],[Act]]*((1+TModelo[[#This Row],[TasaCDT]])^(1/12)-1)*(1-Retencion)</f>
        <v>9.4290240545376481E-3</v>
      </c>
      <c r="I80" s="40">
        <f>TModelo[[#This Row],[Act]]*(EXP(MuCOLCAP+SigmaCOLCAP^2/2)-1)</f>
        <v>7.1281059265766444E-3</v>
      </c>
      <c r="J80" s="40">
        <f>TModelo[[#This Row],[Act]]*(EXP(MuTRM+SigmaTRM^2/2)-1)</f>
        <v>1.9069525320893899E-3</v>
      </c>
      <c r="K80" s="11">
        <f>TModelo[[#This Row],[Act]]*IF(Rebalanceo="Mensual",1,IF(Rebalanceo="Anual",IF(MOD(TModelo[[#This Row],[Period]]-1,12)=0,1,0),0))</f>
        <v>1</v>
      </c>
      <c r="L80" s="24">
        <f>TModelo[[#This Row],[Act]]*AporteMensual*IF(CrecimientoAporte="Con IPC",F79,1)</f>
        <v>1147436.1563013548</v>
      </c>
      <c r="M80" s="24">
        <f>IF(TModelo[[#This Row],[Period]]=HorizonteMeses,TModelo[[#This Row],[TotalPreLiq]],0)</f>
        <v>0</v>
      </c>
      <c r="N80" s="24">
        <f>TModelo[[#This Row],[Inflow]]-TModelo[[#This Row],[Outflow]]</f>
        <v>-1147436.1563013548</v>
      </c>
      <c r="O80" s="24">
        <f t="shared" si="0"/>
        <v>75909545.972400457</v>
      </c>
      <c r="P80" s="24">
        <f>TModelo[[#This Row],[IntCDT]]+TModelo[[#This Row],[IntCOLCAP]]+TModelo[[#This Row],[IntUSD]]</f>
        <v>586437.96723335306</v>
      </c>
      <c r="Q80" s="24">
        <f>TModelo[[#This Row],[InitialBalance]]+TModelo[[#This Row],[Interest]]+TModelo[[#This Row],[Outflow]]-TModelo[[#This Row],[Inflow]]</f>
        <v>77643420.095935166</v>
      </c>
      <c r="R80" s="24">
        <f>TModelo[[#This Row],[Act]]*IF(TModelo[[#This Row],[Rebal]]=1,PesoCDT*(X79+Y79+Z79),X79)</f>
        <v>45545727.583440244</v>
      </c>
      <c r="S80" s="24">
        <f>TModelo[[#This Row],[Act]]*IF(TModelo[[#This Row],[Rebal]]=1,PesoCOLCAP*(X79+Y79+Z79),Y79)</f>
        <v>18977386.493100103</v>
      </c>
      <c r="T80" s="24">
        <f>TModelo[[#This Row],[Act]]*IF(TModelo[[#This Row],[Rebal]]=1,PesoUSD*(X79+Y79+Z79),Z79)</f>
        <v>11386431.895860061</v>
      </c>
      <c r="U80" s="24">
        <f>TModelo[[#This Row],[IniCDT]]*TModelo[[#This Row],[RetCDT]]</f>
        <v>429451.76096567692</v>
      </c>
      <c r="V80" s="24">
        <f>TModelo[[#This Row],[IniCOLCAP]]*TModelo[[#This Row],[RetCOLCAP]]</f>
        <v>135272.8211324024</v>
      </c>
      <c r="W80" s="24">
        <f>TModelo[[#This Row],[IniUSD]]*TModelo[[#This Row],[RetUSD]]</f>
        <v>21713.385135273737</v>
      </c>
      <c r="X80" s="24">
        <f>TModelo[[#This Row],[Act]]*(TModelo[[#This Row],[IniCDT]]+TModelo[[#This Row],[IntCDT]]+PesoCDT*TModelo[[#This Row],[Outflow]])</f>
        <v>46663641.038186729</v>
      </c>
      <c r="Y80" s="24">
        <f>TModelo[[#This Row],[Act]]*(TModelo[[#This Row],[IniCOLCAP]]+TModelo[[#This Row],[IntCOLCAP]]+PesoCOLCAP*TModelo[[#This Row],[Outflow]])</f>
        <v>19399518.353307843</v>
      </c>
      <c r="Z80" s="24">
        <f>TModelo[[#This Row],[Act]]*(TModelo[[#This Row],[IniUSD]]+TModelo[[#This Row],[IntUSD]]+PesoUSD*TModelo[[#This Row],[Outflow]])</f>
        <v>11580260.704440538</v>
      </c>
      <c r="AA80" s="24">
        <f>TModelo[[#This Row],[BalCDT]]+TModelo[[#This Row],[BalCOLCAP]]+TModelo[[#This Row],[BalUSD]]</f>
        <v>77643420.095935106</v>
      </c>
      <c r="AB80" s="24">
        <f>IF(TModelo[[#This Row],[CumInfl]]&gt;0,TModelo[[#This Row],[TotalPreLiq]]/TModelo[[#This Row],[CumInfl]],0)</f>
        <v>67500401.324428752</v>
      </c>
      <c r="AC80" s="41">
        <f>(1+PerRate)^(-TModelo[[#This Row],[Period]])</f>
        <v>0.66165321078541262</v>
      </c>
      <c r="AD80" s="42">
        <f>TModelo[[#This Row],[NetCF]]*TModelo[[#This Row],[fd]]</f>
        <v>-759204.81698806398</v>
      </c>
    </row>
    <row r="81" spans="2:30" ht="16.95" customHeight="1">
      <c r="B81" s="11">
        <v>54</v>
      </c>
      <c r="C81" s="25">
        <f>EDATE(FechaInicio,TModelo[[#This Row],[Period]])</f>
        <v>47936</v>
      </c>
      <c r="D81" s="11">
        <f>IF(AND(TModelo[[#This Row],[Period]]&gt;=1,TModelo[[#This Row],[Period]]&lt;=HorizonteMeses),1,0)</f>
        <v>1</v>
      </c>
      <c r="E81" s="40">
        <f>TModelo[[#This Row],[Act]]*(INFb+(INFpi0-INFb)*(1-INFa)^TModelo[[#This Row],[Period]])</f>
        <v>2.4662752037423875E-3</v>
      </c>
      <c r="F81" s="28">
        <f>IF(TModelo[[#This Row],[Period]]&lt;=HorizonteMeses,F80*(1+TModelo[[#This Row],[InflMes]]),0)</f>
        <v>1.1531029239893213</v>
      </c>
      <c r="G81" s="21">
        <f>TModelo[[#This Row],[Act]]*(CDTb+(CDTx0-CDTb)*(1-CDTa)^TModelo[[#This Row],[Period]]+CDTspread)</f>
        <v>0.12432095528977435</v>
      </c>
      <c r="H81" s="40">
        <f>TModelo[[#This Row],[Act]]*((1+TModelo[[#This Row],[TasaCDT]])^(1/12)-1)*(1-Retencion)</f>
        <v>9.4202599227414651E-3</v>
      </c>
      <c r="I81" s="40">
        <f>TModelo[[#This Row],[Act]]*(EXP(MuCOLCAP+SigmaCOLCAP^2/2)-1)</f>
        <v>7.1281059265766444E-3</v>
      </c>
      <c r="J81" s="40">
        <f>TModelo[[#This Row],[Act]]*(EXP(MuTRM+SigmaTRM^2/2)-1)</f>
        <v>1.9069525320893899E-3</v>
      </c>
      <c r="K81" s="11">
        <f>TModelo[[#This Row],[Act]]*IF(Rebalanceo="Mensual",1,IF(Rebalanceo="Anual",IF(MOD(TModelo[[#This Row],[Period]]-1,12)=0,1,0),0))</f>
        <v>1</v>
      </c>
      <c r="L81" s="24">
        <f>TModelo[[#This Row],[Act]]*AporteMensual*IF(CrecimientoAporte="Con IPC",F80,1)</f>
        <v>1150266.0513491724</v>
      </c>
      <c r="M81" s="24">
        <f>IF(TModelo[[#This Row],[Period]]=HorizonteMeses,TModelo[[#This Row],[TotalPreLiq]],0)</f>
        <v>0</v>
      </c>
      <c r="N81" s="24">
        <f>TModelo[[#This Row],[Inflow]]-TModelo[[#This Row],[Outflow]]</f>
        <v>-1150266.0513491724</v>
      </c>
      <c r="O81" s="24">
        <f t="shared" si="0"/>
        <v>77643420.095935166</v>
      </c>
      <c r="P81" s="24">
        <f>TModelo[[#This Row],[IntCDT]]+TModelo[[#This Row],[IntCOLCAP]]+TModelo[[#This Row],[IntUSD]]</f>
        <v>599424.69737577229</v>
      </c>
      <c r="Q81" s="24">
        <f>TModelo[[#This Row],[InitialBalance]]+TModelo[[#This Row],[Interest]]+TModelo[[#This Row],[Outflow]]-TModelo[[#This Row],[Inflow]]</f>
        <v>79393110.844660118</v>
      </c>
      <c r="R81" s="24">
        <f>TModelo[[#This Row],[Act]]*IF(TModelo[[#This Row],[Rebal]]=1,PesoCDT*(X80+Y80+Z80),X80)</f>
        <v>46586052.057561062</v>
      </c>
      <c r="S81" s="24">
        <f>TModelo[[#This Row],[Act]]*IF(TModelo[[#This Row],[Rebal]]=1,PesoCOLCAP*(X80+Y80+Z80),Y80)</f>
        <v>19410855.023983777</v>
      </c>
      <c r="T81" s="24">
        <f>TModelo[[#This Row],[Act]]*IF(TModelo[[#This Row],[Rebal]]=1,PesoUSD*(X80+Y80+Z80),Z80)</f>
        <v>11646513.014390266</v>
      </c>
      <c r="U81" s="24">
        <f>TModelo[[#This Row],[IniCDT]]*TModelo[[#This Row],[RetCDT]]</f>
        <v>438852.71915659006</v>
      </c>
      <c r="V81" s="24">
        <f>TModelo[[#This Row],[IniCOLCAP]]*TModelo[[#This Row],[RetCOLCAP]]</f>
        <v>138362.63073637878</v>
      </c>
      <c r="W81" s="24">
        <f>TModelo[[#This Row],[IniUSD]]*TModelo[[#This Row],[RetUSD]]</f>
        <v>22209.347482803551</v>
      </c>
      <c r="X81" s="24">
        <f>TModelo[[#This Row],[Act]]*(TModelo[[#This Row],[IniCDT]]+TModelo[[#This Row],[IntCDT]]+PesoCDT*TModelo[[#This Row],[Outflow]])</f>
        <v>47715064.407527156</v>
      </c>
      <c r="Y81" s="24">
        <f>TModelo[[#This Row],[Act]]*(TModelo[[#This Row],[IniCOLCAP]]+TModelo[[#This Row],[IntCOLCAP]]+PesoCOLCAP*TModelo[[#This Row],[Outflow]])</f>
        <v>19836784.167557448</v>
      </c>
      <c r="Z81" s="24">
        <f>TModelo[[#This Row],[Act]]*(TModelo[[#This Row],[IniUSD]]+TModelo[[#This Row],[IntUSD]]+PesoUSD*TModelo[[#This Row],[Outflow]])</f>
        <v>11841262.269575445</v>
      </c>
      <c r="AA81" s="24">
        <f>TModelo[[#This Row],[BalCDT]]+TModelo[[#This Row],[BalCOLCAP]]+TModelo[[#This Row],[BalUSD]]</f>
        <v>79393110.844660044</v>
      </c>
      <c r="AB81" s="24">
        <f>IF(TModelo[[#This Row],[CumInfl]]&gt;0,TModelo[[#This Row],[TotalPreLiq]]/TModelo[[#This Row],[CumInfl]],0)</f>
        <v>68851712.360583082</v>
      </c>
      <c r="AC81" s="41">
        <f>(1+PerRate)^(-TModelo[[#This Row],[Period]])</f>
        <v>0.65651717599079551</v>
      </c>
      <c r="AD81" s="42">
        <f>TModelo[[#This Row],[NetCF]]*TModelo[[#This Row],[fd]]</f>
        <v>-755169.419669842</v>
      </c>
    </row>
    <row r="82" spans="2:30" ht="16.95" customHeight="1">
      <c r="B82" s="11">
        <v>55</v>
      </c>
      <c r="C82" s="25">
        <f>EDATE(FechaInicio,TModelo[[#This Row],[Period]])</f>
        <v>47967</v>
      </c>
      <c r="D82" s="11">
        <f>IF(AND(TModelo[[#This Row],[Period]]&gt;=1,TModelo[[#This Row],[Period]]&lt;=HorizonteMeses),1,0)</f>
        <v>1</v>
      </c>
      <c r="E82" s="40">
        <f>TModelo[[#This Row],[Act]]*(INFb+(INFpi0-INFb)*(1-INFa)^TModelo[[#This Row],[Period]])</f>
        <v>2.4662740355867684E-3</v>
      </c>
      <c r="F82" s="28">
        <f>IF(TModelo[[#This Row],[Period]]&lt;=HorizonteMeses,F81*(1+TModelo[[#This Row],[InflMes]]),0)</f>
        <v>1.1559467917911155</v>
      </c>
      <c r="G82" s="21">
        <f>TModelo[[#This Row],[Act]]*(CDTb+(CDTx0-CDTb)*(1-CDTa)^TModelo[[#This Row],[Period]]+CDTspread)</f>
        <v>0.12420087191011016</v>
      </c>
      <c r="H82" s="40">
        <f>TModelo[[#This Row],[Act]]*((1+TModelo[[#This Row],[TasaCDT]])^(1/12)-1)*(1-Retencion)</f>
        <v>9.4116312359788165E-3</v>
      </c>
      <c r="I82" s="40">
        <f>TModelo[[#This Row],[Act]]*(EXP(MuCOLCAP+SigmaCOLCAP^2/2)-1)</f>
        <v>7.1281059265766444E-3</v>
      </c>
      <c r="J82" s="40">
        <f>TModelo[[#This Row],[Act]]*(EXP(MuTRM+SigmaTRM^2/2)-1)</f>
        <v>1.9069525320893899E-3</v>
      </c>
      <c r="K82" s="11">
        <f>TModelo[[#This Row],[Act]]*IF(Rebalanceo="Mensual",1,IF(Rebalanceo="Anual",IF(MOD(TModelo[[#This Row],[Period]]-1,12)=0,1,0),0))</f>
        <v>1</v>
      </c>
      <c r="L82" s="24">
        <f>TModelo[[#This Row],[Act]]*AporteMensual*IF(CrecimientoAporte="Con IPC",F81,1)</f>
        <v>1153102.9239893213</v>
      </c>
      <c r="M82" s="24">
        <f>IF(TModelo[[#This Row],[Period]]=HorizonteMeses,TModelo[[#This Row],[TotalPreLiq]],0)</f>
        <v>0</v>
      </c>
      <c r="N82" s="24">
        <f>TModelo[[#This Row],[Inflow]]-TModelo[[#This Row],[Outflow]]</f>
        <v>-1153102.9239893213</v>
      </c>
      <c r="O82" s="24">
        <f t="shared" si="0"/>
        <v>79393110.844660118</v>
      </c>
      <c r="P82" s="24">
        <f>TModelo[[#This Row],[IntCDT]]+TModelo[[#This Row],[IntCOLCAP]]+TModelo[[#This Row],[IntUSD]]</f>
        <v>612521.6692169247</v>
      </c>
      <c r="Q82" s="24">
        <f>TModelo[[#This Row],[InitialBalance]]+TModelo[[#This Row],[Interest]]+TModelo[[#This Row],[Outflow]]-TModelo[[#This Row],[Inflow]]</f>
        <v>81158735.437866375</v>
      </c>
      <c r="R82" s="24">
        <f>TModelo[[#This Row],[Act]]*IF(TModelo[[#This Row],[Rebal]]=1,PesoCDT*(X81+Y81+Z81),X81)</f>
        <v>47635866.506796025</v>
      </c>
      <c r="S82" s="24">
        <f>TModelo[[#This Row],[Act]]*IF(TModelo[[#This Row],[Rebal]]=1,PesoCOLCAP*(X81+Y81+Z81),Y81)</f>
        <v>19848277.711165011</v>
      </c>
      <c r="T82" s="24">
        <f>TModelo[[#This Row],[Act]]*IF(TModelo[[#This Row],[Rebal]]=1,PesoUSD*(X81+Y81+Z81),Z81)</f>
        <v>11908966.626699006</v>
      </c>
      <c r="U82" s="24">
        <f>TModelo[[#This Row],[IniCDT]]*TModelo[[#This Row],[RetCDT]]</f>
        <v>448331.20916827855</v>
      </c>
      <c r="V82" s="24">
        <f>TModelo[[#This Row],[IniCOLCAP]]*TModelo[[#This Row],[RetCOLCAP]]</f>
        <v>141480.62598529443</v>
      </c>
      <c r="W82" s="24">
        <f>TModelo[[#This Row],[IniUSD]]*TModelo[[#This Row],[RetUSD]]</f>
        <v>22709.834063351711</v>
      </c>
      <c r="X82" s="24">
        <f>TModelo[[#This Row],[Act]]*(TModelo[[#This Row],[IniCDT]]+TModelo[[#This Row],[IntCDT]]+PesoCDT*TModelo[[#This Row],[Outflow]])</f>
        <v>48776059.470357895</v>
      </c>
      <c r="Y82" s="24">
        <f>TModelo[[#This Row],[Act]]*(TModelo[[#This Row],[IniCOLCAP]]+TModelo[[#This Row],[IntCOLCAP]]+PesoCOLCAP*TModelo[[#This Row],[Outflow]])</f>
        <v>20278034.068147637</v>
      </c>
      <c r="Z82" s="24">
        <f>TModelo[[#This Row],[Act]]*(TModelo[[#This Row],[IniUSD]]+TModelo[[#This Row],[IntUSD]]+PesoUSD*TModelo[[#This Row],[Outflow]])</f>
        <v>12104641.899360755</v>
      </c>
      <c r="AA82" s="24">
        <f>TModelo[[#This Row],[BalCDT]]+TModelo[[#This Row],[BalCOLCAP]]+TModelo[[#This Row],[BalUSD]]</f>
        <v>81158735.437866285</v>
      </c>
      <c r="AB82" s="24">
        <f>IF(TModelo[[#This Row],[CumInfl]]&gt;0,TModelo[[#This Row],[TotalPreLiq]]/TModelo[[#This Row],[CumInfl]],0)</f>
        <v>70209750.149583027</v>
      </c>
      <c r="AC82" s="41">
        <f>(1+PerRate)^(-TModelo[[#This Row],[Period]])</f>
        <v>0.65142100929170255</v>
      </c>
      <c r="AD82" s="42">
        <f>TModelo[[#This Row],[NetCF]]*TModelo[[#This Row],[fd]]</f>
        <v>-751155.47056233708</v>
      </c>
    </row>
    <row r="83" spans="2:30" ht="16.95" customHeight="1">
      <c r="B83" s="11">
        <v>56</v>
      </c>
      <c r="C83" s="25">
        <f>EDATE(FechaInicio,TModelo[[#This Row],[Period]])</f>
        <v>47997</v>
      </c>
      <c r="D83" s="11">
        <f>IF(AND(TModelo[[#This Row],[Period]]&gt;=1,TModelo[[#This Row],[Period]]&lt;=HorizonteMeses),1,0)</f>
        <v>1</v>
      </c>
      <c r="E83" s="40">
        <f>TModelo[[#This Row],[Act]]*(INFb+(INFpi0-INFb)*(1-INFa)^TModelo[[#This Row],[Period]])</f>
        <v>2.4662731186698402E-3</v>
      </c>
      <c r="F83" s="28">
        <f>IF(TModelo[[#This Row],[Period]]&lt;=HorizonteMeses,F82*(1+TModelo[[#This Row],[InflMes]]),0)</f>
        <v>1.1587976722903224</v>
      </c>
      <c r="G83" s="21">
        <f>TModelo[[#This Row],[Act]]*(CDTb+(CDTx0-CDTb)*(1-CDTa)^TModelo[[#This Row],[Period]]+CDTspread)</f>
        <v>0.12408265602162243</v>
      </c>
      <c r="H83" s="40">
        <f>TModelo[[#This Row],[Act]]*((1+TModelo[[#This Row],[TasaCDT]])^(1/12)-1)*(1-Retencion)</f>
        <v>9.4031359139670912E-3</v>
      </c>
      <c r="I83" s="40">
        <f>TModelo[[#This Row],[Act]]*(EXP(MuCOLCAP+SigmaCOLCAP^2/2)-1)</f>
        <v>7.1281059265766444E-3</v>
      </c>
      <c r="J83" s="40">
        <f>TModelo[[#This Row],[Act]]*(EXP(MuTRM+SigmaTRM^2/2)-1)</f>
        <v>1.9069525320893899E-3</v>
      </c>
      <c r="K83" s="11">
        <f>TModelo[[#This Row],[Act]]*IF(Rebalanceo="Mensual",1,IF(Rebalanceo="Anual",IF(MOD(TModelo[[#This Row],[Period]]-1,12)=0,1,0),0))</f>
        <v>1</v>
      </c>
      <c r="L83" s="24">
        <f>TModelo[[#This Row],[Act]]*AporteMensual*IF(CrecimientoAporte="Con IPC",F82,1)</f>
        <v>1155946.7917911154</v>
      </c>
      <c r="M83" s="24">
        <f>IF(TModelo[[#This Row],[Period]]=HorizonteMeses,TModelo[[#This Row],[TotalPreLiq]],0)</f>
        <v>0</v>
      </c>
      <c r="N83" s="24">
        <f>TModelo[[#This Row],[Inflow]]-TModelo[[#This Row],[Outflow]]</f>
        <v>-1155946.7917911154</v>
      </c>
      <c r="O83" s="24">
        <f t="shared" si="0"/>
        <v>81158735.437866375</v>
      </c>
      <c r="P83" s="24">
        <f>TModelo[[#This Row],[IntCDT]]+TModelo[[#This Row],[IntCOLCAP]]+TModelo[[#This Row],[IntUSD]]</f>
        <v>625729.86613046448</v>
      </c>
      <c r="Q83" s="24">
        <f>TModelo[[#This Row],[InitialBalance]]+TModelo[[#This Row],[Interest]]+TModelo[[#This Row],[Outflow]]-TModelo[[#This Row],[Inflow]]</f>
        <v>82940412.095787957</v>
      </c>
      <c r="R83" s="24">
        <f>TModelo[[#This Row],[Act]]*IF(TModelo[[#This Row],[Rebal]]=1,PesoCDT*(X82+Y82+Z82),X82)</f>
        <v>48695241.262719773</v>
      </c>
      <c r="S83" s="24">
        <f>TModelo[[#This Row],[Act]]*IF(TModelo[[#This Row],[Rebal]]=1,PesoCOLCAP*(X82+Y82+Z82),Y82)</f>
        <v>20289683.859466571</v>
      </c>
      <c r="T83" s="24">
        <f>TModelo[[#This Row],[Act]]*IF(TModelo[[#This Row],[Rebal]]=1,PesoUSD*(X82+Y82+Z82),Z82)</f>
        <v>12173810.315679943</v>
      </c>
      <c r="U83" s="24">
        <f>TModelo[[#This Row],[IniCDT]]*TModelo[[#This Row],[RetCDT]]</f>
        <v>457887.9719567725</v>
      </c>
      <c r="V83" s="24">
        <f>TModelo[[#This Row],[IniCOLCAP]]*TModelo[[#This Row],[RetCOLCAP]]</f>
        <v>144627.01576703016</v>
      </c>
      <c r="W83" s="24">
        <f>TModelo[[#This Row],[IniUSD]]*TModelo[[#This Row],[RetUSD]]</f>
        <v>23214.878406661803</v>
      </c>
      <c r="X83" s="24">
        <f>TModelo[[#This Row],[Act]]*(TModelo[[#This Row],[IniCDT]]+TModelo[[#This Row],[IntCDT]]+PesoCDT*TModelo[[#This Row],[Outflow]])</f>
        <v>49846697.30975122</v>
      </c>
      <c r="Y83" s="24">
        <f>TModelo[[#This Row],[Act]]*(TModelo[[#This Row],[IniCOLCAP]]+TModelo[[#This Row],[IntCOLCAP]]+PesoCOLCAP*TModelo[[#This Row],[Outflow]])</f>
        <v>20723297.57318138</v>
      </c>
      <c r="Z83" s="24">
        <f>TModelo[[#This Row],[Act]]*(TModelo[[#This Row],[IniUSD]]+TModelo[[#This Row],[IntUSD]]+PesoUSD*TModelo[[#This Row],[Outflow]])</f>
        <v>12370417.212855274</v>
      </c>
      <c r="AA83" s="24">
        <f>TModelo[[#This Row],[BalCDT]]+TModelo[[#This Row],[BalCOLCAP]]+TModelo[[#This Row],[BalUSD]]</f>
        <v>82940412.095787883</v>
      </c>
      <c r="AB83" s="24">
        <f>IF(TModelo[[#This Row],[CumInfl]]&gt;0,TModelo[[#This Row],[TotalPreLiq]]/TModelo[[#This Row],[CumInfl]],0)</f>
        <v>71574541.508923739</v>
      </c>
      <c r="AC83" s="41">
        <f>(1+PerRate)^(-TModelo[[#This Row],[Period]])</f>
        <v>0.64636440121494998</v>
      </c>
      <c r="AD83" s="42">
        <f>TModelo[[#This Row],[NetCF]]*TModelo[[#This Row],[fd]]</f>
        <v>-747162.85591240681</v>
      </c>
    </row>
    <row r="84" spans="2:30" ht="16.95" customHeight="1">
      <c r="B84" s="11">
        <v>57</v>
      </c>
      <c r="C84" s="25">
        <f>EDATE(FechaInicio,TModelo[[#This Row],[Period]])</f>
        <v>48028</v>
      </c>
      <c r="D84" s="11">
        <f>IF(AND(TModelo[[#This Row],[Period]]&gt;=1,TModelo[[#This Row],[Period]]&lt;=HorizonteMeses),1,0)</f>
        <v>1</v>
      </c>
      <c r="E84" s="40">
        <f>TModelo[[#This Row],[Act]]*(INFb+(INFpi0-INFb)*(1-INFa)^TModelo[[#This Row],[Period]])</f>
        <v>2.4662723989569537E-3</v>
      </c>
      <c r="F84" s="28">
        <f>IF(TModelo[[#This Row],[Period]]&lt;=HorizonteMeses,F83*(1+TModelo[[#This Row],[InflMes]]),0)</f>
        <v>1.1616555830054676</v>
      </c>
      <c r="G84" s="21">
        <f>TModelo[[#This Row],[Act]]*(CDTb+(CDTx0-CDTb)*(1-CDTa)^TModelo[[#This Row],[Period]]+CDTspread)</f>
        <v>0.12396627858179668</v>
      </c>
      <c r="H84" s="40">
        <f>TModelo[[#This Row],[Act]]*((1+TModelo[[#This Row],[TasaCDT]])^(1/12)-1)*(1-Retencion)</f>
        <v>9.3947719079773145E-3</v>
      </c>
      <c r="I84" s="40">
        <f>TModelo[[#This Row],[Act]]*(EXP(MuCOLCAP+SigmaCOLCAP^2/2)-1)</f>
        <v>7.1281059265766444E-3</v>
      </c>
      <c r="J84" s="40">
        <f>TModelo[[#This Row],[Act]]*(EXP(MuTRM+SigmaTRM^2/2)-1)</f>
        <v>1.9069525320893899E-3</v>
      </c>
      <c r="K84" s="11">
        <f>TModelo[[#This Row],[Act]]*IF(Rebalanceo="Mensual",1,IF(Rebalanceo="Anual",IF(MOD(TModelo[[#This Row],[Period]]-1,12)=0,1,0),0))</f>
        <v>1</v>
      </c>
      <c r="L84" s="24">
        <f>TModelo[[#This Row],[Act]]*AporteMensual*IF(CrecimientoAporte="Con IPC",F83,1)</f>
        <v>1158797.6722903224</v>
      </c>
      <c r="M84" s="24">
        <f>IF(TModelo[[#This Row],[Period]]=HorizonteMeses,TModelo[[#This Row],[TotalPreLiq]],0)</f>
        <v>0</v>
      </c>
      <c r="N84" s="24">
        <f>TModelo[[#This Row],[Inflow]]-TModelo[[#This Row],[Outflow]]</f>
        <v>-1158797.6722903224</v>
      </c>
      <c r="O84" s="24">
        <f t="shared" si="0"/>
        <v>82940412.095787957</v>
      </c>
      <c r="P84" s="24">
        <f>TModelo[[#This Row],[IntCDT]]+TModelo[[#This Row],[IntCOLCAP]]+TModelo[[#This Row],[IntUSD]]</f>
        <v>639050.27723810566</v>
      </c>
      <c r="Q84" s="24">
        <f>TModelo[[#This Row],[InitialBalance]]+TModelo[[#This Row],[Interest]]+TModelo[[#This Row],[Outflow]]-TModelo[[#This Row],[Inflow]]</f>
        <v>84738260.045316383</v>
      </c>
      <c r="R84" s="24">
        <f>TModelo[[#This Row],[Act]]*IF(TModelo[[#This Row],[Rebal]]=1,PesoCDT*(X83+Y83+Z83),X83)</f>
        <v>49764247.257472731</v>
      </c>
      <c r="S84" s="24">
        <f>TModelo[[#This Row],[Act]]*IF(TModelo[[#This Row],[Rebal]]=1,PesoCOLCAP*(X83+Y83+Z83),Y83)</f>
        <v>20735103.023946971</v>
      </c>
      <c r="T84" s="24">
        <f>TModelo[[#This Row],[Act]]*IF(TModelo[[#This Row],[Rebal]]=1,PesoUSD*(X83+Y83+Z83),Z83)</f>
        <v>12441061.814368183</v>
      </c>
      <c r="U84" s="24">
        <f>TModelo[[#This Row],[IniCDT]]*TModelo[[#This Row],[RetCDT]]</f>
        <v>467523.75215614191</v>
      </c>
      <c r="V84" s="24">
        <f>TModelo[[#This Row],[IniCOLCAP]]*TModelo[[#This Row],[RetCOLCAP]]</f>
        <v>147802.0107531737</v>
      </c>
      <c r="W84" s="24">
        <f>TModelo[[#This Row],[IniUSD]]*TModelo[[#This Row],[RetUSD]]</f>
        <v>23724.514328790025</v>
      </c>
      <c r="X84" s="24">
        <f>TModelo[[#This Row],[Act]]*(TModelo[[#This Row],[IniCDT]]+TModelo[[#This Row],[IntCDT]]+PesoCDT*TModelo[[#This Row],[Outflow]])</f>
        <v>50927049.61300306</v>
      </c>
      <c r="Y84" s="24">
        <f>TModelo[[#This Row],[Act]]*(TModelo[[#This Row],[IniCOLCAP]]+TModelo[[#This Row],[IntCOLCAP]]+PesoCOLCAP*TModelo[[#This Row],[Outflow]])</f>
        <v>21172604.452772725</v>
      </c>
      <c r="Z84" s="24">
        <f>TModelo[[#This Row],[Act]]*(TModelo[[#This Row],[IniUSD]]+TModelo[[#This Row],[IntUSD]]+PesoUSD*TModelo[[#This Row],[Outflow]])</f>
        <v>12638605.979540521</v>
      </c>
      <c r="AA84" s="24">
        <f>TModelo[[#This Row],[BalCDT]]+TModelo[[#This Row],[BalCOLCAP]]+TModelo[[#This Row],[BalUSD]]</f>
        <v>84738260.045316309</v>
      </c>
      <c r="AB84" s="24">
        <f>IF(TModelo[[#This Row],[CumInfl]]&gt;0,TModelo[[#This Row],[TotalPreLiq]]/TModelo[[#This Row],[CumInfl]],0)</f>
        <v>72946113.533995271</v>
      </c>
      <c r="AC84" s="41">
        <f>(1+PerRate)^(-TModelo[[#This Row],[Period]])</f>
        <v>0.64134704468961679</v>
      </c>
      <c r="AD84" s="42">
        <f>TModelo[[#This Row],[NetCF]]*TModelo[[#This Row],[fd]]</f>
        <v>-743191.46251660527</v>
      </c>
    </row>
    <row r="85" spans="2:30" ht="16.95" customHeight="1">
      <c r="B85" s="11">
        <v>58</v>
      </c>
      <c r="C85" s="25">
        <f>EDATE(FechaInicio,TModelo[[#This Row],[Period]])</f>
        <v>48058</v>
      </c>
      <c r="D85" s="11">
        <f>IF(AND(TModelo[[#This Row],[Period]]&gt;=1,TModelo[[#This Row],[Period]]&lt;=HorizonteMeses),1,0)</f>
        <v>1</v>
      </c>
      <c r="E85" s="40">
        <f>TModelo[[#This Row],[Act]]*(INFb+(INFpi0-INFb)*(1-INFa)^TModelo[[#This Row],[Period]])</f>
        <v>2.4662718340348506E-3</v>
      </c>
      <c r="F85" s="28">
        <f>IF(TModelo[[#This Row],[Period]]&lt;=HorizonteMeses,F84*(1+TModelo[[#This Row],[InflMes]]),0)</f>
        <v>1.1645205414506834</v>
      </c>
      <c r="G85" s="21">
        <f>TModelo[[#This Row],[Act]]*(CDTb+(CDTx0-CDTb)*(1-CDTa)^TModelo[[#This Row],[Period]]+CDTspread)</f>
        <v>0.1238517109997766</v>
      </c>
      <c r="H85" s="40">
        <f>TModelo[[#This Row],[Act]]*((1+TModelo[[#This Row],[TasaCDT]])^(1/12)-1)*(1-Retencion)</f>
        <v>9.386537200367754E-3</v>
      </c>
      <c r="I85" s="40">
        <f>TModelo[[#This Row],[Act]]*(EXP(MuCOLCAP+SigmaCOLCAP^2/2)-1)</f>
        <v>7.1281059265766444E-3</v>
      </c>
      <c r="J85" s="40">
        <f>TModelo[[#This Row],[Act]]*(EXP(MuTRM+SigmaTRM^2/2)-1)</f>
        <v>1.9069525320893899E-3</v>
      </c>
      <c r="K85" s="11">
        <f>TModelo[[#This Row],[Act]]*IF(Rebalanceo="Mensual",1,IF(Rebalanceo="Anual",IF(MOD(TModelo[[#This Row],[Period]]-1,12)=0,1,0),0))</f>
        <v>1</v>
      </c>
      <c r="L85" s="24">
        <f>TModelo[[#This Row],[Act]]*AporteMensual*IF(CrecimientoAporte="Con IPC",F84,1)</f>
        <v>1161655.5830054677</v>
      </c>
      <c r="M85" s="24">
        <f>IF(TModelo[[#This Row],[Period]]=HorizonteMeses,TModelo[[#This Row],[TotalPreLiq]],0)</f>
        <v>0</v>
      </c>
      <c r="N85" s="24">
        <f>TModelo[[#This Row],[Inflow]]-TModelo[[#This Row],[Outflow]]</f>
        <v>-1161655.5830054677</v>
      </c>
      <c r="O85" s="24">
        <f t="shared" si="0"/>
        <v>84738260.045316383</v>
      </c>
      <c r="P85" s="24">
        <f>TModelo[[#This Row],[IntCDT]]+TModelo[[#This Row],[IntCOLCAP]]+TModelo[[#This Row],[IntUSD]]</f>
        <v>652483.89746882149</v>
      </c>
      <c r="Q85" s="24">
        <f>TModelo[[#This Row],[InitialBalance]]+TModelo[[#This Row],[Interest]]+TModelo[[#This Row],[Outflow]]-TModelo[[#This Row],[Inflow]]</f>
        <v>86552399.525790676</v>
      </c>
      <c r="R85" s="24">
        <f>TModelo[[#This Row],[Act]]*IF(TModelo[[#This Row],[Rebal]]=1,PesoCDT*(X84+Y84+Z84),X84)</f>
        <v>50842956.027189784</v>
      </c>
      <c r="S85" s="24">
        <f>TModelo[[#This Row],[Act]]*IF(TModelo[[#This Row],[Rebal]]=1,PesoCOLCAP*(X84+Y84+Z84),Y84)</f>
        <v>21184565.011329077</v>
      </c>
      <c r="T85" s="24">
        <f>TModelo[[#This Row],[Act]]*IF(TModelo[[#This Row],[Rebal]]=1,PesoUSD*(X84+Y84+Z84),Z84)</f>
        <v>12710739.006797446</v>
      </c>
      <c r="U85" s="24">
        <f>TModelo[[#This Row],[IniCDT]]*TModelo[[#This Row],[RetCDT]]</f>
        <v>477239.29812587879</v>
      </c>
      <c r="V85" s="24">
        <f>TModelo[[#This Row],[IniCOLCAP]]*TModelo[[#This Row],[RetCOLCAP]]</f>
        <v>151005.823409203</v>
      </c>
      <c r="W85" s="24">
        <f>TModelo[[#This Row],[IniUSD]]*TModelo[[#This Row],[RetUSD]]</f>
        <v>24238.775933739766</v>
      </c>
      <c r="X85" s="24">
        <f>TModelo[[#This Row],[Act]]*(TModelo[[#This Row],[IniCDT]]+TModelo[[#This Row],[IntCDT]]+PesoCDT*TModelo[[#This Row],[Outflow]])</f>
        <v>52017188.675118946</v>
      </c>
      <c r="Y85" s="24">
        <f>TModelo[[#This Row],[Act]]*(TModelo[[#This Row],[IniCOLCAP]]+TModelo[[#This Row],[IntCOLCAP]]+PesoCOLCAP*TModelo[[#This Row],[Outflow]])</f>
        <v>21625984.730489649</v>
      </c>
      <c r="Z85" s="24">
        <f>TModelo[[#This Row],[Act]]*(TModelo[[#This Row],[IniUSD]]+TModelo[[#This Row],[IntUSD]]+PesoUSD*TModelo[[#This Row],[Outflow]])</f>
        <v>12909226.120182008</v>
      </c>
      <c r="AA85" s="24">
        <f>TModelo[[#This Row],[BalCDT]]+TModelo[[#This Row],[BalCOLCAP]]+TModelo[[#This Row],[BalUSD]]</f>
        <v>86552399.525790602</v>
      </c>
      <c r="AB85" s="24">
        <f>IF(TModelo[[#This Row],[CumInfl]]&gt;0,TModelo[[#This Row],[TotalPreLiq]]/TModelo[[#This Row],[CumInfl]],0)</f>
        <v>74324493.596282378</v>
      </c>
      <c r="AC85" s="41">
        <f>(1+PerRate)^(-TModelo[[#This Row],[Period]])</f>
        <v>0.63636863502839769</v>
      </c>
      <c r="AD85" s="42">
        <f>TModelo[[#This Row],[NetCF]]*TModelo[[#This Row],[fd]]</f>
        <v>-739241.17773030698</v>
      </c>
    </row>
    <row r="86" spans="2:30" ht="16.95" customHeight="1">
      <c r="B86" s="11">
        <v>59</v>
      </c>
      <c r="C86" s="25">
        <f>EDATE(FechaInicio,TModelo[[#This Row],[Period]])</f>
        <v>48089</v>
      </c>
      <c r="D86" s="11">
        <f>IF(AND(TModelo[[#This Row],[Period]]&gt;=1,TModelo[[#This Row],[Period]]&lt;=HorizonteMeses),1,0)</f>
        <v>1</v>
      </c>
      <c r="E86" s="40">
        <f>TModelo[[#This Row],[Act]]*(INFb+(INFpi0-INFb)*(1-INFa)^TModelo[[#This Row],[Period]])</f>
        <v>2.4662713906122183E-3</v>
      </c>
      <c r="F86" s="28">
        <f>IF(TModelo[[#This Row],[Period]]&lt;=HorizonteMeses,F85*(1+TModelo[[#This Row],[InflMes]]),0)</f>
        <v>1.1673925651458434</v>
      </c>
      <c r="G86" s="21">
        <f>TModelo[[#This Row],[Act]]*(CDTb+(CDTx0-CDTb)*(1-CDTa)^TModelo[[#This Row],[Period]]+CDTspread)</f>
        <v>0.12373892512934</v>
      </c>
      <c r="H86" s="40">
        <f>TModelo[[#This Row],[Act]]*((1+TModelo[[#This Row],[TasaCDT]])^(1/12)-1)*(1-Retencion)</f>
        <v>9.3784298041245506E-3</v>
      </c>
      <c r="I86" s="40">
        <f>TModelo[[#This Row],[Act]]*(EXP(MuCOLCAP+SigmaCOLCAP^2/2)-1)</f>
        <v>7.1281059265766444E-3</v>
      </c>
      <c r="J86" s="40">
        <f>TModelo[[#This Row],[Act]]*(EXP(MuTRM+SigmaTRM^2/2)-1)</f>
        <v>1.9069525320893899E-3</v>
      </c>
      <c r="K86" s="11">
        <f>TModelo[[#This Row],[Act]]*IF(Rebalanceo="Mensual",1,IF(Rebalanceo="Anual",IF(MOD(TModelo[[#This Row],[Period]]-1,12)=0,1,0),0))</f>
        <v>1</v>
      </c>
      <c r="L86" s="24">
        <f>TModelo[[#This Row],[Act]]*AporteMensual*IF(CrecimientoAporte="Con IPC",F85,1)</f>
        <v>1164520.5414506835</v>
      </c>
      <c r="M86" s="24">
        <f>IF(TModelo[[#This Row],[Period]]=HorizonteMeses,TModelo[[#This Row],[TotalPreLiq]],0)</f>
        <v>0</v>
      </c>
      <c r="N86" s="24">
        <f>TModelo[[#This Row],[Inflow]]-TModelo[[#This Row],[Outflow]]</f>
        <v>-1164520.5414506835</v>
      </c>
      <c r="O86" s="24">
        <f t="shared" si="0"/>
        <v>86552399.525790676</v>
      </c>
      <c r="P86" s="24">
        <f>TModelo[[#This Row],[IntCDT]]+TModelo[[#This Row],[IntCOLCAP]]+TModelo[[#This Row],[IntUSD]]</f>
        <v>666031.72761862434</v>
      </c>
      <c r="Q86" s="24">
        <f>TModelo[[#This Row],[InitialBalance]]+TModelo[[#This Row],[Interest]]+TModelo[[#This Row],[Outflow]]-TModelo[[#This Row],[Inflow]]</f>
        <v>88382951.794859976</v>
      </c>
      <c r="R86" s="24">
        <f>TModelo[[#This Row],[Act]]*IF(TModelo[[#This Row],[Rebal]]=1,PesoCDT*(X85+Y85+Z85),X85)</f>
        <v>51931439.71547436</v>
      </c>
      <c r="S86" s="24">
        <f>TModelo[[#This Row],[Act]]*IF(TModelo[[#This Row],[Rebal]]=1,PesoCOLCAP*(X85+Y85+Z85),Y85)</f>
        <v>21638099.88144765</v>
      </c>
      <c r="T86" s="24">
        <f>TModelo[[#This Row],[Act]]*IF(TModelo[[#This Row],[Rebal]]=1,PesoUSD*(X85+Y85+Z85),Z85)</f>
        <v>12982859.92886859</v>
      </c>
      <c r="U86" s="24">
        <f>TModelo[[#This Row],[IniCDT]]*TModelo[[#This Row],[RetCDT]]</f>
        <v>487035.36199870211</v>
      </c>
      <c r="V86" s="24">
        <f>TModelo[[#This Row],[IniCOLCAP]]*TModelo[[#This Row],[RetCOLCAP]]</f>
        <v>154238.66800480438</v>
      </c>
      <c r="W86" s="24">
        <f>TModelo[[#This Row],[IniUSD]]*TModelo[[#This Row],[RetUSD]]</f>
        <v>24757.697615117835</v>
      </c>
      <c r="X86" s="24">
        <f>TModelo[[#This Row],[Act]]*(TModelo[[#This Row],[IniCDT]]+TModelo[[#This Row],[IntCDT]]+PesoCDT*TModelo[[#This Row],[Outflow]])</f>
        <v>53117187.402343467</v>
      </c>
      <c r="Y86" s="24">
        <f>TModelo[[#This Row],[Act]]*(TModelo[[#This Row],[IniCOLCAP]]+TModelo[[#This Row],[IntCOLCAP]]+PesoCOLCAP*TModelo[[#This Row],[Outflow]])</f>
        <v>22083468.684815124</v>
      </c>
      <c r="Z86" s="24">
        <f>TModelo[[#This Row],[Act]]*(TModelo[[#This Row],[IniUSD]]+TModelo[[#This Row],[IntUSD]]+PesoUSD*TModelo[[#This Row],[Outflow]])</f>
        <v>13182295.707701311</v>
      </c>
      <c r="AA86" s="24">
        <f>TModelo[[#This Row],[BalCDT]]+TModelo[[#This Row],[BalCOLCAP]]+TModelo[[#This Row],[BalUSD]]</f>
        <v>88382951.794859901</v>
      </c>
      <c r="AB86" s="24">
        <f>IF(TModelo[[#This Row],[CumInfl]]&gt;0,TModelo[[#This Row],[TotalPreLiq]]/TModelo[[#This Row],[CumInfl]],0)</f>
        <v>75709709.341705576</v>
      </c>
      <c r="AC86" s="41">
        <f>(1+PerRate)^(-TModelo[[#This Row],[Period]])</f>
        <v>0.6314288699091003</v>
      </c>
      <c r="AD86" s="42">
        <f>TModelo[[#This Row],[NetCF]]*TModelo[[#This Row],[fd]]</f>
        <v>-735311.88947413862</v>
      </c>
    </row>
    <row r="87" spans="2:30" ht="16.95" customHeight="1">
      <c r="B87" s="11">
        <v>60</v>
      </c>
      <c r="C87" s="25">
        <f>EDATE(FechaInicio,TModelo[[#This Row],[Period]])</f>
        <v>48120</v>
      </c>
      <c r="D87" s="11">
        <f>IF(AND(TModelo[[#This Row],[Period]]&gt;=1,TModelo[[#This Row],[Period]]&lt;=HorizonteMeses),1,0)</f>
        <v>1</v>
      </c>
      <c r="E87" s="40">
        <f>TModelo[[#This Row],[Act]]*(INFb+(INFpi0-INFb)*(1-INFa)^TModelo[[#This Row],[Period]])</f>
        <v>2.4662710425578062E-3</v>
      </c>
      <c r="F87" s="28">
        <f>IF(TModelo[[#This Row],[Period]]&lt;=HorizonteMeses,F86*(1+TModelo[[#This Row],[InflMes]]),0)</f>
        <v>1.17027167162456</v>
      </c>
      <c r="G87" s="21">
        <f>TModelo[[#This Row],[Act]]*(CDTb+(CDTx0-CDTb)*(1-CDTa)^TModelo[[#This Row],[Period]]+CDTspread)</f>
        <v>0.12362789326198409</v>
      </c>
      <c r="H87" s="40">
        <f>TModelo[[#This Row],[Act]]*((1+TModelo[[#This Row],[TasaCDT]])^(1/12)-1)*(1-Retencion)</f>
        <v>9.370447762407039E-3</v>
      </c>
      <c r="I87" s="40">
        <f>TModelo[[#This Row],[Act]]*(EXP(MuCOLCAP+SigmaCOLCAP^2/2)-1)</f>
        <v>7.1281059265766444E-3</v>
      </c>
      <c r="J87" s="40">
        <f>TModelo[[#This Row],[Act]]*(EXP(MuTRM+SigmaTRM^2/2)-1)</f>
        <v>1.9069525320893899E-3</v>
      </c>
      <c r="K87" s="11">
        <f>TModelo[[#This Row],[Act]]*IF(Rebalanceo="Mensual",1,IF(Rebalanceo="Anual",IF(MOD(TModelo[[#This Row],[Period]]-1,12)=0,1,0),0))</f>
        <v>1</v>
      </c>
      <c r="L87" s="24">
        <f>TModelo[[#This Row],[Act]]*AporteMensual*IF(CrecimientoAporte="Con IPC",F86,1)</f>
        <v>1167392.5651458434</v>
      </c>
      <c r="M87" s="24">
        <f>IF(TModelo[[#This Row],[Period]]=HorizonteMeses,TModelo[[#This Row],[TotalPreLiq]],0)</f>
        <v>90230039.134416521</v>
      </c>
      <c r="N87" s="24">
        <f>TModelo[[#This Row],[Inflow]]-TModelo[[#This Row],[Outflow]]</f>
        <v>89062646.56927067</v>
      </c>
      <c r="O87" s="24">
        <f t="shared" si="0"/>
        <v>88382951.794859976</v>
      </c>
      <c r="P87" s="24">
        <f>TModelo[[#This Row],[IntCDT]]+TModelo[[#This Row],[IntCOLCAP]]+TModelo[[#This Row],[IntUSD]]</f>
        <v>679694.77441077563</v>
      </c>
      <c r="Q87" s="24">
        <f>TModelo[[#This Row],[InitialBalance]]+TModelo[[#This Row],[Interest]]+TModelo[[#This Row],[Outflow]]-TModelo[[#This Row],[Inflow]]</f>
        <v>0</v>
      </c>
      <c r="R87" s="24">
        <f>TModelo[[#This Row],[Act]]*IF(TModelo[[#This Row],[Rebal]]=1,PesoCDT*(X86+Y86+Z86),X86)</f>
        <v>53029771.076915942</v>
      </c>
      <c r="S87" s="24">
        <f>TModelo[[#This Row],[Act]]*IF(TModelo[[#This Row],[Rebal]]=1,PesoCOLCAP*(X86+Y86+Z86),Y86)</f>
        <v>22095737.948714975</v>
      </c>
      <c r="T87" s="24">
        <f>TModelo[[#This Row],[Act]]*IF(TModelo[[#This Row],[Rebal]]=1,PesoUSD*(X86+Y86+Z86),Z86)</f>
        <v>13257442.769228986</v>
      </c>
      <c r="U87" s="24">
        <f>TModelo[[#This Row],[IniCDT]]*TModelo[[#This Row],[RetCDT]]</f>
        <v>496912.69972864451</v>
      </c>
      <c r="V87" s="24">
        <f>TModelo[[#This Row],[IniCOLCAP]]*TModelo[[#This Row],[RetCOLCAP]]</f>
        <v>157500.76062431969</v>
      </c>
      <c r="W87" s="24">
        <f>TModelo[[#This Row],[IniUSD]]*TModelo[[#This Row],[RetUSD]]</f>
        <v>25281.314057811385</v>
      </c>
      <c r="X87" s="24">
        <f>TModelo[[#This Row],[Act]]*(TModelo[[#This Row],[IniCDT]]+TModelo[[#This Row],[IntCDT]]+PesoCDT*TModelo[[#This Row],[Outflow]])</f>
        <v>54227119.315732092</v>
      </c>
      <c r="Y87" s="24">
        <f>TModelo[[#This Row],[Act]]*(TModelo[[#This Row],[IniCOLCAP]]+TModelo[[#This Row],[IntCOLCAP]]+PesoCOLCAP*TModelo[[#This Row],[Outflow]])</f>
        <v>22545086.850625757</v>
      </c>
      <c r="Z87" s="24">
        <f>TModelo[[#This Row],[Act]]*(TModelo[[#This Row],[IniUSD]]+TModelo[[#This Row],[IntUSD]]+PesoUSD*TModelo[[#This Row],[Outflow]])</f>
        <v>13457832.968058674</v>
      </c>
      <c r="AA87" s="24">
        <f>TModelo[[#This Row],[BalCDT]]+TModelo[[#This Row],[BalCOLCAP]]+TModelo[[#This Row],[BalUSD]]</f>
        <v>90230039.134416521</v>
      </c>
      <c r="AB87" s="24">
        <f>IF(TModelo[[#This Row],[CumInfl]]&gt;0,TModelo[[#This Row],[TotalPreLiq]]/TModelo[[#This Row],[CumInfl]],0)</f>
        <v>77101788.689082801</v>
      </c>
      <c r="AC87" s="41">
        <f>(1+PerRate)^(-TModelo[[#This Row],[Period]])</f>
        <v>0.62652744935628657</v>
      </c>
      <c r="AD87" s="42">
        <f>TModelo[[#This Row],[NetCF]]*TModelo[[#This Row],[fd]]</f>
        <v>55800192.787965581</v>
      </c>
    </row>
    <row r="88" spans="2:30" ht="16.95" customHeight="1">
      <c r="B88" s="11">
        <v>61</v>
      </c>
      <c r="C88" s="25">
        <f>EDATE(FechaInicio,TModelo[[#This Row],[Period]])</f>
        <v>48150</v>
      </c>
      <c r="D88" s="11">
        <f>IF(AND(TModelo[[#This Row],[Period]]&gt;=1,TModelo[[#This Row],[Period]]&lt;=HorizonteMeses),1,0)</f>
        <v>0</v>
      </c>
      <c r="E88" s="40">
        <f>TModelo[[#This Row],[Act]]*(INFb+(INFpi0-INFb)*(1-INFa)^TModelo[[#This Row],[Period]])</f>
        <v>0</v>
      </c>
      <c r="F88" s="28">
        <f>IF(TModelo[[#This Row],[Period]]&lt;=HorizonteMeses,F87*(1+TModelo[[#This Row],[InflMes]]),0)</f>
        <v>0</v>
      </c>
      <c r="G88" s="21">
        <f>TModelo[[#This Row],[Act]]*(CDTb+(CDTx0-CDTb)*(1-CDTa)^TModelo[[#This Row],[Period]]+CDTspread)</f>
        <v>0</v>
      </c>
      <c r="H88" s="40">
        <f>TModelo[[#This Row],[Act]]*((1+TModelo[[#This Row],[TasaCDT]])^(1/12)-1)*(1-Retencion)</f>
        <v>0</v>
      </c>
      <c r="I88" s="40">
        <f>TModelo[[#This Row],[Act]]*(EXP(MuCOLCAP+SigmaCOLCAP^2/2)-1)</f>
        <v>0</v>
      </c>
      <c r="J88" s="40">
        <f>TModelo[[#This Row],[Act]]*(EXP(MuTRM+SigmaTRM^2/2)-1)</f>
        <v>0</v>
      </c>
      <c r="K88" s="11">
        <f>TModelo[[#This Row],[Act]]*IF(Rebalanceo="Mensual",1,IF(Rebalanceo="Anual",IF(MOD(TModelo[[#This Row],[Period]]-1,12)=0,1,0),0))</f>
        <v>0</v>
      </c>
      <c r="L88" s="24">
        <f>TModelo[[#This Row],[Act]]*AporteMensual*IF(CrecimientoAporte="Con IPC",F87,1)</f>
        <v>0</v>
      </c>
      <c r="M88" s="24">
        <f>IF(TModelo[[#This Row],[Period]]=HorizonteMeses,TModelo[[#This Row],[TotalPreLiq]],0)</f>
        <v>0</v>
      </c>
      <c r="N88" s="24">
        <f>TModelo[[#This Row],[Inflow]]-TModelo[[#This Row],[Outflow]]</f>
        <v>0</v>
      </c>
      <c r="O88" s="24">
        <f t="shared" si="0"/>
        <v>0</v>
      </c>
      <c r="P88" s="24">
        <f>TModelo[[#This Row],[IntCDT]]+TModelo[[#This Row],[IntCOLCAP]]+TModelo[[#This Row],[IntUSD]]</f>
        <v>0</v>
      </c>
      <c r="Q88" s="24">
        <f>TModelo[[#This Row],[InitialBalance]]+TModelo[[#This Row],[Interest]]+TModelo[[#This Row],[Outflow]]-TModelo[[#This Row],[Inflow]]</f>
        <v>0</v>
      </c>
      <c r="R88" s="24">
        <f>TModelo[[#This Row],[Act]]*IF(TModelo[[#This Row],[Rebal]]=1,PesoCDT*(X87+Y87+Z87),X87)</f>
        <v>0</v>
      </c>
      <c r="S88" s="24">
        <f>TModelo[[#This Row],[Act]]*IF(TModelo[[#This Row],[Rebal]]=1,PesoCOLCAP*(X87+Y87+Z87),Y87)</f>
        <v>0</v>
      </c>
      <c r="T88" s="24">
        <f>TModelo[[#This Row],[Act]]*IF(TModelo[[#This Row],[Rebal]]=1,PesoUSD*(X87+Y87+Z87),Z87)</f>
        <v>0</v>
      </c>
      <c r="U88" s="24">
        <f>TModelo[[#This Row],[IniCDT]]*TModelo[[#This Row],[RetCDT]]</f>
        <v>0</v>
      </c>
      <c r="V88" s="24">
        <f>TModelo[[#This Row],[IniCOLCAP]]*TModelo[[#This Row],[RetCOLCAP]]</f>
        <v>0</v>
      </c>
      <c r="W88" s="24">
        <f>TModelo[[#This Row],[IniUSD]]*TModelo[[#This Row],[RetUSD]]</f>
        <v>0</v>
      </c>
      <c r="X88" s="24">
        <f>TModelo[[#This Row],[Act]]*(TModelo[[#This Row],[IniCDT]]+TModelo[[#This Row],[IntCDT]]+PesoCDT*TModelo[[#This Row],[Outflow]])</f>
        <v>0</v>
      </c>
      <c r="Y88" s="24">
        <f>TModelo[[#This Row],[Act]]*(TModelo[[#This Row],[IniCOLCAP]]+TModelo[[#This Row],[IntCOLCAP]]+PesoCOLCAP*TModelo[[#This Row],[Outflow]])</f>
        <v>0</v>
      </c>
      <c r="Z88" s="24">
        <f>TModelo[[#This Row],[Act]]*(TModelo[[#This Row],[IniUSD]]+TModelo[[#This Row],[IntUSD]]+PesoUSD*TModelo[[#This Row],[Outflow]])</f>
        <v>0</v>
      </c>
      <c r="AA88" s="24">
        <f>TModelo[[#This Row],[BalCDT]]+TModelo[[#This Row],[BalCOLCAP]]+TModelo[[#This Row],[BalUSD]]</f>
        <v>0</v>
      </c>
      <c r="AB88" s="24">
        <f>IF(TModelo[[#This Row],[CumInfl]]&gt;0,TModelo[[#This Row],[TotalPreLiq]]/TModelo[[#This Row],[CumInfl]],0)</f>
        <v>0</v>
      </c>
      <c r="AC88" s="41">
        <f>(1+PerRate)^(-TModelo[[#This Row],[Period]])</f>
        <v>0.62166407572305538</v>
      </c>
      <c r="AD88" s="42">
        <f>TModelo[[#This Row],[NetCF]]*TModelo[[#This Row],[fd]]</f>
        <v>0</v>
      </c>
    </row>
    <row r="89" spans="2:30" ht="16.95" customHeight="1">
      <c r="B89" s="11">
        <v>62</v>
      </c>
      <c r="C89" s="25">
        <f>EDATE(FechaInicio,TModelo[[#This Row],[Period]])</f>
        <v>48181</v>
      </c>
      <c r="D89" s="11">
        <f>IF(AND(TModelo[[#This Row],[Period]]&gt;=1,TModelo[[#This Row],[Period]]&lt;=HorizonteMeses),1,0)</f>
        <v>0</v>
      </c>
      <c r="E89" s="40">
        <f>TModelo[[#This Row],[Act]]*(INFb+(INFpi0-INFb)*(1-INFa)^TModelo[[#This Row],[Period]])</f>
        <v>0</v>
      </c>
      <c r="F89" s="28">
        <f>IF(TModelo[[#This Row],[Period]]&lt;=HorizonteMeses,F88*(1+TModelo[[#This Row],[InflMes]]),0)</f>
        <v>0</v>
      </c>
      <c r="G89" s="21">
        <f>TModelo[[#This Row],[Act]]*(CDTb+(CDTx0-CDTb)*(1-CDTa)^TModelo[[#This Row],[Period]]+CDTspread)</f>
        <v>0</v>
      </c>
      <c r="H89" s="40">
        <f>TModelo[[#This Row],[Act]]*((1+TModelo[[#This Row],[TasaCDT]])^(1/12)-1)*(1-Retencion)</f>
        <v>0</v>
      </c>
      <c r="I89" s="40">
        <f>TModelo[[#This Row],[Act]]*(EXP(MuCOLCAP+SigmaCOLCAP^2/2)-1)</f>
        <v>0</v>
      </c>
      <c r="J89" s="40">
        <f>TModelo[[#This Row],[Act]]*(EXP(MuTRM+SigmaTRM^2/2)-1)</f>
        <v>0</v>
      </c>
      <c r="K89" s="11">
        <f>TModelo[[#This Row],[Act]]*IF(Rebalanceo="Mensual",1,IF(Rebalanceo="Anual",IF(MOD(TModelo[[#This Row],[Period]]-1,12)=0,1,0),0))</f>
        <v>0</v>
      </c>
      <c r="L89" s="24">
        <f>TModelo[[#This Row],[Act]]*AporteMensual*IF(CrecimientoAporte="Con IPC",F88,1)</f>
        <v>0</v>
      </c>
      <c r="M89" s="24">
        <f>IF(TModelo[[#This Row],[Period]]=HorizonteMeses,TModelo[[#This Row],[TotalPreLiq]],0)</f>
        <v>0</v>
      </c>
      <c r="N89" s="24">
        <f>TModelo[[#This Row],[Inflow]]-TModelo[[#This Row],[Outflow]]</f>
        <v>0</v>
      </c>
      <c r="O89" s="24">
        <f t="shared" si="0"/>
        <v>0</v>
      </c>
      <c r="P89" s="24">
        <f>TModelo[[#This Row],[IntCDT]]+TModelo[[#This Row],[IntCOLCAP]]+TModelo[[#This Row],[IntUSD]]</f>
        <v>0</v>
      </c>
      <c r="Q89" s="24">
        <f>TModelo[[#This Row],[InitialBalance]]+TModelo[[#This Row],[Interest]]+TModelo[[#This Row],[Outflow]]-TModelo[[#This Row],[Inflow]]</f>
        <v>0</v>
      </c>
      <c r="R89" s="24">
        <f>TModelo[[#This Row],[Act]]*IF(TModelo[[#This Row],[Rebal]]=1,PesoCDT*(X88+Y88+Z88),X88)</f>
        <v>0</v>
      </c>
      <c r="S89" s="24">
        <f>TModelo[[#This Row],[Act]]*IF(TModelo[[#This Row],[Rebal]]=1,PesoCOLCAP*(X88+Y88+Z88),Y88)</f>
        <v>0</v>
      </c>
      <c r="T89" s="24">
        <f>TModelo[[#This Row],[Act]]*IF(TModelo[[#This Row],[Rebal]]=1,PesoUSD*(X88+Y88+Z88),Z88)</f>
        <v>0</v>
      </c>
      <c r="U89" s="24">
        <f>TModelo[[#This Row],[IniCDT]]*TModelo[[#This Row],[RetCDT]]</f>
        <v>0</v>
      </c>
      <c r="V89" s="24">
        <f>TModelo[[#This Row],[IniCOLCAP]]*TModelo[[#This Row],[RetCOLCAP]]</f>
        <v>0</v>
      </c>
      <c r="W89" s="24">
        <f>TModelo[[#This Row],[IniUSD]]*TModelo[[#This Row],[RetUSD]]</f>
        <v>0</v>
      </c>
      <c r="X89" s="24">
        <f>TModelo[[#This Row],[Act]]*(TModelo[[#This Row],[IniCDT]]+TModelo[[#This Row],[IntCDT]]+PesoCDT*TModelo[[#This Row],[Outflow]])</f>
        <v>0</v>
      </c>
      <c r="Y89" s="24">
        <f>TModelo[[#This Row],[Act]]*(TModelo[[#This Row],[IniCOLCAP]]+TModelo[[#This Row],[IntCOLCAP]]+PesoCOLCAP*TModelo[[#This Row],[Outflow]])</f>
        <v>0</v>
      </c>
      <c r="Z89" s="24">
        <f>TModelo[[#This Row],[Act]]*(TModelo[[#This Row],[IniUSD]]+TModelo[[#This Row],[IntUSD]]+PesoUSD*TModelo[[#This Row],[Outflow]])</f>
        <v>0</v>
      </c>
      <c r="AA89" s="24">
        <f>TModelo[[#This Row],[BalCDT]]+TModelo[[#This Row],[BalCOLCAP]]+TModelo[[#This Row],[BalUSD]]</f>
        <v>0</v>
      </c>
      <c r="AB89" s="24">
        <f>IF(TModelo[[#This Row],[CumInfl]]&gt;0,TModelo[[#This Row],[TotalPreLiq]]/TModelo[[#This Row],[CumInfl]],0)</f>
        <v>0</v>
      </c>
      <c r="AC89" s="41">
        <f>(1+PerRate)^(-TModelo[[#This Row],[Period]])</f>
        <v>0.61683845367296797</v>
      </c>
      <c r="AD89" s="42">
        <f>TModelo[[#This Row],[NetCF]]*TModelo[[#This Row],[fd]]</f>
        <v>0</v>
      </c>
    </row>
    <row r="90" spans="2:30" ht="16.95" customHeight="1">
      <c r="B90" s="11">
        <v>63</v>
      </c>
      <c r="C90" s="25">
        <f>EDATE(FechaInicio,TModelo[[#This Row],[Period]])</f>
        <v>48211</v>
      </c>
      <c r="D90" s="11">
        <f>IF(AND(TModelo[[#This Row],[Period]]&gt;=1,TModelo[[#This Row],[Period]]&lt;=HorizonteMeses),1,0)</f>
        <v>0</v>
      </c>
      <c r="E90" s="40">
        <f>TModelo[[#This Row],[Act]]*(INFb+(INFpi0-INFb)*(1-INFa)^TModelo[[#This Row],[Period]])</f>
        <v>0</v>
      </c>
      <c r="F90" s="28">
        <f>IF(TModelo[[#This Row],[Period]]&lt;=HorizonteMeses,F89*(1+TModelo[[#This Row],[InflMes]]),0)</f>
        <v>0</v>
      </c>
      <c r="G90" s="21">
        <f>TModelo[[#This Row],[Act]]*(CDTb+(CDTx0-CDTb)*(1-CDTa)^TModelo[[#This Row],[Period]]+CDTspread)</f>
        <v>0</v>
      </c>
      <c r="H90" s="40">
        <f>TModelo[[#This Row],[Act]]*((1+TModelo[[#This Row],[TasaCDT]])^(1/12)-1)*(1-Retencion)</f>
        <v>0</v>
      </c>
      <c r="I90" s="40">
        <f>TModelo[[#This Row],[Act]]*(EXP(MuCOLCAP+SigmaCOLCAP^2/2)-1)</f>
        <v>0</v>
      </c>
      <c r="J90" s="40">
        <f>TModelo[[#This Row],[Act]]*(EXP(MuTRM+SigmaTRM^2/2)-1)</f>
        <v>0</v>
      </c>
      <c r="K90" s="11">
        <f>TModelo[[#This Row],[Act]]*IF(Rebalanceo="Mensual",1,IF(Rebalanceo="Anual",IF(MOD(TModelo[[#This Row],[Period]]-1,12)=0,1,0),0))</f>
        <v>0</v>
      </c>
      <c r="L90" s="24">
        <f>TModelo[[#This Row],[Act]]*AporteMensual*IF(CrecimientoAporte="Con IPC",F89,1)</f>
        <v>0</v>
      </c>
      <c r="M90" s="24">
        <f>IF(TModelo[[#This Row],[Period]]=HorizonteMeses,TModelo[[#This Row],[TotalPreLiq]],0)</f>
        <v>0</v>
      </c>
      <c r="N90" s="24">
        <f>TModelo[[#This Row],[Inflow]]-TModelo[[#This Row],[Outflow]]</f>
        <v>0</v>
      </c>
      <c r="O90" s="24">
        <f t="shared" si="0"/>
        <v>0</v>
      </c>
      <c r="P90" s="24">
        <f>TModelo[[#This Row],[IntCDT]]+TModelo[[#This Row],[IntCOLCAP]]+TModelo[[#This Row],[IntUSD]]</f>
        <v>0</v>
      </c>
      <c r="Q90" s="24">
        <f>TModelo[[#This Row],[InitialBalance]]+TModelo[[#This Row],[Interest]]+TModelo[[#This Row],[Outflow]]-TModelo[[#This Row],[Inflow]]</f>
        <v>0</v>
      </c>
      <c r="R90" s="24">
        <f>TModelo[[#This Row],[Act]]*IF(TModelo[[#This Row],[Rebal]]=1,PesoCDT*(X89+Y89+Z89),X89)</f>
        <v>0</v>
      </c>
      <c r="S90" s="24">
        <f>TModelo[[#This Row],[Act]]*IF(TModelo[[#This Row],[Rebal]]=1,PesoCOLCAP*(X89+Y89+Z89),Y89)</f>
        <v>0</v>
      </c>
      <c r="T90" s="24">
        <f>TModelo[[#This Row],[Act]]*IF(TModelo[[#This Row],[Rebal]]=1,PesoUSD*(X89+Y89+Z89),Z89)</f>
        <v>0</v>
      </c>
      <c r="U90" s="24">
        <f>TModelo[[#This Row],[IniCDT]]*TModelo[[#This Row],[RetCDT]]</f>
        <v>0</v>
      </c>
      <c r="V90" s="24">
        <f>TModelo[[#This Row],[IniCOLCAP]]*TModelo[[#This Row],[RetCOLCAP]]</f>
        <v>0</v>
      </c>
      <c r="W90" s="24">
        <f>TModelo[[#This Row],[IniUSD]]*TModelo[[#This Row],[RetUSD]]</f>
        <v>0</v>
      </c>
      <c r="X90" s="24">
        <f>TModelo[[#This Row],[Act]]*(TModelo[[#This Row],[IniCDT]]+TModelo[[#This Row],[IntCDT]]+PesoCDT*TModelo[[#This Row],[Outflow]])</f>
        <v>0</v>
      </c>
      <c r="Y90" s="24">
        <f>TModelo[[#This Row],[Act]]*(TModelo[[#This Row],[IniCOLCAP]]+TModelo[[#This Row],[IntCOLCAP]]+PesoCOLCAP*TModelo[[#This Row],[Outflow]])</f>
        <v>0</v>
      </c>
      <c r="Z90" s="24">
        <f>TModelo[[#This Row],[Act]]*(TModelo[[#This Row],[IniUSD]]+TModelo[[#This Row],[IntUSD]]+PesoUSD*TModelo[[#This Row],[Outflow]])</f>
        <v>0</v>
      </c>
      <c r="AA90" s="24">
        <f>TModelo[[#This Row],[BalCDT]]+TModelo[[#This Row],[BalCOLCAP]]+TModelo[[#This Row],[BalUSD]]</f>
        <v>0</v>
      </c>
      <c r="AB90" s="24">
        <f>IF(TModelo[[#This Row],[CumInfl]]&gt;0,TModelo[[#This Row],[TotalPreLiq]]/TModelo[[#This Row],[CumInfl]],0)</f>
        <v>0</v>
      </c>
      <c r="AC90" s="41">
        <f>(1+PerRate)^(-TModelo[[#This Row],[Period]])</f>
        <v>0.61205029016211387</v>
      </c>
      <c r="AD90" s="42">
        <f>TModelo[[#This Row],[NetCF]]*TModelo[[#This Row],[fd]]</f>
        <v>0</v>
      </c>
    </row>
    <row r="91" spans="2:30" ht="16.95" customHeight="1">
      <c r="B91" s="11">
        <v>64</v>
      </c>
      <c r="C91" s="25">
        <f>EDATE(FechaInicio,TModelo[[#This Row],[Period]])</f>
        <v>48242</v>
      </c>
      <c r="D91" s="11">
        <f>IF(AND(TModelo[[#This Row],[Period]]&gt;=1,TModelo[[#This Row],[Period]]&lt;=HorizonteMeses),1,0)</f>
        <v>0</v>
      </c>
      <c r="E91" s="40">
        <f>TModelo[[#This Row],[Act]]*(INFb+(INFpi0-INFb)*(1-INFa)^TModelo[[#This Row],[Period]])</f>
        <v>0</v>
      </c>
      <c r="F91" s="28">
        <f>IF(TModelo[[#This Row],[Period]]&lt;=HorizonteMeses,F90*(1+TModelo[[#This Row],[InflMes]]),0)</f>
        <v>0</v>
      </c>
      <c r="G91" s="21">
        <f>TModelo[[#This Row],[Act]]*(CDTb+(CDTx0-CDTb)*(1-CDTa)^TModelo[[#This Row],[Period]]+CDTspread)</f>
        <v>0</v>
      </c>
      <c r="H91" s="40">
        <f>TModelo[[#This Row],[Act]]*((1+TModelo[[#This Row],[TasaCDT]])^(1/12)-1)*(1-Retencion)</f>
        <v>0</v>
      </c>
      <c r="I91" s="40">
        <f>TModelo[[#This Row],[Act]]*(EXP(MuCOLCAP+SigmaCOLCAP^2/2)-1)</f>
        <v>0</v>
      </c>
      <c r="J91" s="40">
        <f>TModelo[[#This Row],[Act]]*(EXP(MuTRM+SigmaTRM^2/2)-1)</f>
        <v>0</v>
      </c>
      <c r="K91" s="11">
        <f>TModelo[[#This Row],[Act]]*IF(Rebalanceo="Mensual",1,IF(Rebalanceo="Anual",IF(MOD(TModelo[[#This Row],[Period]]-1,12)=0,1,0),0))</f>
        <v>0</v>
      </c>
      <c r="L91" s="24">
        <f>TModelo[[#This Row],[Act]]*AporteMensual*IF(CrecimientoAporte="Con IPC",F90,1)</f>
        <v>0</v>
      </c>
      <c r="M91" s="24">
        <f>IF(TModelo[[#This Row],[Period]]=HorizonteMeses,TModelo[[#This Row],[TotalPreLiq]],0)</f>
        <v>0</v>
      </c>
      <c r="N91" s="24">
        <f>TModelo[[#This Row],[Inflow]]-TModelo[[#This Row],[Outflow]]</f>
        <v>0</v>
      </c>
      <c r="O91" s="24">
        <f t="shared" si="0"/>
        <v>0</v>
      </c>
      <c r="P91" s="24">
        <f>TModelo[[#This Row],[IntCDT]]+TModelo[[#This Row],[IntCOLCAP]]+TModelo[[#This Row],[IntUSD]]</f>
        <v>0</v>
      </c>
      <c r="Q91" s="24">
        <f>TModelo[[#This Row],[InitialBalance]]+TModelo[[#This Row],[Interest]]+TModelo[[#This Row],[Outflow]]-TModelo[[#This Row],[Inflow]]</f>
        <v>0</v>
      </c>
      <c r="R91" s="24">
        <f>TModelo[[#This Row],[Act]]*IF(TModelo[[#This Row],[Rebal]]=1,PesoCDT*(X90+Y90+Z90),X90)</f>
        <v>0</v>
      </c>
      <c r="S91" s="24">
        <f>TModelo[[#This Row],[Act]]*IF(TModelo[[#This Row],[Rebal]]=1,PesoCOLCAP*(X90+Y90+Z90),Y90)</f>
        <v>0</v>
      </c>
      <c r="T91" s="24">
        <f>TModelo[[#This Row],[Act]]*IF(TModelo[[#This Row],[Rebal]]=1,PesoUSD*(X90+Y90+Z90),Z90)</f>
        <v>0</v>
      </c>
      <c r="U91" s="24">
        <f>TModelo[[#This Row],[IniCDT]]*TModelo[[#This Row],[RetCDT]]</f>
        <v>0</v>
      </c>
      <c r="V91" s="24">
        <f>TModelo[[#This Row],[IniCOLCAP]]*TModelo[[#This Row],[RetCOLCAP]]</f>
        <v>0</v>
      </c>
      <c r="W91" s="24">
        <f>TModelo[[#This Row],[IniUSD]]*TModelo[[#This Row],[RetUSD]]</f>
        <v>0</v>
      </c>
      <c r="X91" s="24">
        <f>TModelo[[#This Row],[Act]]*(TModelo[[#This Row],[IniCDT]]+TModelo[[#This Row],[IntCDT]]+PesoCDT*TModelo[[#This Row],[Outflow]])</f>
        <v>0</v>
      </c>
      <c r="Y91" s="24">
        <f>TModelo[[#This Row],[Act]]*(TModelo[[#This Row],[IniCOLCAP]]+TModelo[[#This Row],[IntCOLCAP]]+PesoCOLCAP*TModelo[[#This Row],[Outflow]])</f>
        <v>0</v>
      </c>
      <c r="Z91" s="24">
        <f>TModelo[[#This Row],[Act]]*(TModelo[[#This Row],[IniUSD]]+TModelo[[#This Row],[IntUSD]]+PesoUSD*TModelo[[#This Row],[Outflow]])</f>
        <v>0</v>
      </c>
      <c r="AA91" s="24">
        <f>TModelo[[#This Row],[BalCDT]]+TModelo[[#This Row],[BalCOLCAP]]+TModelo[[#This Row],[BalUSD]]</f>
        <v>0</v>
      </c>
      <c r="AB91" s="24">
        <f>IF(TModelo[[#This Row],[CumInfl]]&gt;0,TModelo[[#This Row],[TotalPreLiq]]/TModelo[[#This Row],[CumInfl]],0)</f>
        <v>0</v>
      </c>
      <c r="AC91" s="41">
        <f>(1+PerRate)^(-TModelo[[#This Row],[Period]])</f>
        <v>0.60729929442131392</v>
      </c>
      <c r="AD91" s="42">
        <f>TModelo[[#This Row],[NetCF]]*TModelo[[#This Row],[fd]]</f>
        <v>0</v>
      </c>
    </row>
    <row r="92" spans="2:30" ht="16.95" customHeight="1">
      <c r="B92" s="11">
        <v>65</v>
      </c>
      <c r="C92" s="25">
        <f>EDATE(FechaInicio,TModelo[[#This Row],[Period]])</f>
        <v>48273</v>
      </c>
      <c r="D92" s="11">
        <f>IF(AND(TModelo[[#This Row],[Period]]&gt;=1,TModelo[[#This Row],[Period]]&lt;=HorizonteMeses),1,0)</f>
        <v>0</v>
      </c>
      <c r="E92" s="40">
        <f>TModelo[[#This Row],[Act]]*(INFb+(INFpi0-INFb)*(1-INFa)^TModelo[[#This Row],[Period]])</f>
        <v>0</v>
      </c>
      <c r="F92" s="28">
        <f>IF(TModelo[[#This Row],[Period]]&lt;=HorizonteMeses,F91*(1+TModelo[[#This Row],[InflMes]]),0)</f>
        <v>0</v>
      </c>
      <c r="G92" s="21">
        <f>TModelo[[#This Row],[Act]]*(CDTb+(CDTx0-CDTb)*(1-CDTa)^TModelo[[#This Row],[Period]]+CDTspread)</f>
        <v>0</v>
      </c>
      <c r="H92" s="40">
        <f>TModelo[[#This Row],[Act]]*((1+TModelo[[#This Row],[TasaCDT]])^(1/12)-1)*(1-Retencion)</f>
        <v>0</v>
      </c>
      <c r="I92" s="40">
        <f>TModelo[[#This Row],[Act]]*(EXP(MuCOLCAP+SigmaCOLCAP^2/2)-1)</f>
        <v>0</v>
      </c>
      <c r="J92" s="40">
        <f>TModelo[[#This Row],[Act]]*(EXP(MuTRM+SigmaTRM^2/2)-1)</f>
        <v>0</v>
      </c>
      <c r="K92" s="11">
        <f>TModelo[[#This Row],[Act]]*IF(Rebalanceo="Mensual",1,IF(Rebalanceo="Anual",IF(MOD(TModelo[[#This Row],[Period]]-1,12)=0,1,0),0))</f>
        <v>0</v>
      </c>
      <c r="L92" s="24">
        <f>TModelo[[#This Row],[Act]]*AporteMensual*IF(CrecimientoAporte="Con IPC",F91,1)</f>
        <v>0</v>
      </c>
      <c r="M92" s="24">
        <f>IF(TModelo[[#This Row],[Period]]=HorizonteMeses,TModelo[[#This Row],[TotalPreLiq]],0)</f>
        <v>0</v>
      </c>
      <c r="N92" s="24">
        <f>TModelo[[#This Row],[Inflow]]-TModelo[[#This Row],[Outflow]]</f>
        <v>0</v>
      </c>
      <c r="O92" s="24">
        <f t="shared" ref="O92:O155" si="1">Q91</f>
        <v>0</v>
      </c>
      <c r="P92" s="24">
        <f>TModelo[[#This Row],[IntCDT]]+TModelo[[#This Row],[IntCOLCAP]]+TModelo[[#This Row],[IntUSD]]</f>
        <v>0</v>
      </c>
      <c r="Q92" s="24">
        <f>TModelo[[#This Row],[InitialBalance]]+TModelo[[#This Row],[Interest]]+TModelo[[#This Row],[Outflow]]-TModelo[[#This Row],[Inflow]]</f>
        <v>0</v>
      </c>
      <c r="R92" s="24">
        <f>TModelo[[#This Row],[Act]]*IF(TModelo[[#This Row],[Rebal]]=1,PesoCDT*(X91+Y91+Z91),X91)</f>
        <v>0</v>
      </c>
      <c r="S92" s="24">
        <f>TModelo[[#This Row],[Act]]*IF(TModelo[[#This Row],[Rebal]]=1,PesoCOLCAP*(X91+Y91+Z91),Y91)</f>
        <v>0</v>
      </c>
      <c r="T92" s="24">
        <f>TModelo[[#This Row],[Act]]*IF(TModelo[[#This Row],[Rebal]]=1,PesoUSD*(X91+Y91+Z91),Z91)</f>
        <v>0</v>
      </c>
      <c r="U92" s="24">
        <f>TModelo[[#This Row],[IniCDT]]*TModelo[[#This Row],[RetCDT]]</f>
        <v>0</v>
      </c>
      <c r="V92" s="24">
        <f>TModelo[[#This Row],[IniCOLCAP]]*TModelo[[#This Row],[RetCOLCAP]]</f>
        <v>0</v>
      </c>
      <c r="W92" s="24">
        <f>TModelo[[#This Row],[IniUSD]]*TModelo[[#This Row],[RetUSD]]</f>
        <v>0</v>
      </c>
      <c r="X92" s="24">
        <f>TModelo[[#This Row],[Act]]*(TModelo[[#This Row],[IniCDT]]+TModelo[[#This Row],[IntCDT]]+PesoCDT*TModelo[[#This Row],[Outflow]])</f>
        <v>0</v>
      </c>
      <c r="Y92" s="24">
        <f>TModelo[[#This Row],[Act]]*(TModelo[[#This Row],[IniCOLCAP]]+TModelo[[#This Row],[IntCOLCAP]]+PesoCOLCAP*TModelo[[#This Row],[Outflow]])</f>
        <v>0</v>
      </c>
      <c r="Z92" s="24">
        <f>TModelo[[#This Row],[Act]]*(TModelo[[#This Row],[IniUSD]]+TModelo[[#This Row],[IntUSD]]+PesoUSD*TModelo[[#This Row],[Outflow]])</f>
        <v>0</v>
      </c>
      <c r="AA92" s="24">
        <f>TModelo[[#This Row],[BalCDT]]+TModelo[[#This Row],[BalCOLCAP]]+TModelo[[#This Row],[BalUSD]]</f>
        <v>0</v>
      </c>
      <c r="AB92" s="24">
        <f>IF(TModelo[[#This Row],[CumInfl]]&gt;0,TModelo[[#This Row],[TotalPreLiq]]/TModelo[[#This Row],[CumInfl]],0)</f>
        <v>0</v>
      </c>
      <c r="AC92" s="41">
        <f>(1+PerRate)^(-TModelo[[#This Row],[Period]])</f>
        <v>0.60258517793846367</v>
      </c>
      <c r="AD92" s="42">
        <f>TModelo[[#This Row],[NetCF]]*TModelo[[#This Row],[fd]]</f>
        <v>0</v>
      </c>
    </row>
    <row r="93" spans="2:30" ht="16.95" customHeight="1">
      <c r="B93" s="11">
        <v>66</v>
      </c>
      <c r="C93" s="25">
        <f>EDATE(FechaInicio,TModelo[[#This Row],[Period]])</f>
        <v>48302</v>
      </c>
      <c r="D93" s="11">
        <f>IF(AND(TModelo[[#This Row],[Period]]&gt;=1,TModelo[[#This Row],[Period]]&lt;=HorizonteMeses),1,0)</f>
        <v>0</v>
      </c>
      <c r="E93" s="40">
        <f>TModelo[[#This Row],[Act]]*(INFb+(INFpi0-INFb)*(1-INFa)^TModelo[[#This Row],[Period]])</f>
        <v>0</v>
      </c>
      <c r="F93" s="28">
        <f>IF(TModelo[[#This Row],[Period]]&lt;=HorizonteMeses,F92*(1+TModelo[[#This Row],[InflMes]]),0)</f>
        <v>0</v>
      </c>
      <c r="G93" s="21">
        <f>TModelo[[#This Row],[Act]]*(CDTb+(CDTx0-CDTb)*(1-CDTa)^TModelo[[#This Row],[Period]]+CDTspread)</f>
        <v>0</v>
      </c>
      <c r="H93" s="40">
        <f>TModelo[[#This Row],[Act]]*((1+TModelo[[#This Row],[TasaCDT]])^(1/12)-1)*(1-Retencion)</f>
        <v>0</v>
      </c>
      <c r="I93" s="40">
        <f>TModelo[[#This Row],[Act]]*(EXP(MuCOLCAP+SigmaCOLCAP^2/2)-1)</f>
        <v>0</v>
      </c>
      <c r="J93" s="40">
        <f>TModelo[[#This Row],[Act]]*(EXP(MuTRM+SigmaTRM^2/2)-1)</f>
        <v>0</v>
      </c>
      <c r="K93" s="11">
        <f>TModelo[[#This Row],[Act]]*IF(Rebalanceo="Mensual",1,IF(Rebalanceo="Anual",IF(MOD(TModelo[[#This Row],[Period]]-1,12)=0,1,0),0))</f>
        <v>0</v>
      </c>
      <c r="L93" s="24">
        <f>TModelo[[#This Row],[Act]]*AporteMensual*IF(CrecimientoAporte="Con IPC",F92,1)</f>
        <v>0</v>
      </c>
      <c r="M93" s="24">
        <f>IF(TModelo[[#This Row],[Period]]=HorizonteMeses,TModelo[[#This Row],[TotalPreLiq]],0)</f>
        <v>0</v>
      </c>
      <c r="N93" s="24">
        <f>TModelo[[#This Row],[Inflow]]-TModelo[[#This Row],[Outflow]]</f>
        <v>0</v>
      </c>
      <c r="O93" s="24">
        <f t="shared" si="1"/>
        <v>0</v>
      </c>
      <c r="P93" s="24">
        <f>TModelo[[#This Row],[IntCDT]]+TModelo[[#This Row],[IntCOLCAP]]+TModelo[[#This Row],[IntUSD]]</f>
        <v>0</v>
      </c>
      <c r="Q93" s="24">
        <f>TModelo[[#This Row],[InitialBalance]]+TModelo[[#This Row],[Interest]]+TModelo[[#This Row],[Outflow]]-TModelo[[#This Row],[Inflow]]</f>
        <v>0</v>
      </c>
      <c r="R93" s="24">
        <f>TModelo[[#This Row],[Act]]*IF(TModelo[[#This Row],[Rebal]]=1,PesoCDT*(X92+Y92+Z92),X92)</f>
        <v>0</v>
      </c>
      <c r="S93" s="24">
        <f>TModelo[[#This Row],[Act]]*IF(TModelo[[#This Row],[Rebal]]=1,PesoCOLCAP*(X92+Y92+Z92),Y92)</f>
        <v>0</v>
      </c>
      <c r="T93" s="24">
        <f>TModelo[[#This Row],[Act]]*IF(TModelo[[#This Row],[Rebal]]=1,PesoUSD*(X92+Y92+Z92),Z92)</f>
        <v>0</v>
      </c>
      <c r="U93" s="24">
        <f>TModelo[[#This Row],[IniCDT]]*TModelo[[#This Row],[RetCDT]]</f>
        <v>0</v>
      </c>
      <c r="V93" s="24">
        <f>TModelo[[#This Row],[IniCOLCAP]]*TModelo[[#This Row],[RetCOLCAP]]</f>
        <v>0</v>
      </c>
      <c r="W93" s="24">
        <f>TModelo[[#This Row],[IniUSD]]*TModelo[[#This Row],[RetUSD]]</f>
        <v>0</v>
      </c>
      <c r="X93" s="24">
        <f>TModelo[[#This Row],[Act]]*(TModelo[[#This Row],[IniCDT]]+TModelo[[#This Row],[IntCDT]]+PesoCDT*TModelo[[#This Row],[Outflow]])</f>
        <v>0</v>
      </c>
      <c r="Y93" s="24">
        <f>TModelo[[#This Row],[Act]]*(TModelo[[#This Row],[IniCOLCAP]]+TModelo[[#This Row],[IntCOLCAP]]+PesoCOLCAP*TModelo[[#This Row],[Outflow]])</f>
        <v>0</v>
      </c>
      <c r="Z93" s="24">
        <f>TModelo[[#This Row],[Act]]*(TModelo[[#This Row],[IniUSD]]+TModelo[[#This Row],[IntUSD]]+PesoUSD*TModelo[[#This Row],[Outflow]])</f>
        <v>0</v>
      </c>
      <c r="AA93" s="24">
        <f>TModelo[[#This Row],[BalCDT]]+TModelo[[#This Row],[BalCOLCAP]]+TModelo[[#This Row],[BalUSD]]</f>
        <v>0</v>
      </c>
      <c r="AB93" s="24">
        <f>IF(TModelo[[#This Row],[CumInfl]]&gt;0,TModelo[[#This Row],[TotalPreLiq]]/TModelo[[#This Row],[CumInfl]],0)</f>
        <v>0</v>
      </c>
      <c r="AC93" s="41">
        <f>(1+PerRate)^(-TModelo[[#This Row],[Period]])</f>
        <v>0.5979076544410129</v>
      </c>
      <c r="AD93" s="42">
        <f>TModelo[[#This Row],[NetCF]]*TModelo[[#This Row],[fd]]</f>
        <v>0</v>
      </c>
    </row>
    <row r="94" spans="2:30" ht="16.95" customHeight="1">
      <c r="B94" s="11">
        <v>67</v>
      </c>
      <c r="C94" s="25">
        <f>EDATE(FechaInicio,TModelo[[#This Row],[Period]])</f>
        <v>48333</v>
      </c>
      <c r="D94" s="11">
        <f>IF(AND(TModelo[[#This Row],[Period]]&gt;=1,TModelo[[#This Row],[Period]]&lt;=HorizonteMeses),1,0)</f>
        <v>0</v>
      </c>
      <c r="E94" s="40">
        <f>TModelo[[#This Row],[Act]]*(INFb+(INFpi0-INFb)*(1-INFa)^TModelo[[#This Row],[Period]])</f>
        <v>0</v>
      </c>
      <c r="F94" s="28">
        <f>IF(TModelo[[#This Row],[Period]]&lt;=HorizonteMeses,F93*(1+TModelo[[#This Row],[InflMes]]),0)</f>
        <v>0</v>
      </c>
      <c r="G94" s="21">
        <f>TModelo[[#This Row],[Act]]*(CDTb+(CDTx0-CDTb)*(1-CDTa)^TModelo[[#This Row],[Period]]+CDTspread)</f>
        <v>0</v>
      </c>
      <c r="H94" s="40">
        <f>TModelo[[#This Row],[Act]]*((1+TModelo[[#This Row],[TasaCDT]])^(1/12)-1)*(1-Retencion)</f>
        <v>0</v>
      </c>
      <c r="I94" s="40">
        <f>TModelo[[#This Row],[Act]]*(EXP(MuCOLCAP+SigmaCOLCAP^2/2)-1)</f>
        <v>0</v>
      </c>
      <c r="J94" s="40">
        <f>TModelo[[#This Row],[Act]]*(EXP(MuTRM+SigmaTRM^2/2)-1)</f>
        <v>0</v>
      </c>
      <c r="K94" s="11">
        <f>TModelo[[#This Row],[Act]]*IF(Rebalanceo="Mensual",1,IF(Rebalanceo="Anual",IF(MOD(TModelo[[#This Row],[Period]]-1,12)=0,1,0),0))</f>
        <v>0</v>
      </c>
      <c r="L94" s="24">
        <f>TModelo[[#This Row],[Act]]*AporteMensual*IF(CrecimientoAporte="Con IPC",F93,1)</f>
        <v>0</v>
      </c>
      <c r="M94" s="24">
        <f>IF(TModelo[[#This Row],[Period]]=HorizonteMeses,TModelo[[#This Row],[TotalPreLiq]],0)</f>
        <v>0</v>
      </c>
      <c r="N94" s="24">
        <f>TModelo[[#This Row],[Inflow]]-TModelo[[#This Row],[Outflow]]</f>
        <v>0</v>
      </c>
      <c r="O94" s="24">
        <f t="shared" si="1"/>
        <v>0</v>
      </c>
      <c r="P94" s="24">
        <f>TModelo[[#This Row],[IntCDT]]+TModelo[[#This Row],[IntCOLCAP]]+TModelo[[#This Row],[IntUSD]]</f>
        <v>0</v>
      </c>
      <c r="Q94" s="24">
        <f>TModelo[[#This Row],[InitialBalance]]+TModelo[[#This Row],[Interest]]+TModelo[[#This Row],[Outflow]]-TModelo[[#This Row],[Inflow]]</f>
        <v>0</v>
      </c>
      <c r="R94" s="24">
        <f>TModelo[[#This Row],[Act]]*IF(TModelo[[#This Row],[Rebal]]=1,PesoCDT*(X93+Y93+Z93),X93)</f>
        <v>0</v>
      </c>
      <c r="S94" s="24">
        <f>TModelo[[#This Row],[Act]]*IF(TModelo[[#This Row],[Rebal]]=1,PesoCOLCAP*(X93+Y93+Z93),Y93)</f>
        <v>0</v>
      </c>
      <c r="T94" s="24">
        <f>TModelo[[#This Row],[Act]]*IF(TModelo[[#This Row],[Rebal]]=1,PesoUSD*(X93+Y93+Z93),Z93)</f>
        <v>0</v>
      </c>
      <c r="U94" s="24">
        <f>TModelo[[#This Row],[IniCDT]]*TModelo[[#This Row],[RetCDT]]</f>
        <v>0</v>
      </c>
      <c r="V94" s="24">
        <f>TModelo[[#This Row],[IniCOLCAP]]*TModelo[[#This Row],[RetCOLCAP]]</f>
        <v>0</v>
      </c>
      <c r="W94" s="24">
        <f>TModelo[[#This Row],[IniUSD]]*TModelo[[#This Row],[RetUSD]]</f>
        <v>0</v>
      </c>
      <c r="X94" s="24">
        <f>TModelo[[#This Row],[Act]]*(TModelo[[#This Row],[IniCDT]]+TModelo[[#This Row],[IntCDT]]+PesoCDT*TModelo[[#This Row],[Outflow]])</f>
        <v>0</v>
      </c>
      <c r="Y94" s="24">
        <f>TModelo[[#This Row],[Act]]*(TModelo[[#This Row],[IniCOLCAP]]+TModelo[[#This Row],[IntCOLCAP]]+PesoCOLCAP*TModelo[[#This Row],[Outflow]])</f>
        <v>0</v>
      </c>
      <c r="Z94" s="24">
        <f>TModelo[[#This Row],[Act]]*(TModelo[[#This Row],[IniUSD]]+TModelo[[#This Row],[IntUSD]]+PesoUSD*TModelo[[#This Row],[Outflow]])</f>
        <v>0</v>
      </c>
      <c r="AA94" s="24">
        <f>TModelo[[#This Row],[BalCDT]]+TModelo[[#This Row],[BalCOLCAP]]+TModelo[[#This Row],[BalUSD]]</f>
        <v>0</v>
      </c>
      <c r="AB94" s="24">
        <f>IF(TModelo[[#This Row],[CumInfl]]&gt;0,TModelo[[#This Row],[TotalPreLiq]]/TModelo[[#This Row],[CumInfl]],0)</f>
        <v>0</v>
      </c>
      <c r="AC94" s="41">
        <f>(1+PerRate)^(-TModelo[[#This Row],[Period]])</f>
        <v>0.59326643987858119</v>
      </c>
      <c r="AD94" s="42">
        <f>TModelo[[#This Row],[NetCF]]*TModelo[[#This Row],[fd]]</f>
        <v>0</v>
      </c>
    </row>
    <row r="95" spans="2:30" ht="16.95" customHeight="1">
      <c r="B95" s="11">
        <v>68</v>
      </c>
      <c r="C95" s="25">
        <f>EDATE(FechaInicio,TModelo[[#This Row],[Period]])</f>
        <v>48363</v>
      </c>
      <c r="D95" s="11">
        <f>IF(AND(TModelo[[#This Row],[Period]]&gt;=1,TModelo[[#This Row],[Period]]&lt;=HorizonteMeses),1,0)</f>
        <v>0</v>
      </c>
      <c r="E95" s="40">
        <f>TModelo[[#This Row],[Act]]*(INFb+(INFpi0-INFb)*(1-INFa)^TModelo[[#This Row],[Period]])</f>
        <v>0</v>
      </c>
      <c r="F95" s="28">
        <f>IF(TModelo[[#This Row],[Period]]&lt;=HorizonteMeses,F94*(1+TModelo[[#This Row],[InflMes]]),0)</f>
        <v>0</v>
      </c>
      <c r="G95" s="21">
        <f>TModelo[[#This Row],[Act]]*(CDTb+(CDTx0-CDTb)*(1-CDTa)^TModelo[[#This Row],[Period]]+CDTspread)</f>
        <v>0</v>
      </c>
      <c r="H95" s="40">
        <f>TModelo[[#This Row],[Act]]*((1+TModelo[[#This Row],[TasaCDT]])^(1/12)-1)*(1-Retencion)</f>
        <v>0</v>
      </c>
      <c r="I95" s="40">
        <f>TModelo[[#This Row],[Act]]*(EXP(MuCOLCAP+SigmaCOLCAP^2/2)-1)</f>
        <v>0</v>
      </c>
      <c r="J95" s="40">
        <f>TModelo[[#This Row],[Act]]*(EXP(MuTRM+SigmaTRM^2/2)-1)</f>
        <v>0</v>
      </c>
      <c r="K95" s="11">
        <f>TModelo[[#This Row],[Act]]*IF(Rebalanceo="Mensual",1,IF(Rebalanceo="Anual",IF(MOD(TModelo[[#This Row],[Period]]-1,12)=0,1,0),0))</f>
        <v>0</v>
      </c>
      <c r="L95" s="24">
        <f>TModelo[[#This Row],[Act]]*AporteMensual*IF(CrecimientoAporte="Con IPC",F94,1)</f>
        <v>0</v>
      </c>
      <c r="M95" s="24">
        <f>IF(TModelo[[#This Row],[Period]]=HorizonteMeses,TModelo[[#This Row],[TotalPreLiq]],0)</f>
        <v>0</v>
      </c>
      <c r="N95" s="24">
        <f>TModelo[[#This Row],[Inflow]]-TModelo[[#This Row],[Outflow]]</f>
        <v>0</v>
      </c>
      <c r="O95" s="24">
        <f t="shared" si="1"/>
        <v>0</v>
      </c>
      <c r="P95" s="24">
        <f>TModelo[[#This Row],[IntCDT]]+TModelo[[#This Row],[IntCOLCAP]]+TModelo[[#This Row],[IntUSD]]</f>
        <v>0</v>
      </c>
      <c r="Q95" s="24">
        <f>TModelo[[#This Row],[InitialBalance]]+TModelo[[#This Row],[Interest]]+TModelo[[#This Row],[Outflow]]-TModelo[[#This Row],[Inflow]]</f>
        <v>0</v>
      </c>
      <c r="R95" s="24">
        <f>TModelo[[#This Row],[Act]]*IF(TModelo[[#This Row],[Rebal]]=1,PesoCDT*(X94+Y94+Z94),X94)</f>
        <v>0</v>
      </c>
      <c r="S95" s="24">
        <f>TModelo[[#This Row],[Act]]*IF(TModelo[[#This Row],[Rebal]]=1,PesoCOLCAP*(X94+Y94+Z94),Y94)</f>
        <v>0</v>
      </c>
      <c r="T95" s="24">
        <f>TModelo[[#This Row],[Act]]*IF(TModelo[[#This Row],[Rebal]]=1,PesoUSD*(X94+Y94+Z94),Z94)</f>
        <v>0</v>
      </c>
      <c r="U95" s="24">
        <f>TModelo[[#This Row],[IniCDT]]*TModelo[[#This Row],[RetCDT]]</f>
        <v>0</v>
      </c>
      <c r="V95" s="24">
        <f>TModelo[[#This Row],[IniCOLCAP]]*TModelo[[#This Row],[RetCOLCAP]]</f>
        <v>0</v>
      </c>
      <c r="W95" s="24">
        <f>TModelo[[#This Row],[IniUSD]]*TModelo[[#This Row],[RetUSD]]</f>
        <v>0</v>
      </c>
      <c r="X95" s="24">
        <f>TModelo[[#This Row],[Act]]*(TModelo[[#This Row],[IniCDT]]+TModelo[[#This Row],[IntCDT]]+PesoCDT*TModelo[[#This Row],[Outflow]])</f>
        <v>0</v>
      </c>
      <c r="Y95" s="24">
        <f>TModelo[[#This Row],[Act]]*(TModelo[[#This Row],[IniCOLCAP]]+TModelo[[#This Row],[IntCOLCAP]]+PesoCOLCAP*TModelo[[#This Row],[Outflow]])</f>
        <v>0</v>
      </c>
      <c r="Z95" s="24">
        <f>TModelo[[#This Row],[Act]]*(TModelo[[#This Row],[IniUSD]]+TModelo[[#This Row],[IntUSD]]+PesoUSD*TModelo[[#This Row],[Outflow]])</f>
        <v>0</v>
      </c>
      <c r="AA95" s="24">
        <f>TModelo[[#This Row],[BalCDT]]+TModelo[[#This Row],[BalCOLCAP]]+TModelo[[#This Row],[BalUSD]]</f>
        <v>0</v>
      </c>
      <c r="AB95" s="24">
        <f>IF(TModelo[[#This Row],[CumInfl]]&gt;0,TModelo[[#This Row],[TotalPreLiq]]/TModelo[[#This Row],[CumInfl]],0)</f>
        <v>0</v>
      </c>
      <c r="AC95" s="41">
        <f>(1+PerRate)^(-TModelo[[#This Row],[Period]])</f>
        <v>0.58866125240570844</v>
      </c>
      <c r="AD95" s="42">
        <f>TModelo[[#This Row],[NetCF]]*TModelo[[#This Row],[fd]]</f>
        <v>0</v>
      </c>
    </row>
    <row r="96" spans="2:30" ht="16.95" customHeight="1">
      <c r="B96" s="11">
        <v>69</v>
      </c>
      <c r="C96" s="25">
        <f>EDATE(FechaInicio,TModelo[[#This Row],[Period]])</f>
        <v>48394</v>
      </c>
      <c r="D96" s="11">
        <f>IF(AND(TModelo[[#This Row],[Period]]&gt;=1,TModelo[[#This Row],[Period]]&lt;=HorizonteMeses),1,0)</f>
        <v>0</v>
      </c>
      <c r="E96" s="40">
        <f>TModelo[[#This Row],[Act]]*(INFb+(INFpi0-INFb)*(1-INFa)^TModelo[[#This Row],[Period]])</f>
        <v>0</v>
      </c>
      <c r="F96" s="28">
        <f>IF(TModelo[[#This Row],[Period]]&lt;=HorizonteMeses,F95*(1+TModelo[[#This Row],[InflMes]]),0)</f>
        <v>0</v>
      </c>
      <c r="G96" s="21">
        <f>TModelo[[#This Row],[Act]]*(CDTb+(CDTx0-CDTb)*(1-CDTa)^TModelo[[#This Row],[Period]]+CDTspread)</f>
        <v>0</v>
      </c>
      <c r="H96" s="40">
        <f>TModelo[[#This Row],[Act]]*((1+TModelo[[#This Row],[TasaCDT]])^(1/12)-1)*(1-Retencion)</f>
        <v>0</v>
      </c>
      <c r="I96" s="40">
        <f>TModelo[[#This Row],[Act]]*(EXP(MuCOLCAP+SigmaCOLCAP^2/2)-1)</f>
        <v>0</v>
      </c>
      <c r="J96" s="40">
        <f>TModelo[[#This Row],[Act]]*(EXP(MuTRM+SigmaTRM^2/2)-1)</f>
        <v>0</v>
      </c>
      <c r="K96" s="11">
        <f>TModelo[[#This Row],[Act]]*IF(Rebalanceo="Mensual",1,IF(Rebalanceo="Anual",IF(MOD(TModelo[[#This Row],[Period]]-1,12)=0,1,0),0))</f>
        <v>0</v>
      </c>
      <c r="L96" s="24">
        <f>TModelo[[#This Row],[Act]]*AporteMensual*IF(CrecimientoAporte="Con IPC",F95,1)</f>
        <v>0</v>
      </c>
      <c r="M96" s="24">
        <f>IF(TModelo[[#This Row],[Period]]=HorizonteMeses,TModelo[[#This Row],[TotalPreLiq]],0)</f>
        <v>0</v>
      </c>
      <c r="N96" s="24">
        <f>TModelo[[#This Row],[Inflow]]-TModelo[[#This Row],[Outflow]]</f>
        <v>0</v>
      </c>
      <c r="O96" s="24">
        <f t="shared" si="1"/>
        <v>0</v>
      </c>
      <c r="P96" s="24">
        <f>TModelo[[#This Row],[IntCDT]]+TModelo[[#This Row],[IntCOLCAP]]+TModelo[[#This Row],[IntUSD]]</f>
        <v>0</v>
      </c>
      <c r="Q96" s="24">
        <f>TModelo[[#This Row],[InitialBalance]]+TModelo[[#This Row],[Interest]]+TModelo[[#This Row],[Outflow]]-TModelo[[#This Row],[Inflow]]</f>
        <v>0</v>
      </c>
      <c r="R96" s="24">
        <f>TModelo[[#This Row],[Act]]*IF(TModelo[[#This Row],[Rebal]]=1,PesoCDT*(X95+Y95+Z95),X95)</f>
        <v>0</v>
      </c>
      <c r="S96" s="24">
        <f>TModelo[[#This Row],[Act]]*IF(TModelo[[#This Row],[Rebal]]=1,PesoCOLCAP*(X95+Y95+Z95),Y95)</f>
        <v>0</v>
      </c>
      <c r="T96" s="24">
        <f>TModelo[[#This Row],[Act]]*IF(TModelo[[#This Row],[Rebal]]=1,PesoUSD*(X95+Y95+Z95),Z95)</f>
        <v>0</v>
      </c>
      <c r="U96" s="24">
        <f>TModelo[[#This Row],[IniCDT]]*TModelo[[#This Row],[RetCDT]]</f>
        <v>0</v>
      </c>
      <c r="V96" s="24">
        <f>TModelo[[#This Row],[IniCOLCAP]]*TModelo[[#This Row],[RetCOLCAP]]</f>
        <v>0</v>
      </c>
      <c r="W96" s="24">
        <f>TModelo[[#This Row],[IniUSD]]*TModelo[[#This Row],[RetUSD]]</f>
        <v>0</v>
      </c>
      <c r="X96" s="24">
        <f>TModelo[[#This Row],[Act]]*(TModelo[[#This Row],[IniCDT]]+TModelo[[#This Row],[IntCDT]]+PesoCDT*TModelo[[#This Row],[Outflow]])</f>
        <v>0</v>
      </c>
      <c r="Y96" s="24">
        <f>TModelo[[#This Row],[Act]]*(TModelo[[#This Row],[IniCOLCAP]]+TModelo[[#This Row],[IntCOLCAP]]+PesoCOLCAP*TModelo[[#This Row],[Outflow]])</f>
        <v>0</v>
      </c>
      <c r="Z96" s="24">
        <f>TModelo[[#This Row],[Act]]*(TModelo[[#This Row],[IniUSD]]+TModelo[[#This Row],[IntUSD]]+PesoUSD*TModelo[[#This Row],[Outflow]])</f>
        <v>0</v>
      </c>
      <c r="AA96" s="24">
        <f>TModelo[[#This Row],[BalCDT]]+TModelo[[#This Row],[BalCOLCAP]]+TModelo[[#This Row],[BalUSD]]</f>
        <v>0</v>
      </c>
      <c r="AB96" s="24">
        <f>IF(TModelo[[#This Row],[CumInfl]]&gt;0,TModelo[[#This Row],[TotalPreLiq]]/TModelo[[#This Row],[CumInfl]],0)</f>
        <v>0</v>
      </c>
      <c r="AC96" s="41">
        <f>(1+PerRate)^(-TModelo[[#This Row],[Period]])</f>
        <v>0.58409181236473928</v>
      </c>
      <c r="AD96" s="42">
        <f>TModelo[[#This Row],[NetCF]]*TModelo[[#This Row],[fd]]</f>
        <v>0</v>
      </c>
    </row>
    <row r="97" spans="2:30" ht="16.95" customHeight="1">
      <c r="B97" s="11">
        <v>70</v>
      </c>
      <c r="C97" s="25">
        <f>EDATE(FechaInicio,TModelo[[#This Row],[Period]])</f>
        <v>48424</v>
      </c>
      <c r="D97" s="11">
        <f>IF(AND(TModelo[[#This Row],[Period]]&gt;=1,TModelo[[#This Row],[Period]]&lt;=HorizonteMeses),1,0)</f>
        <v>0</v>
      </c>
      <c r="E97" s="40">
        <f>TModelo[[#This Row],[Act]]*(INFb+(INFpi0-INFb)*(1-INFa)^TModelo[[#This Row],[Period]])</f>
        <v>0</v>
      </c>
      <c r="F97" s="28">
        <f>IF(TModelo[[#This Row],[Period]]&lt;=HorizonteMeses,F96*(1+TModelo[[#This Row],[InflMes]]),0)</f>
        <v>0</v>
      </c>
      <c r="G97" s="21">
        <f>TModelo[[#This Row],[Act]]*(CDTb+(CDTx0-CDTb)*(1-CDTa)^TModelo[[#This Row],[Period]]+CDTspread)</f>
        <v>0</v>
      </c>
      <c r="H97" s="40">
        <f>TModelo[[#This Row],[Act]]*((1+TModelo[[#This Row],[TasaCDT]])^(1/12)-1)*(1-Retencion)</f>
        <v>0</v>
      </c>
      <c r="I97" s="40">
        <f>TModelo[[#This Row],[Act]]*(EXP(MuCOLCAP+SigmaCOLCAP^2/2)-1)</f>
        <v>0</v>
      </c>
      <c r="J97" s="40">
        <f>TModelo[[#This Row],[Act]]*(EXP(MuTRM+SigmaTRM^2/2)-1)</f>
        <v>0</v>
      </c>
      <c r="K97" s="11">
        <f>TModelo[[#This Row],[Act]]*IF(Rebalanceo="Mensual",1,IF(Rebalanceo="Anual",IF(MOD(TModelo[[#This Row],[Period]]-1,12)=0,1,0),0))</f>
        <v>0</v>
      </c>
      <c r="L97" s="24">
        <f>TModelo[[#This Row],[Act]]*AporteMensual*IF(CrecimientoAporte="Con IPC",F96,1)</f>
        <v>0</v>
      </c>
      <c r="M97" s="24">
        <f>IF(TModelo[[#This Row],[Period]]=HorizonteMeses,TModelo[[#This Row],[TotalPreLiq]],0)</f>
        <v>0</v>
      </c>
      <c r="N97" s="24">
        <f>TModelo[[#This Row],[Inflow]]-TModelo[[#This Row],[Outflow]]</f>
        <v>0</v>
      </c>
      <c r="O97" s="24">
        <f t="shared" si="1"/>
        <v>0</v>
      </c>
      <c r="P97" s="24">
        <f>TModelo[[#This Row],[IntCDT]]+TModelo[[#This Row],[IntCOLCAP]]+TModelo[[#This Row],[IntUSD]]</f>
        <v>0</v>
      </c>
      <c r="Q97" s="24">
        <f>TModelo[[#This Row],[InitialBalance]]+TModelo[[#This Row],[Interest]]+TModelo[[#This Row],[Outflow]]-TModelo[[#This Row],[Inflow]]</f>
        <v>0</v>
      </c>
      <c r="R97" s="24">
        <f>TModelo[[#This Row],[Act]]*IF(TModelo[[#This Row],[Rebal]]=1,PesoCDT*(X96+Y96+Z96),X96)</f>
        <v>0</v>
      </c>
      <c r="S97" s="24">
        <f>TModelo[[#This Row],[Act]]*IF(TModelo[[#This Row],[Rebal]]=1,PesoCOLCAP*(X96+Y96+Z96),Y96)</f>
        <v>0</v>
      </c>
      <c r="T97" s="24">
        <f>TModelo[[#This Row],[Act]]*IF(TModelo[[#This Row],[Rebal]]=1,PesoUSD*(X96+Y96+Z96),Z96)</f>
        <v>0</v>
      </c>
      <c r="U97" s="24">
        <f>TModelo[[#This Row],[IniCDT]]*TModelo[[#This Row],[RetCDT]]</f>
        <v>0</v>
      </c>
      <c r="V97" s="24">
        <f>TModelo[[#This Row],[IniCOLCAP]]*TModelo[[#This Row],[RetCOLCAP]]</f>
        <v>0</v>
      </c>
      <c r="W97" s="24">
        <f>TModelo[[#This Row],[IniUSD]]*TModelo[[#This Row],[RetUSD]]</f>
        <v>0</v>
      </c>
      <c r="X97" s="24">
        <f>TModelo[[#This Row],[Act]]*(TModelo[[#This Row],[IniCDT]]+TModelo[[#This Row],[IntCDT]]+PesoCDT*TModelo[[#This Row],[Outflow]])</f>
        <v>0</v>
      </c>
      <c r="Y97" s="24">
        <f>TModelo[[#This Row],[Act]]*(TModelo[[#This Row],[IniCOLCAP]]+TModelo[[#This Row],[IntCOLCAP]]+PesoCOLCAP*TModelo[[#This Row],[Outflow]])</f>
        <v>0</v>
      </c>
      <c r="Z97" s="24">
        <f>TModelo[[#This Row],[Act]]*(TModelo[[#This Row],[IniUSD]]+TModelo[[#This Row],[IntUSD]]+PesoUSD*TModelo[[#This Row],[Outflow]])</f>
        <v>0</v>
      </c>
      <c r="AA97" s="24">
        <f>TModelo[[#This Row],[BalCDT]]+TModelo[[#This Row],[BalCOLCAP]]+TModelo[[#This Row],[BalUSD]]</f>
        <v>0</v>
      </c>
      <c r="AB97" s="24">
        <f>IF(TModelo[[#This Row],[CumInfl]]&gt;0,TModelo[[#This Row],[TotalPreLiq]]/TModelo[[#This Row],[CumInfl]],0)</f>
        <v>0</v>
      </c>
      <c r="AC97" s="41">
        <f>(1+PerRate)^(-TModelo[[#This Row],[Period]])</f>
        <v>0.57955784226884088</v>
      </c>
      <c r="AD97" s="42">
        <f>TModelo[[#This Row],[NetCF]]*TModelo[[#This Row],[fd]]</f>
        <v>0</v>
      </c>
    </row>
    <row r="98" spans="2:30" ht="16.95" customHeight="1">
      <c r="B98" s="11">
        <v>71</v>
      </c>
      <c r="C98" s="25">
        <f>EDATE(FechaInicio,TModelo[[#This Row],[Period]])</f>
        <v>48455</v>
      </c>
      <c r="D98" s="11">
        <f>IF(AND(TModelo[[#This Row],[Period]]&gt;=1,TModelo[[#This Row],[Period]]&lt;=HorizonteMeses),1,0)</f>
        <v>0</v>
      </c>
      <c r="E98" s="40">
        <f>TModelo[[#This Row],[Act]]*(INFb+(INFpi0-INFb)*(1-INFa)^TModelo[[#This Row],[Period]])</f>
        <v>0</v>
      </c>
      <c r="F98" s="28">
        <f>IF(TModelo[[#This Row],[Period]]&lt;=HorizonteMeses,F97*(1+TModelo[[#This Row],[InflMes]]),0)</f>
        <v>0</v>
      </c>
      <c r="G98" s="21">
        <f>TModelo[[#This Row],[Act]]*(CDTb+(CDTx0-CDTb)*(1-CDTa)^TModelo[[#This Row],[Period]]+CDTspread)</f>
        <v>0</v>
      </c>
      <c r="H98" s="40">
        <f>TModelo[[#This Row],[Act]]*((1+TModelo[[#This Row],[TasaCDT]])^(1/12)-1)*(1-Retencion)</f>
        <v>0</v>
      </c>
      <c r="I98" s="40">
        <f>TModelo[[#This Row],[Act]]*(EXP(MuCOLCAP+SigmaCOLCAP^2/2)-1)</f>
        <v>0</v>
      </c>
      <c r="J98" s="40">
        <f>TModelo[[#This Row],[Act]]*(EXP(MuTRM+SigmaTRM^2/2)-1)</f>
        <v>0</v>
      </c>
      <c r="K98" s="11">
        <f>TModelo[[#This Row],[Act]]*IF(Rebalanceo="Mensual",1,IF(Rebalanceo="Anual",IF(MOD(TModelo[[#This Row],[Period]]-1,12)=0,1,0),0))</f>
        <v>0</v>
      </c>
      <c r="L98" s="24">
        <f>TModelo[[#This Row],[Act]]*AporteMensual*IF(CrecimientoAporte="Con IPC",F97,1)</f>
        <v>0</v>
      </c>
      <c r="M98" s="24">
        <f>IF(TModelo[[#This Row],[Period]]=HorizonteMeses,TModelo[[#This Row],[TotalPreLiq]],0)</f>
        <v>0</v>
      </c>
      <c r="N98" s="24">
        <f>TModelo[[#This Row],[Inflow]]-TModelo[[#This Row],[Outflow]]</f>
        <v>0</v>
      </c>
      <c r="O98" s="24">
        <f t="shared" si="1"/>
        <v>0</v>
      </c>
      <c r="P98" s="24">
        <f>TModelo[[#This Row],[IntCDT]]+TModelo[[#This Row],[IntCOLCAP]]+TModelo[[#This Row],[IntUSD]]</f>
        <v>0</v>
      </c>
      <c r="Q98" s="24">
        <f>TModelo[[#This Row],[InitialBalance]]+TModelo[[#This Row],[Interest]]+TModelo[[#This Row],[Outflow]]-TModelo[[#This Row],[Inflow]]</f>
        <v>0</v>
      </c>
      <c r="R98" s="24">
        <f>TModelo[[#This Row],[Act]]*IF(TModelo[[#This Row],[Rebal]]=1,PesoCDT*(X97+Y97+Z97),X97)</f>
        <v>0</v>
      </c>
      <c r="S98" s="24">
        <f>TModelo[[#This Row],[Act]]*IF(TModelo[[#This Row],[Rebal]]=1,PesoCOLCAP*(X97+Y97+Z97),Y97)</f>
        <v>0</v>
      </c>
      <c r="T98" s="24">
        <f>TModelo[[#This Row],[Act]]*IF(TModelo[[#This Row],[Rebal]]=1,PesoUSD*(X97+Y97+Z97),Z97)</f>
        <v>0</v>
      </c>
      <c r="U98" s="24">
        <f>TModelo[[#This Row],[IniCDT]]*TModelo[[#This Row],[RetCDT]]</f>
        <v>0</v>
      </c>
      <c r="V98" s="24">
        <f>TModelo[[#This Row],[IniCOLCAP]]*TModelo[[#This Row],[RetCOLCAP]]</f>
        <v>0</v>
      </c>
      <c r="W98" s="24">
        <f>TModelo[[#This Row],[IniUSD]]*TModelo[[#This Row],[RetUSD]]</f>
        <v>0</v>
      </c>
      <c r="X98" s="24">
        <f>TModelo[[#This Row],[Act]]*(TModelo[[#This Row],[IniCDT]]+TModelo[[#This Row],[IntCDT]]+PesoCDT*TModelo[[#This Row],[Outflow]])</f>
        <v>0</v>
      </c>
      <c r="Y98" s="24">
        <f>TModelo[[#This Row],[Act]]*(TModelo[[#This Row],[IniCOLCAP]]+TModelo[[#This Row],[IntCOLCAP]]+PesoCOLCAP*TModelo[[#This Row],[Outflow]])</f>
        <v>0</v>
      </c>
      <c r="Z98" s="24">
        <f>TModelo[[#This Row],[Act]]*(TModelo[[#This Row],[IniUSD]]+TModelo[[#This Row],[IntUSD]]+PesoUSD*TModelo[[#This Row],[Outflow]])</f>
        <v>0</v>
      </c>
      <c r="AA98" s="24">
        <f>TModelo[[#This Row],[BalCDT]]+TModelo[[#This Row],[BalCOLCAP]]+TModelo[[#This Row],[BalUSD]]</f>
        <v>0</v>
      </c>
      <c r="AB98" s="24">
        <f>IF(TModelo[[#This Row],[CumInfl]]&gt;0,TModelo[[#This Row],[TotalPreLiq]]/TModelo[[#This Row],[CumInfl]],0)</f>
        <v>0</v>
      </c>
      <c r="AC98" s="41">
        <f>(1+PerRate)^(-TModelo[[#This Row],[Period]])</f>
        <v>0.57505906678515117</v>
      </c>
      <c r="AD98" s="42">
        <f>TModelo[[#This Row],[NetCF]]*TModelo[[#This Row],[fd]]</f>
        <v>0</v>
      </c>
    </row>
    <row r="99" spans="2:30" ht="16.95" customHeight="1">
      <c r="B99" s="11">
        <v>72</v>
      </c>
      <c r="C99" s="25">
        <f>EDATE(FechaInicio,TModelo[[#This Row],[Period]])</f>
        <v>48486</v>
      </c>
      <c r="D99" s="11">
        <f>IF(AND(TModelo[[#This Row],[Period]]&gt;=1,TModelo[[#This Row],[Period]]&lt;=HorizonteMeses),1,0)</f>
        <v>0</v>
      </c>
      <c r="E99" s="40">
        <f>TModelo[[#This Row],[Act]]*(INFb+(INFpi0-INFb)*(1-INFa)^TModelo[[#This Row],[Period]])</f>
        <v>0</v>
      </c>
      <c r="F99" s="28">
        <f>IF(TModelo[[#This Row],[Period]]&lt;=HorizonteMeses,F98*(1+TModelo[[#This Row],[InflMes]]),0)</f>
        <v>0</v>
      </c>
      <c r="G99" s="21">
        <f>TModelo[[#This Row],[Act]]*(CDTb+(CDTx0-CDTb)*(1-CDTa)^TModelo[[#This Row],[Period]]+CDTspread)</f>
        <v>0</v>
      </c>
      <c r="H99" s="40">
        <f>TModelo[[#This Row],[Act]]*((1+TModelo[[#This Row],[TasaCDT]])^(1/12)-1)*(1-Retencion)</f>
        <v>0</v>
      </c>
      <c r="I99" s="40">
        <f>TModelo[[#This Row],[Act]]*(EXP(MuCOLCAP+SigmaCOLCAP^2/2)-1)</f>
        <v>0</v>
      </c>
      <c r="J99" s="40">
        <f>TModelo[[#This Row],[Act]]*(EXP(MuTRM+SigmaTRM^2/2)-1)</f>
        <v>0</v>
      </c>
      <c r="K99" s="11">
        <f>TModelo[[#This Row],[Act]]*IF(Rebalanceo="Mensual",1,IF(Rebalanceo="Anual",IF(MOD(TModelo[[#This Row],[Period]]-1,12)=0,1,0),0))</f>
        <v>0</v>
      </c>
      <c r="L99" s="24">
        <f>TModelo[[#This Row],[Act]]*AporteMensual*IF(CrecimientoAporte="Con IPC",F98,1)</f>
        <v>0</v>
      </c>
      <c r="M99" s="24">
        <f>IF(TModelo[[#This Row],[Period]]=HorizonteMeses,TModelo[[#This Row],[TotalPreLiq]],0)</f>
        <v>0</v>
      </c>
      <c r="N99" s="24">
        <f>TModelo[[#This Row],[Inflow]]-TModelo[[#This Row],[Outflow]]</f>
        <v>0</v>
      </c>
      <c r="O99" s="24">
        <f t="shared" si="1"/>
        <v>0</v>
      </c>
      <c r="P99" s="24">
        <f>TModelo[[#This Row],[IntCDT]]+TModelo[[#This Row],[IntCOLCAP]]+TModelo[[#This Row],[IntUSD]]</f>
        <v>0</v>
      </c>
      <c r="Q99" s="24">
        <f>TModelo[[#This Row],[InitialBalance]]+TModelo[[#This Row],[Interest]]+TModelo[[#This Row],[Outflow]]-TModelo[[#This Row],[Inflow]]</f>
        <v>0</v>
      </c>
      <c r="R99" s="24">
        <f>TModelo[[#This Row],[Act]]*IF(TModelo[[#This Row],[Rebal]]=1,PesoCDT*(X98+Y98+Z98),X98)</f>
        <v>0</v>
      </c>
      <c r="S99" s="24">
        <f>TModelo[[#This Row],[Act]]*IF(TModelo[[#This Row],[Rebal]]=1,PesoCOLCAP*(X98+Y98+Z98),Y98)</f>
        <v>0</v>
      </c>
      <c r="T99" s="24">
        <f>TModelo[[#This Row],[Act]]*IF(TModelo[[#This Row],[Rebal]]=1,PesoUSD*(X98+Y98+Z98),Z98)</f>
        <v>0</v>
      </c>
      <c r="U99" s="24">
        <f>TModelo[[#This Row],[IniCDT]]*TModelo[[#This Row],[RetCDT]]</f>
        <v>0</v>
      </c>
      <c r="V99" s="24">
        <f>TModelo[[#This Row],[IniCOLCAP]]*TModelo[[#This Row],[RetCOLCAP]]</f>
        <v>0</v>
      </c>
      <c r="W99" s="24">
        <f>TModelo[[#This Row],[IniUSD]]*TModelo[[#This Row],[RetUSD]]</f>
        <v>0</v>
      </c>
      <c r="X99" s="24">
        <f>TModelo[[#This Row],[Act]]*(TModelo[[#This Row],[IniCDT]]+TModelo[[#This Row],[IntCDT]]+PesoCDT*TModelo[[#This Row],[Outflow]])</f>
        <v>0</v>
      </c>
      <c r="Y99" s="24">
        <f>TModelo[[#This Row],[Act]]*(TModelo[[#This Row],[IniCOLCAP]]+TModelo[[#This Row],[IntCOLCAP]]+PesoCOLCAP*TModelo[[#This Row],[Outflow]])</f>
        <v>0</v>
      </c>
      <c r="Z99" s="24">
        <f>TModelo[[#This Row],[Act]]*(TModelo[[#This Row],[IniUSD]]+TModelo[[#This Row],[IntUSD]]+PesoUSD*TModelo[[#This Row],[Outflow]])</f>
        <v>0</v>
      </c>
      <c r="AA99" s="24">
        <f>TModelo[[#This Row],[BalCDT]]+TModelo[[#This Row],[BalCOLCAP]]+TModelo[[#This Row],[BalUSD]]</f>
        <v>0</v>
      </c>
      <c r="AB99" s="24">
        <f>IF(TModelo[[#This Row],[CumInfl]]&gt;0,TModelo[[#This Row],[TotalPreLiq]]/TModelo[[#This Row],[CumInfl]],0)</f>
        <v>0</v>
      </c>
      <c r="AC99" s="41">
        <f>(1+PerRate)^(-TModelo[[#This Row],[Period]])</f>
        <v>0.5705952127180598</v>
      </c>
      <c r="AD99" s="42">
        <f>TModelo[[#This Row],[NetCF]]*TModelo[[#This Row],[fd]]</f>
        <v>0</v>
      </c>
    </row>
    <row r="100" spans="2:30" ht="16.95" customHeight="1">
      <c r="B100" s="11">
        <v>73</v>
      </c>
      <c r="C100" s="25">
        <f>EDATE(FechaInicio,TModelo[[#This Row],[Period]])</f>
        <v>48516</v>
      </c>
      <c r="D100" s="11">
        <f>IF(AND(TModelo[[#This Row],[Period]]&gt;=1,TModelo[[#This Row],[Period]]&lt;=HorizonteMeses),1,0)</f>
        <v>0</v>
      </c>
      <c r="E100" s="40">
        <f>TModelo[[#This Row],[Act]]*(INFb+(INFpi0-INFb)*(1-INFa)^TModelo[[#This Row],[Period]])</f>
        <v>0</v>
      </c>
      <c r="F100" s="28">
        <f>IF(TModelo[[#This Row],[Period]]&lt;=HorizonteMeses,F99*(1+TModelo[[#This Row],[InflMes]]),0)</f>
        <v>0</v>
      </c>
      <c r="G100" s="21">
        <f>TModelo[[#This Row],[Act]]*(CDTb+(CDTx0-CDTb)*(1-CDTa)^TModelo[[#This Row],[Period]]+CDTspread)</f>
        <v>0</v>
      </c>
      <c r="H100" s="40">
        <f>TModelo[[#This Row],[Act]]*((1+TModelo[[#This Row],[TasaCDT]])^(1/12)-1)*(1-Retencion)</f>
        <v>0</v>
      </c>
      <c r="I100" s="40">
        <f>TModelo[[#This Row],[Act]]*(EXP(MuCOLCAP+SigmaCOLCAP^2/2)-1)</f>
        <v>0</v>
      </c>
      <c r="J100" s="40">
        <f>TModelo[[#This Row],[Act]]*(EXP(MuTRM+SigmaTRM^2/2)-1)</f>
        <v>0</v>
      </c>
      <c r="K100" s="11">
        <f>TModelo[[#This Row],[Act]]*IF(Rebalanceo="Mensual",1,IF(Rebalanceo="Anual",IF(MOD(TModelo[[#This Row],[Period]]-1,12)=0,1,0),0))</f>
        <v>0</v>
      </c>
      <c r="L100" s="24">
        <f>TModelo[[#This Row],[Act]]*AporteMensual*IF(CrecimientoAporte="Con IPC",F99,1)</f>
        <v>0</v>
      </c>
      <c r="M100" s="24">
        <f>IF(TModelo[[#This Row],[Period]]=HorizonteMeses,TModelo[[#This Row],[TotalPreLiq]],0)</f>
        <v>0</v>
      </c>
      <c r="N100" s="24">
        <f>TModelo[[#This Row],[Inflow]]-TModelo[[#This Row],[Outflow]]</f>
        <v>0</v>
      </c>
      <c r="O100" s="24">
        <f t="shared" si="1"/>
        <v>0</v>
      </c>
      <c r="P100" s="24">
        <f>TModelo[[#This Row],[IntCDT]]+TModelo[[#This Row],[IntCOLCAP]]+TModelo[[#This Row],[IntUSD]]</f>
        <v>0</v>
      </c>
      <c r="Q100" s="24">
        <f>TModelo[[#This Row],[InitialBalance]]+TModelo[[#This Row],[Interest]]+TModelo[[#This Row],[Outflow]]-TModelo[[#This Row],[Inflow]]</f>
        <v>0</v>
      </c>
      <c r="R100" s="24">
        <f>TModelo[[#This Row],[Act]]*IF(TModelo[[#This Row],[Rebal]]=1,PesoCDT*(X99+Y99+Z99),X99)</f>
        <v>0</v>
      </c>
      <c r="S100" s="24">
        <f>TModelo[[#This Row],[Act]]*IF(TModelo[[#This Row],[Rebal]]=1,PesoCOLCAP*(X99+Y99+Z99),Y99)</f>
        <v>0</v>
      </c>
      <c r="T100" s="24">
        <f>TModelo[[#This Row],[Act]]*IF(TModelo[[#This Row],[Rebal]]=1,PesoUSD*(X99+Y99+Z99),Z99)</f>
        <v>0</v>
      </c>
      <c r="U100" s="24">
        <f>TModelo[[#This Row],[IniCDT]]*TModelo[[#This Row],[RetCDT]]</f>
        <v>0</v>
      </c>
      <c r="V100" s="24">
        <f>TModelo[[#This Row],[IniCOLCAP]]*TModelo[[#This Row],[RetCOLCAP]]</f>
        <v>0</v>
      </c>
      <c r="W100" s="24">
        <f>TModelo[[#This Row],[IniUSD]]*TModelo[[#This Row],[RetUSD]]</f>
        <v>0</v>
      </c>
      <c r="X100" s="24">
        <f>TModelo[[#This Row],[Act]]*(TModelo[[#This Row],[IniCDT]]+TModelo[[#This Row],[IntCDT]]+PesoCDT*TModelo[[#This Row],[Outflow]])</f>
        <v>0</v>
      </c>
      <c r="Y100" s="24">
        <f>TModelo[[#This Row],[Act]]*(TModelo[[#This Row],[IniCOLCAP]]+TModelo[[#This Row],[IntCOLCAP]]+PesoCOLCAP*TModelo[[#This Row],[Outflow]])</f>
        <v>0</v>
      </c>
      <c r="Z100" s="24">
        <f>TModelo[[#This Row],[Act]]*(TModelo[[#This Row],[IniUSD]]+TModelo[[#This Row],[IntUSD]]+PesoUSD*TModelo[[#This Row],[Outflow]])</f>
        <v>0</v>
      </c>
      <c r="AA100" s="24">
        <f>TModelo[[#This Row],[BalCDT]]+TModelo[[#This Row],[BalCOLCAP]]+TModelo[[#This Row],[BalUSD]]</f>
        <v>0</v>
      </c>
      <c r="AB100" s="24">
        <f>IF(TModelo[[#This Row],[CumInfl]]&gt;0,TModelo[[#This Row],[TotalPreLiq]]/TModelo[[#This Row],[CumInfl]],0)</f>
        <v>0</v>
      </c>
      <c r="AC100" s="41">
        <f>(1+PerRate)^(-TModelo[[#This Row],[Period]])</f>
        <v>0.56616600899261704</v>
      </c>
      <c r="AD100" s="42">
        <f>TModelo[[#This Row],[NetCF]]*TModelo[[#This Row],[fd]]</f>
        <v>0</v>
      </c>
    </row>
    <row r="101" spans="2:30" ht="16.95" customHeight="1">
      <c r="B101" s="11">
        <v>74</v>
      </c>
      <c r="C101" s="25">
        <f>EDATE(FechaInicio,TModelo[[#This Row],[Period]])</f>
        <v>48547</v>
      </c>
      <c r="D101" s="11">
        <f>IF(AND(TModelo[[#This Row],[Period]]&gt;=1,TModelo[[#This Row],[Period]]&lt;=HorizonteMeses),1,0)</f>
        <v>0</v>
      </c>
      <c r="E101" s="40">
        <f>TModelo[[#This Row],[Act]]*(INFb+(INFpi0-INFb)*(1-INFa)^TModelo[[#This Row],[Period]])</f>
        <v>0</v>
      </c>
      <c r="F101" s="28">
        <f>IF(TModelo[[#This Row],[Period]]&lt;=HorizonteMeses,F100*(1+TModelo[[#This Row],[InflMes]]),0)</f>
        <v>0</v>
      </c>
      <c r="G101" s="21">
        <f>TModelo[[#This Row],[Act]]*(CDTb+(CDTx0-CDTb)*(1-CDTa)^TModelo[[#This Row],[Period]]+CDTspread)</f>
        <v>0</v>
      </c>
      <c r="H101" s="40">
        <f>TModelo[[#This Row],[Act]]*((1+TModelo[[#This Row],[TasaCDT]])^(1/12)-1)*(1-Retencion)</f>
        <v>0</v>
      </c>
      <c r="I101" s="40">
        <f>TModelo[[#This Row],[Act]]*(EXP(MuCOLCAP+SigmaCOLCAP^2/2)-1)</f>
        <v>0</v>
      </c>
      <c r="J101" s="40">
        <f>TModelo[[#This Row],[Act]]*(EXP(MuTRM+SigmaTRM^2/2)-1)</f>
        <v>0</v>
      </c>
      <c r="K101" s="11">
        <f>TModelo[[#This Row],[Act]]*IF(Rebalanceo="Mensual",1,IF(Rebalanceo="Anual",IF(MOD(TModelo[[#This Row],[Period]]-1,12)=0,1,0),0))</f>
        <v>0</v>
      </c>
      <c r="L101" s="24">
        <f>TModelo[[#This Row],[Act]]*AporteMensual*IF(CrecimientoAporte="Con IPC",F100,1)</f>
        <v>0</v>
      </c>
      <c r="M101" s="24">
        <f>IF(TModelo[[#This Row],[Period]]=HorizonteMeses,TModelo[[#This Row],[TotalPreLiq]],0)</f>
        <v>0</v>
      </c>
      <c r="N101" s="24">
        <f>TModelo[[#This Row],[Inflow]]-TModelo[[#This Row],[Outflow]]</f>
        <v>0</v>
      </c>
      <c r="O101" s="24">
        <f t="shared" si="1"/>
        <v>0</v>
      </c>
      <c r="P101" s="24">
        <f>TModelo[[#This Row],[IntCDT]]+TModelo[[#This Row],[IntCOLCAP]]+TModelo[[#This Row],[IntUSD]]</f>
        <v>0</v>
      </c>
      <c r="Q101" s="24">
        <f>TModelo[[#This Row],[InitialBalance]]+TModelo[[#This Row],[Interest]]+TModelo[[#This Row],[Outflow]]-TModelo[[#This Row],[Inflow]]</f>
        <v>0</v>
      </c>
      <c r="R101" s="24">
        <f>TModelo[[#This Row],[Act]]*IF(TModelo[[#This Row],[Rebal]]=1,PesoCDT*(X100+Y100+Z100),X100)</f>
        <v>0</v>
      </c>
      <c r="S101" s="24">
        <f>TModelo[[#This Row],[Act]]*IF(TModelo[[#This Row],[Rebal]]=1,PesoCOLCAP*(X100+Y100+Z100),Y100)</f>
        <v>0</v>
      </c>
      <c r="T101" s="24">
        <f>TModelo[[#This Row],[Act]]*IF(TModelo[[#This Row],[Rebal]]=1,PesoUSD*(X100+Y100+Z100),Z100)</f>
        <v>0</v>
      </c>
      <c r="U101" s="24">
        <f>TModelo[[#This Row],[IniCDT]]*TModelo[[#This Row],[RetCDT]]</f>
        <v>0</v>
      </c>
      <c r="V101" s="24">
        <f>TModelo[[#This Row],[IniCOLCAP]]*TModelo[[#This Row],[RetCOLCAP]]</f>
        <v>0</v>
      </c>
      <c r="W101" s="24">
        <f>TModelo[[#This Row],[IniUSD]]*TModelo[[#This Row],[RetUSD]]</f>
        <v>0</v>
      </c>
      <c r="X101" s="24">
        <f>TModelo[[#This Row],[Act]]*(TModelo[[#This Row],[IniCDT]]+TModelo[[#This Row],[IntCDT]]+PesoCDT*TModelo[[#This Row],[Outflow]])</f>
        <v>0</v>
      </c>
      <c r="Y101" s="24">
        <f>TModelo[[#This Row],[Act]]*(TModelo[[#This Row],[IniCOLCAP]]+TModelo[[#This Row],[IntCOLCAP]]+PesoCOLCAP*TModelo[[#This Row],[Outflow]])</f>
        <v>0</v>
      </c>
      <c r="Z101" s="24">
        <f>TModelo[[#This Row],[Act]]*(TModelo[[#This Row],[IniUSD]]+TModelo[[#This Row],[IntUSD]]+PesoUSD*TModelo[[#This Row],[Outflow]])</f>
        <v>0</v>
      </c>
      <c r="AA101" s="24">
        <f>TModelo[[#This Row],[BalCDT]]+TModelo[[#This Row],[BalCOLCAP]]+TModelo[[#This Row],[BalUSD]]</f>
        <v>0</v>
      </c>
      <c r="AB101" s="24">
        <f>IF(TModelo[[#This Row],[CumInfl]]&gt;0,TModelo[[#This Row],[TotalPreLiq]]/TModelo[[#This Row],[CumInfl]],0)</f>
        <v>0</v>
      </c>
      <c r="AC101" s="41">
        <f>(1+PerRate)^(-TModelo[[#This Row],[Period]])</f>
        <v>0.56177118663807291</v>
      </c>
      <c r="AD101" s="42">
        <f>TModelo[[#This Row],[NetCF]]*TModelo[[#This Row],[fd]]</f>
        <v>0</v>
      </c>
    </row>
    <row r="102" spans="2:30" ht="16.95" customHeight="1">
      <c r="B102" s="11">
        <v>75</v>
      </c>
      <c r="C102" s="25">
        <f>EDATE(FechaInicio,TModelo[[#This Row],[Period]])</f>
        <v>48577</v>
      </c>
      <c r="D102" s="11">
        <f>IF(AND(TModelo[[#This Row],[Period]]&gt;=1,TModelo[[#This Row],[Period]]&lt;=HorizonteMeses),1,0)</f>
        <v>0</v>
      </c>
      <c r="E102" s="40">
        <f>TModelo[[#This Row],[Act]]*(INFb+(INFpi0-INFb)*(1-INFa)^TModelo[[#This Row],[Period]])</f>
        <v>0</v>
      </c>
      <c r="F102" s="28">
        <f>IF(TModelo[[#This Row],[Period]]&lt;=HorizonteMeses,F101*(1+TModelo[[#This Row],[InflMes]]),0)</f>
        <v>0</v>
      </c>
      <c r="G102" s="21">
        <f>TModelo[[#This Row],[Act]]*(CDTb+(CDTx0-CDTb)*(1-CDTa)^TModelo[[#This Row],[Period]]+CDTspread)</f>
        <v>0</v>
      </c>
      <c r="H102" s="40">
        <f>TModelo[[#This Row],[Act]]*((1+TModelo[[#This Row],[TasaCDT]])^(1/12)-1)*(1-Retencion)</f>
        <v>0</v>
      </c>
      <c r="I102" s="40">
        <f>TModelo[[#This Row],[Act]]*(EXP(MuCOLCAP+SigmaCOLCAP^2/2)-1)</f>
        <v>0</v>
      </c>
      <c r="J102" s="40">
        <f>TModelo[[#This Row],[Act]]*(EXP(MuTRM+SigmaTRM^2/2)-1)</f>
        <v>0</v>
      </c>
      <c r="K102" s="11">
        <f>TModelo[[#This Row],[Act]]*IF(Rebalanceo="Mensual",1,IF(Rebalanceo="Anual",IF(MOD(TModelo[[#This Row],[Period]]-1,12)=0,1,0),0))</f>
        <v>0</v>
      </c>
      <c r="L102" s="24">
        <f>TModelo[[#This Row],[Act]]*AporteMensual*IF(CrecimientoAporte="Con IPC",F101,1)</f>
        <v>0</v>
      </c>
      <c r="M102" s="24">
        <f>IF(TModelo[[#This Row],[Period]]=HorizonteMeses,TModelo[[#This Row],[TotalPreLiq]],0)</f>
        <v>0</v>
      </c>
      <c r="N102" s="24">
        <f>TModelo[[#This Row],[Inflow]]-TModelo[[#This Row],[Outflow]]</f>
        <v>0</v>
      </c>
      <c r="O102" s="24">
        <f t="shared" si="1"/>
        <v>0</v>
      </c>
      <c r="P102" s="24">
        <f>TModelo[[#This Row],[IntCDT]]+TModelo[[#This Row],[IntCOLCAP]]+TModelo[[#This Row],[IntUSD]]</f>
        <v>0</v>
      </c>
      <c r="Q102" s="24">
        <f>TModelo[[#This Row],[InitialBalance]]+TModelo[[#This Row],[Interest]]+TModelo[[#This Row],[Outflow]]-TModelo[[#This Row],[Inflow]]</f>
        <v>0</v>
      </c>
      <c r="R102" s="24">
        <f>TModelo[[#This Row],[Act]]*IF(TModelo[[#This Row],[Rebal]]=1,PesoCDT*(X101+Y101+Z101),X101)</f>
        <v>0</v>
      </c>
      <c r="S102" s="24">
        <f>TModelo[[#This Row],[Act]]*IF(TModelo[[#This Row],[Rebal]]=1,PesoCOLCAP*(X101+Y101+Z101),Y101)</f>
        <v>0</v>
      </c>
      <c r="T102" s="24">
        <f>TModelo[[#This Row],[Act]]*IF(TModelo[[#This Row],[Rebal]]=1,PesoUSD*(X101+Y101+Z101),Z101)</f>
        <v>0</v>
      </c>
      <c r="U102" s="24">
        <f>TModelo[[#This Row],[IniCDT]]*TModelo[[#This Row],[RetCDT]]</f>
        <v>0</v>
      </c>
      <c r="V102" s="24">
        <f>TModelo[[#This Row],[IniCOLCAP]]*TModelo[[#This Row],[RetCOLCAP]]</f>
        <v>0</v>
      </c>
      <c r="W102" s="24">
        <f>TModelo[[#This Row],[IniUSD]]*TModelo[[#This Row],[RetUSD]]</f>
        <v>0</v>
      </c>
      <c r="X102" s="24">
        <f>TModelo[[#This Row],[Act]]*(TModelo[[#This Row],[IniCDT]]+TModelo[[#This Row],[IntCDT]]+PesoCDT*TModelo[[#This Row],[Outflow]])</f>
        <v>0</v>
      </c>
      <c r="Y102" s="24">
        <f>TModelo[[#This Row],[Act]]*(TModelo[[#This Row],[IniCOLCAP]]+TModelo[[#This Row],[IntCOLCAP]]+PesoCOLCAP*TModelo[[#This Row],[Outflow]])</f>
        <v>0</v>
      </c>
      <c r="Z102" s="24">
        <f>TModelo[[#This Row],[Act]]*(TModelo[[#This Row],[IniUSD]]+TModelo[[#This Row],[IntUSD]]+PesoUSD*TModelo[[#This Row],[Outflow]])</f>
        <v>0</v>
      </c>
      <c r="AA102" s="24">
        <f>TModelo[[#This Row],[BalCDT]]+TModelo[[#This Row],[BalCOLCAP]]+TModelo[[#This Row],[BalUSD]]</f>
        <v>0</v>
      </c>
      <c r="AB102" s="24">
        <f>IF(TModelo[[#This Row],[CumInfl]]&gt;0,TModelo[[#This Row],[TotalPreLiq]]/TModelo[[#This Row],[CumInfl]],0)</f>
        <v>0</v>
      </c>
      <c r="AC102" s="41">
        <f>(1+PerRate)^(-TModelo[[#This Row],[Period]])</f>
        <v>0.55741047877154326</v>
      </c>
      <c r="AD102" s="42">
        <f>TModelo[[#This Row],[NetCF]]*TModelo[[#This Row],[fd]]</f>
        <v>0</v>
      </c>
    </row>
    <row r="103" spans="2:30" ht="16.95" customHeight="1">
      <c r="B103" s="11">
        <v>76</v>
      </c>
      <c r="C103" s="25">
        <f>EDATE(FechaInicio,TModelo[[#This Row],[Period]])</f>
        <v>48608</v>
      </c>
      <c r="D103" s="11">
        <f>IF(AND(TModelo[[#This Row],[Period]]&gt;=1,TModelo[[#This Row],[Period]]&lt;=HorizonteMeses),1,0)</f>
        <v>0</v>
      </c>
      <c r="E103" s="40">
        <f>TModelo[[#This Row],[Act]]*(INFb+(INFpi0-INFb)*(1-INFa)^TModelo[[#This Row],[Period]])</f>
        <v>0</v>
      </c>
      <c r="F103" s="28">
        <f>IF(TModelo[[#This Row],[Period]]&lt;=HorizonteMeses,F102*(1+TModelo[[#This Row],[InflMes]]),0)</f>
        <v>0</v>
      </c>
      <c r="G103" s="21">
        <f>TModelo[[#This Row],[Act]]*(CDTb+(CDTx0-CDTb)*(1-CDTa)^TModelo[[#This Row],[Period]]+CDTspread)</f>
        <v>0</v>
      </c>
      <c r="H103" s="40">
        <f>TModelo[[#This Row],[Act]]*((1+TModelo[[#This Row],[TasaCDT]])^(1/12)-1)*(1-Retencion)</f>
        <v>0</v>
      </c>
      <c r="I103" s="40">
        <f>TModelo[[#This Row],[Act]]*(EXP(MuCOLCAP+SigmaCOLCAP^2/2)-1)</f>
        <v>0</v>
      </c>
      <c r="J103" s="40">
        <f>TModelo[[#This Row],[Act]]*(EXP(MuTRM+SigmaTRM^2/2)-1)</f>
        <v>0</v>
      </c>
      <c r="K103" s="11">
        <f>TModelo[[#This Row],[Act]]*IF(Rebalanceo="Mensual",1,IF(Rebalanceo="Anual",IF(MOD(TModelo[[#This Row],[Period]]-1,12)=0,1,0),0))</f>
        <v>0</v>
      </c>
      <c r="L103" s="24">
        <f>TModelo[[#This Row],[Act]]*AporteMensual*IF(CrecimientoAporte="Con IPC",F102,1)</f>
        <v>0</v>
      </c>
      <c r="M103" s="24">
        <f>IF(TModelo[[#This Row],[Period]]=HorizonteMeses,TModelo[[#This Row],[TotalPreLiq]],0)</f>
        <v>0</v>
      </c>
      <c r="N103" s="24">
        <f>TModelo[[#This Row],[Inflow]]-TModelo[[#This Row],[Outflow]]</f>
        <v>0</v>
      </c>
      <c r="O103" s="24">
        <f t="shared" si="1"/>
        <v>0</v>
      </c>
      <c r="P103" s="24">
        <f>TModelo[[#This Row],[IntCDT]]+TModelo[[#This Row],[IntCOLCAP]]+TModelo[[#This Row],[IntUSD]]</f>
        <v>0</v>
      </c>
      <c r="Q103" s="24">
        <f>TModelo[[#This Row],[InitialBalance]]+TModelo[[#This Row],[Interest]]+TModelo[[#This Row],[Outflow]]-TModelo[[#This Row],[Inflow]]</f>
        <v>0</v>
      </c>
      <c r="R103" s="24">
        <f>TModelo[[#This Row],[Act]]*IF(TModelo[[#This Row],[Rebal]]=1,PesoCDT*(X102+Y102+Z102),X102)</f>
        <v>0</v>
      </c>
      <c r="S103" s="24">
        <f>TModelo[[#This Row],[Act]]*IF(TModelo[[#This Row],[Rebal]]=1,PesoCOLCAP*(X102+Y102+Z102),Y102)</f>
        <v>0</v>
      </c>
      <c r="T103" s="24">
        <f>TModelo[[#This Row],[Act]]*IF(TModelo[[#This Row],[Rebal]]=1,PesoUSD*(X102+Y102+Z102),Z102)</f>
        <v>0</v>
      </c>
      <c r="U103" s="24">
        <f>TModelo[[#This Row],[IniCDT]]*TModelo[[#This Row],[RetCDT]]</f>
        <v>0</v>
      </c>
      <c r="V103" s="24">
        <f>TModelo[[#This Row],[IniCOLCAP]]*TModelo[[#This Row],[RetCOLCAP]]</f>
        <v>0</v>
      </c>
      <c r="W103" s="24">
        <f>TModelo[[#This Row],[IniUSD]]*TModelo[[#This Row],[RetUSD]]</f>
        <v>0</v>
      </c>
      <c r="X103" s="24">
        <f>TModelo[[#This Row],[Act]]*(TModelo[[#This Row],[IniCDT]]+TModelo[[#This Row],[IntCDT]]+PesoCDT*TModelo[[#This Row],[Outflow]])</f>
        <v>0</v>
      </c>
      <c r="Y103" s="24">
        <f>TModelo[[#This Row],[Act]]*(TModelo[[#This Row],[IniCOLCAP]]+TModelo[[#This Row],[IntCOLCAP]]+PesoCOLCAP*TModelo[[#This Row],[Outflow]])</f>
        <v>0</v>
      </c>
      <c r="Z103" s="24">
        <f>TModelo[[#This Row],[Act]]*(TModelo[[#This Row],[IniUSD]]+TModelo[[#This Row],[IntUSD]]+PesoUSD*TModelo[[#This Row],[Outflow]])</f>
        <v>0</v>
      </c>
      <c r="AA103" s="24">
        <f>TModelo[[#This Row],[BalCDT]]+TModelo[[#This Row],[BalCOLCAP]]+TModelo[[#This Row],[BalUSD]]</f>
        <v>0</v>
      </c>
      <c r="AB103" s="24">
        <f>IF(TModelo[[#This Row],[CumInfl]]&gt;0,TModelo[[#This Row],[TotalPreLiq]]/TModelo[[#This Row],[CumInfl]],0)</f>
        <v>0</v>
      </c>
      <c r="AC103" s="41">
        <f>(1+PerRate)^(-TModelo[[#This Row],[Period]])</f>
        <v>0.55308362058180305</v>
      </c>
      <c r="AD103" s="42">
        <f>TModelo[[#This Row],[NetCF]]*TModelo[[#This Row],[fd]]</f>
        <v>0</v>
      </c>
    </row>
    <row r="104" spans="2:30" ht="16.95" customHeight="1">
      <c r="B104" s="11">
        <v>77</v>
      </c>
      <c r="C104" s="25">
        <f>EDATE(FechaInicio,TModelo[[#This Row],[Period]])</f>
        <v>48638</v>
      </c>
      <c r="D104" s="11">
        <f>IF(AND(TModelo[[#This Row],[Period]]&gt;=1,TModelo[[#This Row],[Period]]&lt;=HorizonteMeses),1,0)</f>
        <v>0</v>
      </c>
      <c r="E104" s="40">
        <f>TModelo[[#This Row],[Act]]*(INFb+(INFpi0-INFb)*(1-INFa)^TModelo[[#This Row],[Period]])</f>
        <v>0</v>
      </c>
      <c r="F104" s="28">
        <f>IF(TModelo[[#This Row],[Period]]&lt;=HorizonteMeses,F103*(1+TModelo[[#This Row],[InflMes]]),0)</f>
        <v>0</v>
      </c>
      <c r="G104" s="21">
        <f>TModelo[[#This Row],[Act]]*(CDTb+(CDTx0-CDTb)*(1-CDTa)^TModelo[[#This Row],[Period]]+CDTspread)</f>
        <v>0</v>
      </c>
      <c r="H104" s="40">
        <f>TModelo[[#This Row],[Act]]*((1+TModelo[[#This Row],[TasaCDT]])^(1/12)-1)*(1-Retencion)</f>
        <v>0</v>
      </c>
      <c r="I104" s="40">
        <f>TModelo[[#This Row],[Act]]*(EXP(MuCOLCAP+SigmaCOLCAP^2/2)-1)</f>
        <v>0</v>
      </c>
      <c r="J104" s="40">
        <f>TModelo[[#This Row],[Act]]*(EXP(MuTRM+SigmaTRM^2/2)-1)</f>
        <v>0</v>
      </c>
      <c r="K104" s="11">
        <f>TModelo[[#This Row],[Act]]*IF(Rebalanceo="Mensual",1,IF(Rebalanceo="Anual",IF(MOD(TModelo[[#This Row],[Period]]-1,12)=0,1,0),0))</f>
        <v>0</v>
      </c>
      <c r="L104" s="24">
        <f>TModelo[[#This Row],[Act]]*AporteMensual*IF(CrecimientoAporte="Con IPC",F103,1)</f>
        <v>0</v>
      </c>
      <c r="M104" s="24">
        <f>IF(TModelo[[#This Row],[Period]]=HorizonteMeses,TModelo[[#This Row],[TotalPreLiq]],0)</f>
        <v>0</v>
      </c>
      <c r="N104" s="24">
        <f>TModelo[[#This Row],[Inflow]]-TModelo[[#This Row],[Outflow]]</f>
        <v>0</v>
      </c>
      <c r="O104" s="24">
        <f t="shared" si="1"/>
        <v>0</v>
      </c>
      <c r="P104" s="24">
        <f>TModelo[[#This Row],[IntCDT]]+TModelo[[#This Row],[IntCOLCAP]]+TModelo[[#This Row],[IntUSD]]</f>
        <v>0</v>
      </c>
      <c r="Q104" s="24">
        <f>TModelo[[#This Row],[InitialBalance]]+TModelo[[#This Row],[Interest]]+TModelo[[#This Row],[Outflow]]-TModelo[[#This Row],[Inflow]]</f>
        <v>0</v>
      </c>
      <c r="R104" s="24">
        <f>TModelo[[#This Row],[Act]]*IF(TModelo[[#This Row],[Rebal]]=1,PesoCDT*(X103+Y103+Z103),X103)</f>
        <v>0</v>
      </c>
      <c r="S104" s="24">
        <f>TModelo[[#This Row],[Act]]*IF(TModelo[[#This Row],[Rebal]]=1,PesoCOLCAP*(X103+Y103+Z103),Y103)</f>
        <v>0</v>
      </c>
      <c r="T104" s="24">
        <f>TModelo[[#This Row],[Act]]*IF(TModelo[[#This Row],[Rebal]]=1,PesoUSD*(X103+Y103+Z103),Z103)</f>
        <v>0</v>
      </c>
      <c r="U104" s="24">
        <f>TModelo[[#This Row],[IniCDT]]*TModelo[[#This Row],[RetCDT]]</f>
        <v>0</v>
      </c>
      <c r="V104" s="24">
        <f>TModelo[[#This Row],[IniCOLCAP]]*TModelo[[#This Row],[RetCOLCAP]]</f>
        <v>0</v>
      </c>
      <c r="W104" s="24">
        <f>TModelo[[#This Row],[IniUSD]]*TModelo[[#This Row],[RetUSD]]</f>
        <v>0</v>
      </c>
      <c r="X104" s="24">
        <f>TModelo[[#This Row],[Act]]*(TModelo[[#This Row],[IniCDT]]+TModelo[[#This Row],[IntCDT]]+PesoCDT*TModelo[[#This Row],[Outflow]])</f>
        <v>0</v>
      </c>
      <c r="Y104" s="24">
        <f>TModelo[[#This Row],[Act]]*(TModelo[[#This Row],[IniCOLCAP]]+TModelo[[#This Row],[IntCOLCAP]]+PesoCOLCAP*TModelo[[#This Row],[Outflow]])</f>
        <v>0</v>
      </c>
      <c r="Z104" s="24">
        <f>TModelo[[#This Row],[Act]]*(TModelo[[#This Row],[IniUSD]]+TModelo[[#This Row],[IntUSD]]+PesoUSD*TModelo[[#This Row],[Outflow]])</f>
        <v>0</v>
      </c>
      <c r="AA104" s="24">
        <f>TModelo[[#This Row],[BalCDT]]+TModelo[[#This Row],[BalCOLCAP]]+TModelo[[#This Row],[BalUSD]]</f>
        <v>0</v>
      </c>
      <c r="AB104" s="24">
        <f>IF(TModelo[[#This Row],[CumInfl]]&gt;0,TModelo[[#This Row],[TotalPreLiq]]/TModelo[[#This Row],[CumInfl]],0)</f>
        <v>0</v>
      </c>
      <c r="AC104" s="41">
        <f>(1+PerRate)^(-TModelo[[#This Row],[Period]])</f>
        <v>0.54879034931320447</v>
      </c>
      <c r="AD104" s="42">
        <f>TModelo[[#This Row],[NetCF]]*TModelo[[#This Row],[fd]]</f>
        <v>0</v>
      </c>
    </row>
    <row r="105" spans="2:30" ht="16.95" customHeight="1">
      <c r="B105" s="11">
        <v>78</v>
      </c>
      <c r="C105" s="25">
        <f>EDATE(FechaInicio,TModelo[[#This Row],[Period]])</f>
        <v>48667</v>
      </c>
      <c r="D105" s="11">
        <f>IF(AND(TModelo[[#This Row],[Period]]&gt;=1,TModelo[[#This Row],[Period]]&lt;=HorizonteMeses),1,0)</f>
        <v>0</v>
      </c>
      <c r="E105" s="40">
        <f>TModelo[[#This Row],[Act]]*(INFb+(INFpi0-INFb)*(1-INFa)^TModelo[[#This Row],[Period]])</f>
        <v>0</v>
      </c>
      <c r="F105" s="28">
        <f>IF(TModelo[[#This Row],[Period]]&lt;=HorizonteMeses,F104*(1+TModelo[[#This Row],[InflMes]]),0)</f>
        <v>0</v>
      </c>
      <c r="G105" s="21">
        <f>TModelo[[#This Row],[Act]]*(CDTb+(CDTx0-CDTb)*(1-CDTa)^TModelo[[#This Row],[Period]]+CDTspread)</f>
        <v>0</v>
      </c>
      <c r="H105" s="40">
        <f>TModelo[[#This Row],[Act]]*((1+TModelo[[#This Row],[TasaCDT]])^(1/12)-1)*(1-Retencion)</f>
        <v>0</v>
      </c>
      <c r="I105" s="40">
        <f>TModelo[[#This Row],[Act]]*(EXP(MuCOLCAP+SigmaCOLCAP^2/2)-1)</f>
        <v>0</v>
      </c>
      <c r="J105" s="40">
        <f>TModelo[[#This Row],[Act]]*(EXP(MuTRM+SigmaTRM^2/2)-1)</f>
        <v>0</v>
      </c>
      <c r="K105" s="11">
        <f>TModelo[[#This Row],[Act]]*IF(Rebalanceo="Mensual",1,IF(Rebalanceo="Anual",IF(MOD(TModelo[[#This Row],[Period]]-1,12)=0,1,0),0))</f>
        <v>0</v>
      </c>
      <c r="L105" s="24">
        <f>TModelo[[#This Row],[Act]]*AporteMensual*IF(CrecimientoAporte="Con IPC",F104,1)</f>
        <v>0</v>
      </c>
      <c r="M105" s="24">
        <f>IF(TModelo[[#This Row],[Period]]=HorizonteMeses,TModelo[[#This Row],[TotalPreLiq]],0)</f>
        <v>0</v>
      </c>
      <c r="N105" s="24">
        <f>TModelo[[#This Row],[Inflow]]-TModelo[[#This Row],[Outflow]]</f>
        <v>0</v>
      </c>
      <c r="O105" s="24">
        <f t="shared" si="1"/>
        <v>0</v>
      </c>
      <c r="P105" s="24">
        <f>TModelo[[#This Row],[IntCDT]]+TModelo[[#This Row],[IntCOLCAP]]+TModelo[[#This Row],[IntUSD]]</f>
        <v>0</v>
      </c>
      <c r="Q105" s="24">
        <f>TModelo[[#This Row],[InitialBalance]]+TModelo[[#This Row],[Interest]]+TModelo[[#This Row],[Outflow]]-TModelo[[#This Row],[Inflow]]</f>
        <v>0</v>
      </c>
      <c r="R105" s="24">
        <f>TModelo[[#This Row],[Act]]*IF(TModelo[[#This Row],[Rebal]]=1,PesoCDT*(X104+Y104+Z104),X104)</f>
        <v>0</v>
      </c>
      <c r="S105" s="24">
        <f>TModelo[[#This Row],[Act]]*IF(TModelo[[#This Row],[Rebal]]=1,PesoCOLCAP*(X104+Y104+Z104),Y104)</f>
        <v>0</v>
      </c>
      <c r="T105" s="24">
        <f>TModelo[[#This Row],[Act]]*IF(TModelo[[#This Row],[Rebal]]=1,PesoUSD*(X104+Y104+Z104),Z104)</f>
        <v>0</v>
      </c>
      <c r="U105" s="24">
        <f>TModelo[[#This Row],[IniCDT]]*TModelo[[#This Row],[RetCDT]]</f>
        <v>0</v>
      </c>
      <c r="V105" s="24">
        <f>TModelo[[#This Row],[IniCOLCAP]]*TModelo[[#This Row],[RetCOLCAP]]</f>
        <v>0</v>
      </c>
      <c r="W105" s="24">
        <f>TModelo[[#This Row],[IniUSD]]*TModelo[[#This Row],[RetUSD]]</f>
        <v>0</v>
      </c>
      <c r="X105" s="24">
        <f>TModelo[[#This Row],[Act]]*(TModelo[[#This Row],[IniCDT]]+TModelo[[#This Row],[IntCDT]]+PesoCDT*TModelo[[#This Row],[Outflow]])</f>
        <v>0</v>
      </c>
      <c r="Y105" s="24">
        <f>TModelo[[#This Row],[Act]]*(TModelo[[#This Row],[IniCOLCAP]]+TModelo[[#This Row],[IntCOLCAP]]+PesoCOLCAP*TModelo[[#This Row],[Outflow]])</f>
        <v>0</v>
      </c>
      <c r="Z105" s="24">
        <f>TModelo[[#This Row],[Act]]*(TModelo[[#This Row],[IniUSD]]+TModelo[[#This Row],[IntUSD]]+PesoUSD*TModelo[[#This Row],[Outflow]])</f>
        <v>0</v>
      </c>
      <c r="AA105" s="24">
        <f>TModelo[[#This Row],[BalCDT]]+TModelo[[#This Row],[BalCOLCAP]]+TModelo[[#This Row],[BalUSD]]</f>
        <v>0</v>
      </c>
      <c r="AB105" s="24">
        <f>IF(TModelo[[#This Row],[CumInfl]]&gt;0,TModelo[[#This Row],[TotalPreLiq]]/TModelo[[#This Row],[CumInfl]],0)</f>
        <v>0</v>
      </c>
      <c r="AC105" s="41">
        <f>(1+PerRate)^(-TModelo[[#This Row],[Period]])</f>
        <v>0.54453040424972199</v>
      </c>
      <c r="AD105" s="42">
        <f>TModelo[[#This Row],[NetCF]]*TModelo[[#This Row],[fd]]</f>
        <v>0</v>
      </c>
    </row>
    <row r="106" spans="2:30" ht="16.95" customHeight="1">
      <c r="B106" s="11">
        <v>79</v>
      </c>
      <c r="C106" s="25">
        <f>EDATE(FechaInicio,TModelo[[#This Row],[Period]])</f>
        <v>48698</v>
      </c>
      <c r="D106" s="11">
        <f>IF(AND(TModelo[[#This Row],[Period]]&gt;=1,TModelo[[#This Row],[Period]]&lt;=HorizonteMeses),1,0)</f>
        <v>0</v>
      </c>
      <c r="E106" s="40">
        <f>TModelo[[#This Row],[Act]]*(INFb+(INFpi0-INFb)*(1-INFa)^TModelo[[#This Row],[Period]])</f>
        <v>0</v>
      </c>
      <c r="F106" s="28">
        <f>IF(TModelo[[#This Row],[Period]]&lt;=HorizonteMeses,F105*(1+TModelo[[#This Row],[InflMes]]),0)</f>
        <v>0</v>
      </c>
      <c r="G106" s="21">
        <f>TModelo[[#This Row],[Act]]*(CDTb+(CDTx0-CDTb)*(1-CDTa)^TModelo[[#This Row],[Period]]+CDTspread)</f>
        <v>0</v>
      </c>
      <c r="H106" s="40">
        <f>TModelo[[#This Row],[Act]]*((1+TModelo[[#This Row],[TasaCDT]])^(1/12)-1)*(1-Retencion)</f>
        <v>0</v>
      </c>
      <c r="I106" s="40">
        <f>TModelo[[#This Row],[Act]]*(EXP(MuCOLCAP+SigmaCOLCAP^2/2)-1)</f>
        <v>0</v>
      </c>
      <c r="J106" s="40">
        <f>TModelo[[#This Row],[Act]]*(EXP(MuTRM+SigmaTRM^2/2)-1)</f>
        <v>0</v>
      </c>
      <c r="K106" s="11">
        <f>TModelo[[#This Row],[Act]]*IF(Rebalanceo="Mensual",1,IF(Rebalanceo="Anual",IF(MOD(TModelo[[#This Row],[Period]]-1,12)=0,1,0),0))</f>
        <v>0</v>
      </c>
      <c r="L106" s="24">
        <f>TModelo[[#This Row],[Act]]*AporteMensual*IF(CrecimientoAporte="Con IPC",F105,1)</f>
        <v>0</v>
      </c>
      <c r="M106" s="24">
        <f>IF(TModelo[[#This Row],[Period]]=HorizonteMeses,TModelo[[#This Row],[TotalPreLiq]],0)</f>
        <v>0</v>
      </c>
      <c r="N106" s="24">
        <f>TModelo[[#This Row],[Inflow]]-TModelo[[#This Row],[Outflow]]</f>
        <v>0</v>
      </c>
      <c r="O106" s="24">
        <f t="shared" si="1"/>
        <v>0</v>
      </c>
      <c r="P106" s="24">
        <f>TModelo[[#This Row],[IntCDT]]+TModelo[[#This Row],[IntCOLCAP]]+TModelo[[#This Row],[IntUSD]]</f>
        <v>0</v>
      </c>
      <c r="Q106" s="24">
        <f>TModelo[[#This Row],[InitialBalance]]+TModelo[[#This Row],[Interest]]+TModelo[[#This Row],[Outflow]]-TModelo[[#This Row],[Inflow]]</f>
        <v>0</v>
      </c>
      <c r="R106" s="24">
        <f>TModelo[[#This Row],[Act]]*IF(TModelo[[#This Row],[Rebal]]=1,PesoCDT*(X105+Y105+Z105),X105)</f>
        <v>0</v>
      </c>
      <c r="S106" s="24">
        <f>TModelo[[#This Row],[Act]]*IF(TModelo[[#This Row],[Rebal]]=1,PesoCOLCAP*(X105+Y105+Z105),Y105)</f>
        <v>0</v>
      </c>
      <c r="T106" s="24">
        <f>TModelo[[#This Row],[Act]]*IF(TModelo[[#This Row],[Rebal]]=1,PesoUSD*(X105+Y105+Z105),Z105)</f>
        <v>0</v>
      </c>
      <c r="U106" s="24">
        <f>TModelo[[#This Row],[IniCDT]]*TModelo[[#This Row],[RetCDT]]</f>
        <v>0</v>
      </c>
      <c r="V106" s="24">
        <f>TModelo[[#This Row],[IniCOLCAP]]*TModelo[[#This Row],[RetCOLCAP]]</f>
        <v>0</v>
      </c>
      <c r="W106" s="24">
        <f>TModelo[[#This Row],[IniUSD]]*TModelo[[#This Row],[RetUSD]]</f>
        <v>0</v>
      </c>
      <c r="X106" s="24">
        <f>TModelo[[#This Row],[Act]]*(TModelo[[#This Row],[IniCDT]]+TModelo[[#This Row],[IntCDT]]+PesoCDT*TModelo[[#This Row],[Outflow]])</f>
        <v>0</v>
      </c>
      <c r="Y106" s="24">
        <f>TModelo[[#This Row],[Act]]*(TModelo[[#This Row],[IniCOLCAP]]+TModelo[[#This Row],[IntCOLCAP]]+PesoCOLCAP*TModelo[[#This Row],[Outflow]])</f>
        <v>0</v>
      </c>
      <c r="Z106" s="24">
        <f>TModelo[[#This Row],[Act]]*(TModelo[[#This Row],[IniUSD]]+TModelo[[#This Row],[IntUSD]]+PesoUSD*TModelo[[#This Row],[Outflow]])</f>
        <v>0</v>
      </c>
      <c r="AA106" s="24">
        <f>TModelo[[#This Row],[BalCDT]]+TModelo[[#This Row],[BalCOLCAP]]+TModelo[[#This Row],[BalUSD]]</f>
        <v>0</v>
      </c>
      <c r="AB106" s="24">
        <f>IF(TModelo[[#This Row],[CumInfl]]&gt;0,TModelo[[#This Row],[TotalPreLiq]]/TModelo[[#This Row],[CumInfl]],0)</f>
        <v>0</v>
      </c>
      <c r="AC106" s="41">
        <f>(1+PerRate)^(-TModelo[[#This Row],[Period]])</f>
        <v>0.54030352669911852</v>
      </c>
      <c r="AD106" s="42">
        <f>TModelo[[#This Row],[NetCF]]*TModelo[[#This Row],[fd]]</f>
        <v>0</v>
      </c>
    </row>
    <row r="107" spans="2:30" ht="16.95" customHeight="1">
      <c r="B107" s="11">
        <v>80</v>
      </c>
      <c r="C107" s="25">
        <f>EDATE(FechaInicio,TModelo[[#This Row],[Period]])</f>
        <v>48728</v>
      </c>
      <c r="D107" s="11">
        <f>IF(AND(TModelo[[#This Row],[Period]]&gt;=1,TModelo[[#This Row],[Period]]&lt;=HorizonteMeses),1,0)</f>
        <v>0</v>
      </c>
      <c r="E107" s="40">
        <f>TModelo[[#This Row],[Act]]*(INFb+(INFpi0-INFb)*(1-INFa)^TModelo[[#This Row],[Period]])</f>
        <v>0</v>
      </c>
      <c r="F107" s="28">
        <f>IF(TModelo[[#This Row],[Period]]&lt;=HorizonteMeses,F106*(1+TModelo[[#This Row],[InflMes]]),0)</f>
        <v>0</v>
      </c>
      <c r="G107" s="21">
        <f>TModelo[[#This Row],[Act]]*(CDTb+(CDTx0-CDTb)*(1-CDTa)^TModelo[[#This Row],[Period]]+CDTspread)</f>
        <v>0</v>
      </c>
      <c r="H107" s="40">
        <f>TModelo[[#This Row],[Act]]*((1+TModelo[[#This Row],[TasaCDT]])^(1/12)-1)*(1-Retencion)</f>
        <v>0</v>
      </c>
      <c r="I107" s="40">
        <f>TModelo[[#This Row],[Act]]*(EXP(MuCOLCAP+SigmaCOLCAP^2/2)-1)</f>
        <v>0</v>
      </c>
      <c r="J107" s="40">
        <f>TModelo[[#This Row],[Act]]*(EXP(MuTRM+SigmaTRM^2/2)-1)</f>
        <v>0</v>
      </c>
      <c r="K107" s="11">
        <f>TModelo[[#This Row],[Act]]*IF(Rebalanceo="Mensual",1,IF(Rebalanceo="Anual",IF(MOD(TModelo[[#This Row],[Period]]-1,12)=0,1,0),0))</f>
        <v>0</v>
      </c>
      <c r="L107" s="24">
        <f>TModelo[[#This Row],[Act]]*AporteMensual*IF(CrecimientoAporte="Con IPC",F106,1)</f>
        <v>0</v>
      </c>
      <c r="M107" s="24">
        <f>IF(TModelo[[#This Row],[Period]]=HorizonteMeses,TModelo[[#This Row],[TotalPreLiq]],0)</f>
        <v>0</v>
      </c>
      <c r="N107" s="24">
        <f>TModelo[[#This Row],[Inflow]]-TModelo[[#This Row],[Outflow]]</f>
        <v>0</v>
      </c>
      <c r="O107" s="24">
        <f t="shared" si="1"/>
        <v>0</v>
      </c>
      <c r="P107" s="24">
        <f>TModelo[[#This Row],[IntCDT]]+TModelo[[#This Row],[IntCOLCAP]]+TModelo[[#This Row],[IntUSD]]</f>
        <v>0</v>
      </c>
      <c r="Q107" s="24">
        <f>TModelo[[#This Row],[InitialBalance]]+TModelo[[#This Row],[Interest]]+TModelo[[#This Row],[Outflow]]-TModelo[[#This Row],[Inflow]]</f>
        <v>0</v>
      </c>
      <c r="R107" s="24">
        <f>TModelo[[#This Row],[Act]]*IF(TModelo[[#This Row],[Rebal]]=1,PesoCDT*(X106+Y106+Z106),X106)</f>
        <v>0</v>
      </c>
      <c r="S107" s="24">
        <f>TModelo[[#This Row],[Act]]*IF(TModelo[[#This Row],[Rebal]]=1,PesoCOLCAP*(X106+Y106+Z106),Y106)</f>
        <v>0</v>
      </c>
      <c r="T107" s="24">
        <f>TModelo[[#This Row],[Act]]*IF(TModelo[[#This Row],[Rebal]]=1,PesoUSD*(X106+Y106+Z106),Z106)</f>
        <v>0</v>
      </c>
      <c r="U107" s="24">
        <f>TModelo[[#This Row],[IniCDT]]*TModelo[[#This Row],[RetCDT]]</f>
        <v>0</v>
      </c>
      <c r="V107" s="24">
        <f>TModelo[[#This Row],[IniCOLCAP]]*TModelo[[#This Row],[RetCOLCAP]]</f>
        <v>0</v>
      </c>
      <c r="W107" s="24">
        <f>TModelo[[#This Row],[IniUSD]]*TModelo[[#This Row],[RetUSD]]</f>
        <v>0</v>
      </c>
      <c r="X107" s="24">
        <f>TModelo[[#This Row],[Act]]*(TModelo[[#This Row],[IniCDT]]+TModelo[[#This Row],[IntCDT]]+PesoCDT*TModelo[[#This Row],[Outflow]])</f>
        <v>0</v>
      </c>
      <c r="Y107" s="24">
        <f>TModelo[[#This Row],[Act]]*(TModelo[[#This Row],[IniCOLCAP]]+TModelo[[#This Row],[IntCOLCAP]]+PesoCOLCAP*TModelo[[#This Row],[Outflow]])</f>
        <v>0</v>
      </c>
      <c r="Z107" s="24">
        <f>TModelo[[#This Row],[Act]]*(TModelo[[#This Row],[IniUSD]]+TModelo[[#This Row],[IntUSD]]+PesoUSD*TModelo[[#This Row],[Outflow]])</f>
        <v>0</v>
      </c>
      <c r="AA107" s="24">
        <f>TModelo[[#This Row],[BalCDT]]+TModelo[[#This Row],[BalCOLCAP]]+TModelo[[#This Row],[BalUSD]]</f>
        <v>0</v>
      </c>
      <c r="AB107" s="24">
        <f>IF(TModelo[[#This Row],[CumInfl]]&gt;0,TModelo[[#This Row],[TotalPreLiq]]/TModelo[[#This Row],[CumInfl]],0)</f>
        <v>0</v>
      </c>
      <c r="AC107" s="41">
        <f>(1+PerRate)^(-TModelo[[#This Row],[Period]])</f>
        <v>0.53610945997723725</v>
      </c>
      <c r="AD107" s="42">
        <f>TModelo[[#This Row],[NetCF]]*TModelo[[#This Row],[fd]]</f>
        <v>0</v>
      </c>
    </row>
    <row r="108" spans="2:30" ht="16.95" customHeight="1">
      <c r="B108" s="11">
        <v>81</v>
      </c>
      <c r="C108" s="25">
        <f>EDATE(FechaInicio,TModelo[[#This Row],[Period]])</f>
        <v>48759</v>
      </c>
      <c r="D108" s="11">
        <f>IF(AND(TModelo[[#This Row],[Period]]&gt;=1,TModelo[[#This Row],[Period]]&lt;=HorizonteMeses),1,0)</f>
        <v>0</v>
      </c>
      <c r="E108" s="40">
        <f>TModelo[[#This Row],[Act]]*(INFb+(INFpi0-INFb)*(1-INFa)^TModelo[[#This Row],[Period]])</f>
        <v>0</v>
      </c>
      <c r="F108" s="28">
        <f>IF(TModelo[[#This Row],[Period]]&lt;=HorizonteMeses,F107*(1+TModelo[[#This Row],[InflMes]]),0)</f>
        <v>0</v>
      </c>
      <c r="G108" s="21">
        <f>TModelo[[#This Row],[Act]]*(CDTb+(CDTx0-CDTb)*(1-CDTa)^TModelo[[#This Row],[Period]]+CDTspread)</f>
        <v>0</v>
      </c>
      <c r="H108" s="40">
        <f>TModelo[[#This Row],[Act]]*((1+TModelo[[#This Row],[TasaCDT]])^(1/12)-1)*(1-Retencion)</f>
        <v>0</v>
      </c>
      <c r="I108" s="40">
        <f>TModelo[[#This Row],[Act]]*(EXP(MuCOLCAP+SigmaCOLCAP^2/2)-1)</f>
        <v>0</v>
      </c>
      <c r="J108" s="40">
        <f>TModelo[[#This Row],[Act]]*(EXP(MuTRM+SigmaTRM^2/2)-1)</f>
        <v>0</v>
      </c>
      <c r="K108" s="11">
        <f>TModelo[[#This Row],[Act]]*IF(Rebalanceo="Mensual",1,IF(Rebalanceo="Anual",IF(MOD(TModelo[[#This Row],[Period]]-1,12)=0,1,0),0))</f>
        <v>0</v>
      </c>
      <c r="L108" s="24">
        <f>TModelo[[#This Row],[Act]]*AporteMensual*IF(CrecimientoAporte="Con IPC",F107,1)</f>
        <v>0</v>
      </c>
      <c r="M108" s="24">
        <f>IF(TModelo[[#This Row],[Period]]=HorizonteMeses,TModelo[[#This Row],[TotalPreLiq]],0)</f>
        <v>0</v>
      </c>
      <c r="N108" s="24">
        <f>TModelo[[#This Row],[Inflow]]-TModelo[[#This Row],[Outflow]]</f>
        <v>0</v>
      </c>
      <c r="O108" s="24">
        <f t="shared" si="1"/>
        <v>0</v>
      </c>
      <c r="P108" s="24">
        <f>TModelo[[#This Row],[IntCDT]]+TModelo[[#This Row],[IntCOLCAP]]+TModelo[[#This Row],[IntUSD]]</f>
        <v>0</v>
      </c>
      <c r="Q108" s="24">
        <f>TModelo[[#This Row],[InitialBalance]]+TModelo[[#This Row],[Interest]]+TModelo[[#This Row],[Outflow]]-TModelo[[#This Row],[Inflow]]</f>
        <v>0</v>
      </c>
      <c r="R108" s="24">
        <f>TModelo[[#This Row],[Act]]*IF(TModelo[[#This Row],[Rebal]]=1,PesoCDT*(X107+Y107+Z107),X107)</f>
        <v>0</v>
      </c>
      <c r="S108" s="24">
        <f>TModelo[[#This Row],[Act]]*IF(TModelo[[#This Row],[Rebal]]=1,PesoCOLCAP*(X107+Y107+Z107),Y107)</f>
        <v>0</v>
      </c>
      <c r="T108" s="24">
        <f>TModelo[[#This Row],[Act]]*IF(TModelo[[#This Row],[Rebal]]=1,PesoUSD*(X107+Y107+Z107),Z107)</f>
        <v>0</v>
      </c>
      <c r="U108" s="24">
        <f>TModelo[[#This Row],[IniCDT]]*TModelo[[#This Row],[RetCDT]]</f>
        <v>0</v>
      </c>
      <c r="V108" s="24">
        <f>TModelo[[#This Row],[IniCOLCAP]]*TModelo[[#This Row],[RetCOLCAP]]</f>
        <v>0</v>
      </c>
      <c r="W108" s="24">
        <f>TModelo[[#This Row],[IniUSD]]*TModelo[[#This Row],[RetUSD]]</f>
        <v>0</v>
      </c>
      <c r="X108" s="24">
        <f>TModelo[[#This Row],[Act]]*(TModelo[[#This Row],[IniCDT]]+TModelo[[#This Row],[IntCDT]]+PesoCDT*TModelo[[#This Row],[Outflow]])</f>
        <v>0</v>
      </c>
      <c r="Y108" s="24">
        <f>TModelo[[#This Row],[Act]]*(TModelo[[#This Row],[IniCOLCAP]]+TModelo[[#This Row],[IntCOLCAP]]+PesoCOLCAP*TModelo[[#This Row],[Outflow]])</f>
        <v>0</v>
      </c>
      <c r="Z108" s="24">
        <f>TModelo[[#This Row],[Act]]*(TModelo[[#This Row],[IniUSD]]+TModelo[[#This Row],[IntUSD]]+PesoUSD*TModelo[[#This Row],[Outflow]])</f>
        <v>0</v>
      </c>
      <c r="AA108" s="24">
        <f>TModelo[[#This Row],[BalCDT]]+TModelo[[#This Row],[BalCOLCAP]]+TModelo[[#This Row],[BalUSD]]</f>
        <v>0</v>
      </c>
      <c r="AB108" s="24">
        <f>IF(TModelo[[#This Row],[CumInfl]]&gt;0,TModelo[[#This Row],[TotalPreLiq]]/TModelo[[#This Row],[CumInfl]],0)</f>
        <v>0</v>
      </c>
      <c r="AC108" s="41">
        <f>(1+PerRate)^(-TModelo[[#This Row],[Period]])</f>
        <v>0.53194794939241286</v>
      </c>
      <c r="AD108" s="42">
        <f>TModelo[[#This Row],[NetCF]]*TModelo[[#This Row],[fd]]</f>
        <v>0</v>
      </c>
    </row>
    <row r="109" spans="2:30" ht="16.95" customHeight="1">
      <c r="B109" s="11">
        <v>82</v>
      </c>
      <c r="C109" s="25">
        <f>EDATE(FechaInicio,TModelo[[#This Row],[Period]])</f>
        <v>48789</v>
      </c>
      <c r="D109" s="11">
        <f>IF(AND(TModelo[[#This Row],[Period]]&gt;=1,TModelo[[#This Row],[Period]]&lt;=HorizonteMeses),1,0)</f>
        <v>0</v>
      </c>
      <c r="E109" s="40">
        <f>TModelo[[#This Row],[Act]]*(INFb+(INFpi0-INFb)*(1-INFa)^TModelo[[#This Row],[Period]])</f>
        <v>0</v>
      </c>
      <c r="F109" s="28">
        <f>IF(TModelo[[#This Row],[Period]]&lt;=HorizonteMeses,F108*(1+TModelo[[#This Row],[InflMes]]),0)</f>
        <v>0</v>
      </c>
      <c r="G109" s="21">
        <f>TModelo[[#This Row],[Act]]*(CDTb+(CDTx0-CDTb)*(1-CDTa)^TModelo[[#This Row],[Period]]+CDTspread)</f>
        <v>0</v>
      </c>
      <c r="H109" s="40">
        <f>TModelo[[#This Row],[Act]]*((1+TModelo[[#This Row],[TasaCDT]])^(1/12)-1)*(1-Retencion)</f>
        <v>0</v>
      </c>
      <c r="I109" s="40">
        <f>TModelo[[#This Row],[Act]]*(EXP(MuCOLCAP+SigmaCOLCAP^2/2)-1)</f>
        <v>0</v>
      </c>
      <c r="J109" s="40">
        <f>TModelo[[#This Row],[Act]]*(EXP(MuTRM+SigmaTRM^2/2)-1)</f>
        <v>0</v>
      </c>
      <c r="K109" s="11">
        <f>TModelo[[#This Row],[Act]]*IF(Rebalanceo="Mensual",1,IF(Rebalanceo="Anual",IF(MOD(TModelo[[#This Row],[Period]]-1,12)=0,1,0),0))</f>
        <v>0</v>
      </c>
      <c r="L109" s="24">
        <f>TModelo[[#This Row],[Act]]*AporteMensual*IF(CrecimientoAporte="Con IPC",F108,1)</f>
        <v>0</v>
      </c>
      <c r="M109" s="24">
        <f>IF(TModelo[[#This Row],[Period]]=HorizonteMeses,TModelo[[#This Row],[TotalPreLiq]],0)</f>
        <v>0</v>
      </c>
      <c r="N109" s="24">
        <f>TModelo[[#This Row],[Inflow]]-TModelo[[#This Row],[Outflow]]</f>
        <v>0</v>
      </c>
      <c r="O109" s="24">
        <f t="shared" si="1"/>
        <v>0</v>
      </c>
      <c r="P109" s="24">
        <f>TModelo[[#This Row],[IntCDT]]+TModelo[[#This Row],[IntCOLCAP]]+TModelo[[#This Row],[IntUSD]]</f>
        <v>0</v>
      </c>
      <c r="Q109" s="24">
        <f>TModelo[[#This Row],[InitialBalance]]+TModelo[[#This Row],[Interest]]+TModelo[[#This Row],[Outflow]]-TModelo[[#This Row],[Inflow]]</f>
        <v>0</v>
      </c>
      <c r="R109" s="24">
        <f>TModelo[[#This Row],[Act]]*IF(TModelo[[#This Row],[Rebal]]=1,PesoCDT*(X108+Y108+Z108),X108)</f>
        <v>0</v>
      </c>
      <c r="S109" s="24">
        <f>TModelo[[#This Row],[Act]]*IF(TModelo[[#This Row],[Rebal]]=1,PesoCOLCAP*(X108+Y108+Z108),Y108)</f>
        <v>0</v>
      </c>
      <c r="T109" s="24">
        <f>TModelo[[#This Row],[Act]]*IF(TModelo[[#This Row],[Rebal]]=1,PesoUSD*(X108+Y108+Z108),Z108)</f>
        <v>0</v>
      </c>
      <c r="U109" s="24">
        <f>TModelo[[#This Row],[IniCDT]]*TModelo[[#This Row],[RetCDT]]</f>
        <v>0</v>
      </c>
      <c r="V109" s="24">
        <f>TModelo[[#This Row],[IniCOLCAP]]*TModelo[[#This Row],[RetCOLCAP]]</f>
        <v>0</v>
      </c>
      <c r="W109" s="24">
        <f>TModelo[[#This Row],[IniUSD]]*TModelo[[#This Row],[RetUSD]]</f>
        <v>0</v>
      </c>
      <c r="X109" s="24">
        <f>TModelo[[#This Row],[Act]]*(TModelo[[#This Row],[IniCDT]]+TModelo[[#This Row],[IntCDT]]+PesoCDT*TModelo[[#This Row],[Outflow]])</f>
        <v>0</v>
      </c>
      <c r="Y109" s="24">
        <f>TModelo[[#This Row],[Act]]*(TModelo[[#This Row],[IniCOLCAP]]+TModelo[[#This Row],[IntCOLCAP]]+PesoCOLCAP*TModelo[[#This Row],[Outflow]])</f>
        <v>0</v>
      </c>
      <c r="Z109" s="24">
        <f>TModelo[[#This Row],[Act]]*(TModelo[[#This Row],[IniUSD]]+TModelo[[#This Row],[IntUSD]]+PesoUSD*TModelo[[#This Row],[Outflow]])</f>
        <v>0</v>
      </c>
      <c r="AA109" s="24">
        <f>TModelo[[#This Row],[BalCDT]]+TModelo[[#This Row],[BalCOLCAP]]+TModelo[[#This Row],[BalUSD]]</f>
        <v>0</v>
      </c>
      <c r="AB109" s="24">
        <f>IF(TModelo[[#This Row],[CumInfl]]&gt;0,TModelo[[#This Row],[TotalPreLiq]]/TModelo[[#This Row],[CumInfl]],0)</f>
        <v>0</v>
      </c>
      <c r="AC109" s="41">
        <f>(1+PerRate)^(-TModelo[[#This Row],[Period]])</f>
        <v>0.52781874223000602</v>
      </c>
      <c r="AD109" s="42">
        <f>TModelo[[#This Row],[NetCF]]*TModelo[[#This Row],[fd]]</f>
        <v>0</v>
      </c>
    </row>
    <row r="110" spans="2:30" ht="16.95" customHeight="1">
      <c r="B110" s="11">
        <v>83</v>
      </c>
      <c r="C110" s="25">
        <f>EDATE(FechaInicio,TModelo[[#This Row],[Period]])</f>
        <v>48820</v>
      </c>
      <c r="D110" s="11">
        <f>IF(AND(TModelo[[#This Row],[Period]]&gt;=1,TModelo[[#This Row],[Period]]&lt;=HorizonteMeses),1,0)</f>
        <v>0</v>
      </c>
      <c r="E110" s="40">
        <f>TModelo[[#This Row],[Act]]*(INFb+(INFpi0-INFb)*(1-INFa)^TModelo[[#This Row],[Period]])</f>
        <v>0</v>
      </c>
      <c r="F110" s="28">
        <f>IF(TModelo[[#This Row],[Period]]&lt;=HorizonteMeses,F109*(1+TModelo[[#This Row],[InflMes]]),0)</f>
        <v>0</v>
      </c>
      <c r="G110" s="21">
        <f>TModelo[[#This Row],[Act]]*(CDTb+(CDTx0-CDTb)*(1-CDTa)^TModelo[[#This Row],[Period]]+CDTspread)</f>
        <v>0</v>
      </c>
      <c r="H110" s="40">
        <f>TModelo[[#This Row],[Act]]*((1+TModelo[[#This Row],[TasaCDT]])^(1/12)-1)*(1-Retencion)</f>
        <v>0</v>
      </c>
      <c r="I110" s="40">
        <f>TModelo[[#This Row],[Act]]*(EXP(MuCOLCAP+SigmaCOLCAP^2/2)-1)</f>
        <v>0</v>
      </c>
      <c r="J110" s="40">
        <f>TModelo[[#This Row],[Act]]*(EXP(MuTRM+SigmaTRM^2/2)-1)</f>
        <v>0</v>
      </c>
      <c r="K110" s="11">
        <f>TModelo[[#This Row],[Act]]*IF(Rebalanceo="Mensual",1,IF(Rebalanceo="Anual",IF(MOD(TModelo[[#This Row],[Period]]-1,12)=0,1,0),0))</f>
        <v>0</v>
      </c>
      <c r="L110" s="24">
        <f>TModelo[[#This Row],[Act]]*AporteMensual*IF(CrecimientoAporte="Con IPC",F109,1)</f>
        <v>0</v>
      </c>
      <c r="M110" s="24">
        <f>IF(TModelo[[#This Row],[Period]]=HorizonteMeses,TModelo[[#This Row],[TotalPreLiq]],0)</f>
        <v>0</v>
      </c>
      <c r="N110" s="24">
        <f>TModelo[[#This Row],[Inflow]]-TModelo[[#This Row],[Outflow]]</f>
        <v>0</v>
      </c>
      <c r="O110" s="24">
        <f t="shared" si="1"/>
        <v>0</v>
      </c>
      <c r="P110" s="24">
        <f>TModelo[[#This Row],[IntCDT]]+TModelo[[#This Row],[IntCOLCAP]]+TModelo[[#This Row],[IntUSD]]</f>
        <v>0</v>
      </c>
      <c r="Q110" s="24">
        <f>TModelo[[#This Row],[InitialBalance]]+TModelo[[#This Row],[Interest]]+TModelo[[#This Row],[Outflow]]-TModelo[[#This Row],[Inflow]]</f>
        <v>0</v>
      </c>
      <c r="R110" s="24">
        <f>TModelo[[#This Row],[Act]]*IF(TModelo[[#This Row],[Rebal]]=1,PesoCDT*(X109+Y109+Z109),X109)</f>
        <v>0</v>
      </c>
      <c r="S110" s="24">
        <f>TModelo[[#This Row],[Act]]*IF(TModelo[[#This Row],[Rebal]]=1,PesoCOLCAP*(X109+Y109+Z109),Y109)</f>
        <v>0</v>
      </c>
      <c r="T110" s="24">
        <f>TModelo[[#This Row],[Act]]*IF(TModelo[[#This Row],[Rebal]]=1,PesoUSD*(X109+Y109+Z109),Z109)</f>
        <v>0</v>
      </c>
      <c r="U110" s="24">
        <f>TModelo[[#This Row],[IniCDT]]*TModelo[[#This Row],[RetCDT]]</f>
        <v>0</v>
      </c>
      <c r="V110" s="24">
        <f>TModelo[[#This Row],[IniCOLCAP]]*TModelo[[#This Row],[RetCOLCAP]]</f>
        <v>0</v>
      </c>
      <c r="W110" s="24">
        <f>TModelo[[#This Row],[IniUSD]]*TModelo[[#This Row],[RetUSD]]</f>
        <v>0</v>
      </c>
      <c r="X110" s="24">
        <f>TModelo[[#This Row],[Act]]*(TModelo[[#This Row],[IniCDT]]+TModelo[[#This Row],[IntCDT]]+PesoCDT*TModelo[[#This Row],[Outflow]])</f>
        <v>0</v>
      </c>
      <c r="Y110" s="24">
        <f>TModelo[[#This Row],[Act]]*(TModelo[[#This Row],[IniCOLCAP]]+TModelo[[#This Row],[IntCOLCAP]]+PesoCOLCAP*TModelo[[#This Row],[Outflow]])</f>
        <v>0</v>
      </c>
      <c r="Z110" s="24">
        <f>TModelo[[#This Row],[Act]]*(TModelo[[#This Row],[IniUSD]]+TModelo[[#This Row],[IntUSD]]+PesoUSD*TModelo[[#This Row],[Outflow]])</f>
        <v>0</v>
      </c>
      <c r="AA110" s="24">
        <f>TModelo[[#This Row],[BalCDT]]+TModelo[[#This Row],[BalCOLCAP]]+TModelo[[#This Row],[BalUSD]]</f>
        <v>0</v>
      </c>
      <c r="AB110" s="24">
        <f>IF(TModelo[[#This Row],[CumInfl]]&gt;0,TModelo[[#This Row],[TotalPreLiq]]/TModelo[[#This Row],[CumInfl]],0)</f>
        <v>0</v>
      </c>
      <c r="AC110" s="41">
        <f>(1+PerRate)^(-TModelo[[#This Row],[Period]])</f>
        <v>0.52372158773705579</v>
      </c>
      <c r="AD110" s="42">
        <f>TModelo[[#This Row],[NetCF]]*TModelo[[#This Row],[fd]]</f>
        <v>0</v>
      </c>
    </row>
    <row r="111" spans="2:30" ht="16.95" customHeight="1">
      <c r="B111" s="11">
        <v>84</v>
      </c>
      <c r="C111" s="25">
        <f>EDATE(FechaInicio,TModelo[[#This Row],[Period]])</f>
        <v>48851</v>
      </c>
      <c r="D111" s="11">
        <f>IF(AND(TModelo[[#This Row],[Period]]&gt;=1,TModelo[[#This Row],[Period]]&lt;=HorizonteMeses),1,0)</f>
        <v>0</v>
      </c>
      <c r="E111" s="40">
        <f>TModelo[[#This Row],[Act]]*(INFb+(INFpi0-INFb)*(1-INFa)^TModelo[[#This Row],[Period]])</f>
        <v>0</v>
      </c>
      <c r="F111" s="28">
        <f>IF(TModelo[[#This Row],[Period]]&lt;=HorizonteMeses,F110*(1+TModelo[[#This Row],[InflMes]]),0)</f>
        <v>0</v>
      </c>
      <c r="G111" s="21">
        <f>TModelo[[#This Row],[Act]]*(CDTb+(CDTx0-CDTb)*(1-CDTa)^TModelo[[#This Row],[Period]]+CDTspread)</f>
        <v>0</v>
      </c>
      <c r="H111" s="40">
        <f>TModelo[[#This Row],[Act]]*((1+TModelo[[#This Row],[TasaCDT]])^(1/12)-1)*(1-Retencion)</f>
        <v>0</v>
      </c>
      <c r="I111" s="40">
        <f>TModelo[[#This Row],[Act]]*(EXP(MuCOLCAP+SigmaCOLCAP^2/2)-1)</f>
        <v>0</v>
      </c>
      <c r="J111" s="40">
        <f>TModelo[[#This Row],[Act]]*(EXP(MuTRM+SigmaTRM^2/2)-1)</f>
        <v>0</v>
      </c>
      <c r="K111" s="11">
        <f>TModelo[[#This Row],[Act]]*IF(Rebalanceo="Mensual",1,IF(Rebalanceo="Anual",IF(MOD(TModelo[[#This Row],[Period]]-1,12)=0,1,0),0))</f>
        <v>0</v>
      </c>
      <c r="L111" s="24">
        <f>TModelo[[#This Row],[Act]]*AporteMensual*IF(CrecimientoAporte="Con IPC",F110,1)</f>
        <v>0</v>
      </c>
      <c r="M111" s="24">
        <f>IF(TModelo[[#This Row],[Period]]=HorizonteMeses,TModelo[[#This Row],[TotalPreLiq]],0)</f>
        <v>0</v>
      </c>
      <c r="N111" s="24">
        <f>TModelo[[#This Row],[Inflow]]-TModelo[[#This Row],[Outflow]]</f>
        <v>0</v>
      </c>
      <c r="O111" s="24">
        <f t="shared" si="1"/>
        <v>0</v>
      </c>
      <c r="P111" s="24">
        <f>TModelo[[#This Row],[IntCDT]]+TModelo[[#This Row],[IntCOLCAP]]+TModelo[[#This Row],[IntUSD]]</f>
        <v>0</v>
      </c>
      <c r="Q111" s="24">
        <f>TModelo[[#This Row],[InitialBalance]]+TModelo[[#This Row],[Interest]]+TModelo[[#This Row],[Outflow]]-TModelo[[#This Row],[Inflow]]</f>
        <v>0</v>
      </c>
      <c r="R111" s="24">
        <f>TModelo[[#This Row],[Act]]*IF(TModelo[[#This Row],[Rebal]]=1,PesoCDT*(X110+Y110+Z110),X110)</f>
        <v>0</v>
      </c>
      <c r="S111" s="24">
        <f>TModelo[[#This Row],[Act]]*IF(TModelo[[#This Row],[Rebal]]=1,PesoCOLCAP*(X110+Y110+Z110),Y110)</f>
        <v>0</v>
      </c>
      <c r="T111" s="24">
        <f>TModelo[[#This Row],[Act]]*IF(TModelo[[#This Row],[Rebal]]=1,PesoUSD*(X110+Y110+Z110),Z110)</f>
        <v>0</v>
      </c>
      <c r="U111" s="24">
        <f>TModelo[[#This Row],[IniCDT]]*TModelo[[#This Row],[RetCDT]]</f>
        <v>0</v>
      </c>
      <c r="V111" s="24">
        <f>TModelo[[#This Row],[IniCOLCAP]]*TModelo[[#This Row],[RetCOLCAP]]</f>
        <v>0</v>
      </c>
      <c r="W111" s="24">
        <f>TModelo[[#This Row],[IniUSD]]*TModelo[[#This Row],[RetUSD]]</f>
        <v>0</v>
      </c>
      <c r="X111" s="24">
        <f>TModelo[[#This Row],[Act]]*(TModelo[[#This Row],[IniCDT]]+TModelo[[#This Row],[IntCDT]]+PesoCDT*TModelo[[#This Row],[Outflow]])</f>
        <v>0</v>
      </c>
      <c r="Y111" s="24">
        <f>TModelo[[#This Row],[Act]]*(TModelo[[#This Row],[IniCOLCAP]]+TModelo[[#This Row],[IntCOLCAP]]+PesoCOLCAP*TModelo[[#This Row],[Outflow]])</f>
        <v>0</v>
      </c>
      <c r="Z111" s="24">
        <f>TModelo[[#This Row],[Act]]*(TModelo[[#This Row],[IniUSD]]+TModelo[[#This Row],[IntUSD]]+PesoUSD*TModelo[[#This Row],[Outflow]])</f>
        <v>0</v>
      </c>
      <c r="AA111" s="24">
        <f>TModelo[[#This Row],[BalCDT]]+TModelo[[#This Row],[BalCOLCAP]]+TModelo[[#This Row],[BalUSD]]</f>
        <v>0</v>
      </c>
      <c r="AB111" s="24">
        <f>IF(TModelo[[#This Row],[CumInfl]]&gt;0,TModelo[[#This Row],[TotalPreLiq]]/TModelo[[#This Row],[CumInfl]],0)</f>
        <v>0</v>
      </c>
      <c r="AC111" s="41">
        <f>(1+PerRate)^(-TModelo[[#This Row],[Period]])</f>
        <v>0.51965623710705333</v>
      </c>
      <c r="AD111" s="42">
        <f>TModelo[[#This Row],[NetCF]]*TModelo[[#This Row],[fd]]</f>
        <v>0</v>
      </c>
    </row>
    <row r="112" spans="2:30" ht="16.95" customHeight="1">
      <c r="B112" s="11">
        <v>85</v>
      </c>
      <c r="C112" s="25">
        <f>EDATE(FechaInicio,TModelo[[#This Row],[Period]])</f>
        <v>48881</v>
      </c>
      <c r="D112" s="11">
        <f>IF(AND(TModelo[[#This Row],[Period]]&gt;=1,TModelo[[#This Row],[Period]]&lt;=HorizonteMeses),1,0)</f>
        <v>0</v>
      </c>
      <c r="E112" s="40">
        <f>TModelo[[#This Row],[Act]]*(INFb+(INFpi0-INFb)*(1-INFa)^TModelo[[#This Row],[Period]])</f>
        <v>0</v>
      </c>
      <c r="F112" s="28">
        <f>IF(TModelo[[#This Row],[Period]]&lt;=HorizonteMeses,F111*(1+TModelo[[#This Row],[InflMes]]),0)</f>
        <v>0</v>
      </c>
      <c r="G112" s="21">
        <f>TModelo[[#This Row],[Act]]*(CDTb+(CDTx0-CDTb)*(1-CDTa)^TModelo[[#This Row],[Period]]+CDTspread)</f>
        <v>0</v>
      </c>
      <c r="H112" s="40">
        <f>TModelo[[#This Row],[Act]]*((1+TModelo[[#This Row],[TasaCDT]])^(1/12)-1)*(1-Retencion)</f>
        <v>0</v>
      </c>
      <c r="I112" s="40">
        <f>TModelo[[#This Row],[Act]]*(EXP(MuCOLCAP+SigmaCOLCAP^2/2)-1)</f>
        <v>0</v>
      </c>
      <c r="J112" s="40">
        <f>TModelo[[#This Row],[Act]]*(EXP(MuTRM+SigmaTRM^2/2)-1)</f>
        <v>0</v>
      </c>
      <c r="K112" s="11">
        <f>TModelo[[#This Row],[Act]]*IF(Rebalanceo="Mensual",1,IF(Rebalanceo="Anual",IF(MOD(TModelo[[#This Row],[Period]]-1,12)=0,1,0),0))</f>
        <v>0</v>
      </c>
      <c r="L112" s="24">
        <f>TModelo[[#This Row],[Act]]*AporteMensual*IF(CrecimientoAporte="Con IPC",F111,1)</f>
        <v>0</v>
      </c>
      <c r="M112" s="24">
        <f>IF(TModelo[[#This Row],[Period]]=HorizonteMeses,TModelo[[#This Row],[TotalPreLiq]],0)</f>
        <v>0</v>
      </c>
      <c r="N112" s="24">
        <f>TModelo[[#This Row],[Inflow]]-TModelo[[#This Row],[Outflow]]</f>
        <v>0</v>
      </c>
      <c r="O112" s="24">
        <f t="shared" si="1"/>
        <v>0</v>
      </c>
      <c r="P112" s="24">
        <f>TModelo[[#This Row],[IntCDT]]+TModelo[[#This Row],[IntCOLCAP]]+TModelo[[#This Row],[IntUSD]]</f>
        <v>0</v>
      </c>
      <c r="Q112" s="24">
        <f>TModelo[[#This Row],[InitialBalance]]+TModelo[[#This Row],[Interest]]+TModelo[[#This Row],[Outflow]]-TModelo[[#This Row],[Inflow]]</f>
        <v>0</v>
      </c>
      <c r="R112" s="24">
        <f>TModelo[[#This Row],[Act]]*IF(TModelo[[#This Row],[Rebal]]=1,PesoCDT*(X111+Y111+Z111),X111)</f>
        <v>0</v>
      </c>
      <c r="S112" s="24">
        <f>TModelo[[#This Row],[Act]]*IF(TModelo[[#This Row],[Rebal]]=1,PesoCOLCAP*(X111+Y111+Z111),Y111)</f>
        <v>0</v>
      </c>
      <c r="T112" s="24">
        <f>TModelo[[#This Row],[Act]]*IF(TModelo[[#This Row],[Rebal]]=1,PesoUSD*(X111+Y111+Z111),Z111)</f>
        <v>0</v>
      </c>
      <c r="U112" s="24">
        <f>TModelo[[#This Row],[IniCDT]]*TModelo[[#This Row],[RetCDT]]</f>
        <v>0</v>
      </c>
      <c r="V112" s="24">
        <f>TModelo[[#This Row],[IniCOLCAP]]*TModelo[[#This Row],[RetCOLCAP]]</f>
        <v>0</v>
      </c>
      <c r="W112" s="24">
        <f>TModelo[[#This Row],[IniUSD]]*TModelo[[#This Row],[RetUSD]]</f>
        <v>0</v>
      </c>
      <c r="X112" s="24">
        <f>TModelo[[#This Row],[Act]]*(TModelo[[#This Row],[IniCDT]]+TModelo[[#This Row],[IntCDT]]+PesoCDT*TModelo[[#This Row],[Outflow]])</f>
        <v>0</v>
      </c>
      <c r="Y112" s="24">
        <f>TModelo[[#This Row],[Act]]*(TModelo[[#This Row],[IniCOLCAP]]+TModelo[[#This Row],[IntCOLCAP]]+PesoCOLCAP*TModelo[[#This Row],[Outflow]])</f>
        <v>0</v>
      </c>
      <c r="Z112" s="24">
        <f>TModelo[[#This Row],[Act]]*(TModelo[[#This Row],[IniUSD]]+TModelo[[#This Row],[IntUSD]]+PesoUSD*TModelo[[#This Row],[Outflow]])</f>
        <v>0</v>
      </c>
      <c r="AA112" s="24">
        <f>TModelo[[#This Row],[BalCDT]]+TModelo[[#This Row],[BalCOLCAP]]+TModelo[[#This Row],[BalUSD]]</f>
        <v>0</v>
      </c>
      <c r="AB112" s="24">
        <f>IF(TModelo[[#This Row],[CumInfl]]&gt;0,TModelo[[#This Row],[TotalPreLiq]]/TModelo[[#This Row],[CumInfl]],0)</f>
        <v>0</v>
      </c>
      <c r="AC112" s="41">
        <f>(1+PerRate)^(-TModelo[[#This Row],[Period]])</f>
        <v>0.51562244346483188</v>
      </c>
      <c r="AD112" s="42">
        <f>TModelo[[#This Row],[NetCF]]*TModelo[[#This Row],[fd]]</f>
        <v>0</v>
      </c>
    </row>
    <row r="113" spans="2:30" ht="16.95" customHeight="1">
      <c r="B113" s="11">
        <v>86</v>
      </c>
      <c r="C113" s="25">
        <f>EDATE(FechaInicio,TModelo[[#This Row],[Period]])</f>
        <v>48912</v>
      </c>
      <c r="D113" s="11">
        <f>IF(AND(TModelo[[#This Row],[Period]]&gt;=1,TModelo[[#This Row],[Period]]&lt;=HorizonteMeses),1,0)</f>
        <v>0</v>
      </c>
      <c r="E113" s="40">
        <f>TModelo[[#This Row],[Act]]*(INFb+(INFpi0-INFb)*(1-INFa)^TModelo[[#This Row],[Period]])</f>
        <v>0</v>
      </c>
      <c r="F113" s="28">
        <f>IF(TModelo[[#This Row],[Period]]&lt;=HorizonteMeses,F112*(1+TModelo[[#This Row],[InflMes]]),0)</f>
        <v>0</v>
      </c>
      <c r="G113" s="21">
        <f>TModelo[[#This Row],[Act]]*(CDTb+(CDTx0-CDTb)*(1-CDTa)^TModelo[[#This Row],[Period]]+CDTspread)</f>
        <v>0</v>
      </c>
      <c r="H113" s="40">
        <f>TModelo[[#This Row],[Act]]*((1+TModelo[[#This Row],[TasaCDT]])^(1/12)-1)*(1-Retencion)</f>
        <v>0</v>
      </c>
      <c r="I113" s="40">
        <f>TModelo[[#This Row],[Act]]*(EXP(MuCOLCAP+SigmaCOLCAP^2/2)-1)</f>
        <v>0</v>
      </c>
      <c r="J113" s="40">
        <f>TModelo[[#This Row],[Act]]*(EXP(MuTRM+SigmaTRM^2/2)-1)</f>
        <v>0</v>
      </c>
      <c r="K113" s="11">
        <f>TModelo[[#This Row],[Act]]*IF(Rebalanceo="Mensual",1,IF(Rebalanceo="Anual",IF(MOD(TModelo[[#This Row],[Period]]-1,12)=0,1,0),0))</f>
        <v>0</v>
      </c>
      <c r="L113" s="24">
        <f>TModelo[[#This Row],[Act]]*AporteMensual*IF(CrecimientoAporte="Con IPC",F112,1)</f>
        <v>0</v>
      </c>
      <c r="M113" s="24">
        <f>IF(TModelo[[#This Row],[Period]]=HorizonteMeses,TModelo[[#This Row],[TotalPreLiq]],0)</f>
        <v>0</v>
      </c>
      <c r="N113" s="24">
        <f>TModelo[[#This Row],[Inflow]]-TModelo[[#This Row],[Outflow]]</f>
        <v>0</v>
      </c>
      <c r="O113" s="24">
        <f t="shared" si="1"/>
        <v>0</v>
      </c>
      <c r="P113" s="24">
        <f>TModelo[[#This Row],[IntCDT]]+TModelo[[#This Row],[IntCOLCAP]]+TModelo[[#This Row],[IntUSD]]</f>
        <v>0</v>
      </c>
      <c r="Q113" s="24">
        <f>TModelo[[#This Row],[InitialBalance]]+TModelo[[#This Row],[Interest]]+TModelo[[#This Row],[Outflow]]-TModelo[[#This Row],[Inflow]]</f>
        <v>0</v>
      </c>
      <c r="R113" s="24">
        <f>TModelo[[#This Row],[Act]]*IF(TModelo[[#This Row],[Rebal]]=1,PesoCDT*(X112+Y112+Z112),X112)</f>
        <v>0</v>
      </c>
      <c r="S113" s="24">
        <f>TModelo[[#This Row],[Act]]*IF(TModelo[[#This Row],[Rebal]]=1,PesoCOLCAP*(X112+Y112+Z112),Y112)</f>
        <v>0</v>
      </c>
      <c r="T113" s="24">
        <f>TModelo[[#This Row],[Act]]*IF(TModelo[[#This Row],[Rebal]]=1,PesoUSD*(X112+Y112+Z112),Z112)</f>
        <v>0</v>
      </c>
      <c r="U113" s="24">
        <f>TModelo[[#This Row],[IniCDT]]*TModelo[[#This Row],[RetCDT]]</f>
        <v>0</v>
      </c>
      <c r="V113" s="24">
        <f>TModelo[[#This Row],[IniCOLCAP]]*TModelo[[#This Row],[RetCOLCAP]]</f>
        <v>0</v>
      </c>
      <c r="W113" s="24">
        <f>TModelo[[#This Row],[IniUSD]]*TModelo[[#This Row],[RetUSD]]</f>
        <v>0</v>
      </c>
      <c r="X113" s="24">
        <f>TModelo[[#This Row],[Act]]*(TModelo[[#This Row],[IniCDT]]+TModelo[[#This Row],[IntCDT]]+PesoCDT*TModelo[[#This Row],[Outflow]])</f>
        <v>0</v>
      </c>
      <c r="Y113" s="24">
        <f>TModelo[[#This Row],[Act]]*(TModelo[[#This Row],[IniCOLCAP]]+TModelo[[#This Row],[IntCOLCAP]]+PesoCOLCAP*TModelo[[#This Row],[Outflow]])</f>
        <v>0</v>
      </c>
      <c r="Z113" s="24">
        <f>TModelo[[#This Row],[Act]]*(TModelo[[#This Row],[IniUSD]]+TModelo[[#This Row],[IntUSD]]+PesoUSD*TModelo[[#This Row],[Outflow]])</f>
        <v>0</v>
      </c>
      <c r="AA113" s="24">
        <f>TModelo[[#This Row],[BalCDT]]+TModelo[[#This Row],[BalCOLCAP]]+TModelo[[#This Row],[BalUSD]]</f>
        <v>0</v>
      </c>
      <c r="AB113" s="24">
        <f>IF(TModelo[[#This Row],[CumInfl]]&gt;0,TModelo[[#This Row],[TotalPreLiq]]/TModelo[[#This Row],[CumInfl]],0)</f>
        <v>0</v>
      </c>
      <c r="AC113" s="41">
        <f>(1+PerRate)^(-TModelo[[#This Row],[Period]])</f>
        <v>0.51161996185157521</v>
      </c>
      <c r="AD113" s="42">
        <f>TModelo[[#This Row],[NetCF]]*TModelo[[#This Row],[fd]]</f>
        <v>0</v>
      </c>
    </row>
    <row r="114" spans="2:30" ht="16.95" customHeight="1">
      <c r="B114" s="11">
        <v>87</v>
      </c>
      <c r="C114" s="25">
        <f>EDATE(FechaInicio,TModelo[[#This Row],[Period]])</f>
        <v>48942</v>
      </c>
      <c r="D114" s="11">
        <f>IF(AND(TModelo[[#This Row],[Period]]&gt;=1,TModelo[[#This Row],[Period]]&lt;=HorizonteMeses),1,0)</f>
        <v>0</v>
      </c>
      <c r="E114" s="40">
        <f>TModelo[[#This Row],[Act]]*(INFb+(INFpi0-INFb)*(1-INFa)^TModelo[[#This Row],[Period]])</f>
        <v>0</v>
      </c>
      <c r="F114" s="28">
        <f>IF(TModelo[[#This Row],[Period]]&lt;=HorizonteMeses,F113*(1+TModelo[[#This Row],[InflMes]]),0)</f>
        <v>0</v>
      </c>
      <c r="G114" s="21">
        <f>TModelo[[#This Row],[Act]]*(CDTb+(CDTx0-CDTb)*(1-CDTa)^TModelo[[#This Row],[Period]]+CDTspread)</f>
        <v>0</v>
      </c>
      <c r="H114" s="40">
        <f>TModelo[[#This Row],[Act]]*((1+TModelo[[#This Row],[TasaCDT]])^(1/12)-1)*(1-Retencion)</f>
        <v>0</v>
      </c>
      <c r="I114" s="40">
        <f>TModelo[[#This Row],[Act]]*(EXP(MuCOLCAP+SigmaCOLCAP^2/2)-1)</f>
        <v>0</v>
      </c>
      <c r="J114" s="40">
        <f>TModelo[[#This Row],[Act]]*(EXP(MuTRM+SigmaTRM^2/2)-1)</f>
        <v>0</v>
      </c>
      <c r="K114" s="11">
        <f>TModelo[[#This Row],[Act]]*IF(Rebalanceo="Mensual",1,IF(Rebalanceo="Anual",IF(MOD(TModelo[[#This Row],[Period]]-1,12)=0,1,0),0))</f>
        <v>0</v>
      </c>
      <c r="L114" s="24">
        <f>TModelo[[#This Row],[Act]]*AporteMensual*IF(CrecimientoAporte="Con IPC",F113,1)</f>
        <v>0</v>
      </c>
      <c r="M114" s="24">
        <f>IF(TModelo[[#This Row],[Period]]=HorizonteMeses,TModelo[[#This Row],[TotalPreLiq]],0)</f>
        <v>0</v>
      </c>
      <c r="N114" s="24">
        <f>TModelo[[#This Row],[Inflow]]-TModelo[[#This Row],[Outflow]]</f>
        <v>0</v>
      </c>
      <c r="O114" s="24">
        <f t="shared" si="1"/>
        <v>0</v>
      </c>
      <c r="P114" s="24">
        <f>TModelo[[#This Row],[IntCDT]]+TModelo[[#This Row],[IntCOLCAP]]+TModelo[[#This Row],[IntUSD]]</f>
        <v>0</v>
      </c>
      <c r="Q114" s="24">
        <f>TModelo[[#This Row],[InitialBalance]]+TModelo[[#This Row],[Interest]]+TModelo[[#This Row],[Outflow]]-TModelo[[#This Row],[Inflow]]</f>
        <v>0</v>
      </c>
      <c r="R114" s="24">
        <f>TModelo[[#This Row],[Act]]*IF(TModelo[[#This Row],[Rebal]]=1,PesoCDT*(X113+Y113+Z113),X113)</f>
        <v>0</v>
      </c>
      <c r="S114" s="24">
        <f>TModelo[[#This Row],[Act]]*IF(TModelo[[#This Row],[Rebal]]=1,PesoCOLCAP*(X113+Y113+Z113),Y113)</f>
        <v>0</v>
      </c>
      <c r="T114" s="24">
        <f>TModelo[[#This Row],[Act]]*IF(TModelo[[#This Row],[Rebal]]=1,PesoUSD*(X113+Y113+Z113),Z113)</f>
        <v>0</v>
      </c>
      <c r="U114" s="24">
        <f>TModelo[[#This Row],[IniCDT]]*TModelo[[#This Row],[RetCDT]]</f>
        <v>0</v>
      </c>
      <c r="V114" s="24">
        <f>TModelo[[#This Row],[IniCOLCAP]]*TModelo[[#This Row],[RetCOLCAP]]</f>
        <v>0</v>
      </c>
      <c r="W114" s="24">
        <f>TModelo[[#This Row],[IniUSD]]*TModelo[[#This Row],[RetUSD]]</f>
        <v>0</v>
      </c>
      <c r="X114" s="24">
        <f>TModelo[[#This Row],[Act]]*(TModelo[[#This Row],[IniCDT]]+TModelo[[#This Row],[IntCDT]]+PesoCDT*TModelo[[#This Row],[Outflow]])</f>
        <v>0</v>
      </c>
      <c r="Y114" s="24">
        <f>TModelo[[#This Row],[Act]]*(TModelo[[#This Row],[IniCOLCAP]]+TModelo[[#This Row],[IntCOLCAP]]+PesoCOLCAP*TModelo[[#This Row],[Outflow]])</f>
        <v>0</v>
      </c>
      <c r="Z114" s="24">
        <f>TModelo[[#This Row],[Act]]*(TModelo[[#This Row],[IniUSD]]+TModelo[[#This Row],[IntUSD]]+PesoUSD*TModelo[[#This Row],[Outflow]])</f>
        <v>0</v>
      </c>
      <c r="AA114" s="24">
        <f>TModelo[[#This Row],[BalCDT]]+TModelo[[#This Row],[BalCOLCAP]]+TModelo[[#This Row],[BalUSD]]</f>
        <v>0</v>
      </c>
      <c r="AB114" s="24">
        <f>IF(TModelo[[#This Row],[CumInfl]]&gt;0,TModelo[[#This Row],[TotalPreLiq]]/TModelo[[#This Row],[CumInfl]],0)</f>
        <v>0</v>
      </c>
      <c r="AC114" s="41">
        <f>(1+PerRate)^(-TModelo[[#This Row],[Period]])</f>
        <v>0.50764854920994196</v>
      </c>
      <c r="AD114" s="42">
        <f>TModelo[[#This Row],[NetCF]]*TModelo[[#This Row],[fd]]</f>
        <v>0</v>
      </c>
    </row>
    <row r="115" spans="2:30" ht="16.95" customHeight="1">
      <c r="B115" s="11">
        <v>88</v>
      </c>
      <c r="C115" s="25">
        <f>EDATE(FechaInicio,TModelo[[#This Row],[Period]])</f>
        <v>48973</v>
      </c>
      <c r="D115" s="11">
        <f>IF(AND(TModelo[[#This Row],[Period]]&gt;=1,TModelo[[#This Row],[Period]]&lt;=HorizonteMeses),1,0)</f>
        <v>0</v>
      </c>
      <c r="E115" s="40">
        <f>TModelo[[#This Row],[Act]]*(INFb+(INFpi0-INFb)*(1-INFa)^TModelo[[#This Row],[Period]])</f>
        <v>0</v>
      </c>
      <c r="F115" s="28">
        <f>IF(TModelo[[#This Row],[Period]]&lt;=HorizonteMeses,F114*(1+TModelo[[#This Row],[InflMes]]),0)</f>
        <v>0</v>
      </c>
      <c r="G115" s="21">
        <f>TModelo[[#This Row],[Act]]*(CDTb+(CDTx0-CDTb)*(1-CDTa)^TModelo[[#This Row],[Period]]+CDTspread)</f>
        <v>0</v>
      </c>
      <c r="H115" s="40">
        <f>TModelo[[#This Row],[Act]]*((1+TModelo[[#This Row],[TasaCDT]])^(1/12)-1)*(1-Retencion)</f>
        <v>0</v>
      </c>
      <c r="I115" s="40">
        <f>TModelo[[#This Row],[Act]]*(EXP(MuCOLCAP+SigmaCOLCAP^2/2)-1)</f>
        <v>0</v>
      </c>
      <c r="J115" s="40">
        <f>TModelo[[#This Row],[Act]]*(EXP(MuTRM+SigmaTRM^2/2)-1)</f>
        <v>0</v>
      </c>
      <c r="K115" s="11">
        <f>TModelo[[#This Row],[Act]]*IF(Rebalanceo="Mensual",1,IF(Rebalanceo="Anual",IF(MOD(TModelo[[#This Row],[Period]]-1,12)=0,1,0),0))</f>
        <v>0</v>
      </c>
      <c r="L115" s="24">
        <f>TModelo[[#This Row],[Act]]*AporteMensual*IF(CrecimientoAporte="Con IPC",F114,1)</f>
        <v>0</v>
      </c>
      <c r="M115" s="24">
        <f>IF(TModelo[[#This Row],[Period]]=HorizonteMeses,TModelo[[#This Row],[TotalPreLiq]],0)</f>
        <v>0</v>
      </c>
      <c r="N115" s="24">
        <f>TModelo[[#This Row],[Inflow]]-TModelo[[#This Row],[Outflow]]</f>
        <v>0</v>
      </c>
      <c r="O115" s="24">
        <f t="shared" si="1"/>
        <v>0</v>
      </c>
      <c r="P115" s="24">
        <f>TModelo[[#This Row],[IntCDT]]+TModelo[[#This Row],[IntCOLCAP]]+TModelo[[#This Row],[IntUSD]]</f>
        <v>0</v>
      </c>
      <c r="Q115" s="24">
        <f>TModelo[[#This Row],[InitialBalance]]+TModelo[[#This Row],[Interest]]+TModelo[[#This Row],[Outflow]]-TModelo[[#This Row],[Inflow]]</f>
        <v>0</v>
      </c>
      <c r="R115" s="24">
        <f>TModelo[[#This Row],[Act]]*IF(TModelo[[#This Row],[Rebal]]=1,PesoCDT*(X114+Y114+Z114),X114)</f>
        <v>0</v>
      </c>
      <c r="S115" s="24">
        <f>TModelo[[#This Row],[Act]]*IF(TModelo[[#This Row],[Rebal]]=1,PesoCOLCAP*(X114+Y114+Z114),Y114)</f>
        <v>0</v>
      </c>
      <c r="T115" s="24">
        <f>TModelo[[#This Row],[Act]]*IF(TModelo[[#This Row],[Rebal]]=1,PesoUSD*(X114+Y114+Z114),Z114)</f>
        <v>0</v>
      </c>
      <c r="U115" s="24">
        <f>TModelo[[#This Row],[IniCDT]]*TModelo[[#This Row],[RetCDT]]</f>
        <v>0</v>
      </c>
      <c r="V115" s="24">
        <f>TModelo[[#This Row],[IniCOLCAP]]*TModelo[[#This Row],[RetCOLCAP]]</f>
        <v>0</v>
      </c>
      <c r="W115" s="24">
        <f>TModelo[[#This Row],[IniUSD]]*TModelo[[#This Row],[RetUSD]]</f>
        <v>0</v>
      </c>
      <c r="X115" s="24">
        <f>TModelo[[#This Row],[Act]]*(TModelo[[#This Row],[IniCDT]]+TModelo[[#This Row],[IntCDT]]+PesoCDT*TModelo[[#This Row],[Outflow]])</f>
        <v>0</v>
      </c>
      <c r="Y115" s="24">
        <f>TModelo[[#This Row],[Act]]*(TModelo[[#This Row],[IniCOLCAP]]+TModelo[[#This Row],[IntCOLCAP]]+PesoCOLCAP*TModelo[[#This Row],[Outflow]])</f>
        <v>0</v>
      </c>
      <c r="Z115" s="24">
        <f>TModelo[[#This Row],[Act]]*(TModelo[[#This Row],[IniUSD]]+TModelo[[#This Row],[IntUSD]]+PesoUSD*TModelo[[#This Row],[Outflow]])</f>
        <v>0</v>
      </c>
      <c r="AA115" s="24">
        <f>TModelo[[#This Row],[BalCDT]]+TModelo[[#This Row],[BalCOLCAP]]+TModelo[[#This Row],[BalUSD]]</f>
        <v>0</v>
      </c>
      <c r="AB115" s="24">
        <f>IF(TModelo[[#This Row],[CumInfl]]&gt;0,TModelo[[#This Row],[TotalPreLiq]]/TModelo[[#This Row],[CumInfl]],0)</f>
        <v>0</v>
      </c>
      <c r="AC115" s="41">
        <f>(1+PerRate)^(-TModelo[[#This Row],[Period]])</f>
        <v>0.50370796436930598</v>
      </c>
      <c r="AD115" s="42">
        <f>TModelo[[#This Row],[NetCF]]*TModelo[[#This Row],[fd]]</f>
        <v>0</v>
      </c>
    </row>
    <row r="116" spans="2:30" ht="16.95" customHeight="1">
      <c r="B116" s="11">
        <v>89</v>
      </c>
      <c r="C116" s="25">
        <f>EDATE(FechaInicio,TModelo[[#This Row],[Period]])</f>
        <v>49003</v>
      </c>
      <c r="D116" s="11">
        <f>IF(AND(TModelo[[#This Row],[Period]]&gt;=1,TModelo[[#This Row],[Period]]&lt;=HorizonteMeses),1,0)</f>
        <v>0</v>
      </c>
      <c r="E116" s="40">
        <f>TModelo[[#This Row],[Act]]*(INFb+(INFpi0-INFb)*(1-INFa)^TModelo[[#This Row],[Period]])</f>
        <v>0</v>
      </c>
      <c r="F116" s="28">
        <f>IF(TModelo[[#This Row],[Period]]&lt;=HorizonteMeses,F115*(1+TModelo[[#This Row],[InflMes]]),0)</f>
        <v>0</v>
      </c>
      <c r="G116" s="21">
        <f>TModelo[[#This Row],[Act]]*(CDTb+(CDTx0-CDTb)*(1-CDTa)^TModelo[[#This Row],[Period]]+CDTspread)</f>
        <v>0</v>
      </c>
      <c r="H116" s="40">
        <f>TModelo[[#This Row],[Act]]*((1+TModelo[[#This Row],[TasaCDT]])^(1/12)-1)*(1-Retencion)</f>
        <v>0</v>
      </c>
      <c r="I116" s="40">
        <f>TModelo[[#This Row],[Act]]*(EXP(MuCOLCAP+SigmaCOLCAP^2/2)-1)</f>
        <v>0</v>
      </c>
      <c r="J116" s="40">
        <f>TModelo[[#This Row],[Act]]*(EXP(MuTRM+SigmaTRM^2/2)-1)</f>
        <v>0</v>
      </c>
      <c r="K116" s="11">
        <f>TModelo[[#This Row],[Act]]*IF(Rebalanceo="Mensual",1,IF(Rebalanceo="Anual",IF(MOD(TModelo[[#This Row],[Period]]-1,12)=0,1,0),0))</f>
        <v>0</v>
      </c>
      <c r="L116" s="24">
        <f>TModelo[[#This Row],[Act]]*AporteMensual*IF(CrecimientoAporte="Con IPC",F115,1)</f>
        <v>0</v>
      </c>
      <c r="M116" s="24">
        <f>IF(TModelo[[#This Row],[Period]]=HorizonteMeses,TModelo[[#This Row],[TotalPreLiq]],0)</f>
        <v>0</v>
      </c>
      <c r="N116" s="24">
        <f>TModelo[[#This Row],[Inflow]]-TModelo[[#This Row],[Outflow]]</f>
        <v>0</v>
      </c>
      <c r="O116" s="24">
        <f t="shared" si="1"/>
        <v>0</v>
      </c>
      <c r="P116" s="24">
        <f>TModelo[[#This Row],[IntCDT]]+TModelo[[#This Row],[IntCOLCAP]]+TModelo[[#This Row],[IntUSD]]</f>
        <v>0</v>
      </c>
      <c r="Q116" s="24">
        <f>TModelo[[#This Row],[InitialBalance]]+TModelo[[#This Row],[Interest]]+TModelo[[#This Row],[Outflow]]-TModelo[[#This Row],[Inflow]]</f>
        <v>0</v>
      </c>
      <c r="R116" s="24">
        <f>TModelo[[#This Row],[Act]]*IF(TModelo[[#This Row],[Rebal]]=1,PesoCDT*(X115+Y115+Z115),X115)</f>
        <v>0</v>
      </c>
      <c r="S116" s="24">
        <f>TModelo[[#This Row],[Act]]*IF(TModelo[[#This Row],[Rebal]]=1,PesoCOLCAP*(X115+Y115+Z115),Y115)</f>
        <v>0</v>
      </c>
      <c r="T116" s="24">
        <f>TModelo[[#This Row],[Act]]*IF(TModelo[[#This Row],[Rebal]]=1,PesoUSD*(X115+Y115+Z115),Z115)</f>
        <v>0</v>
      </c>
      <c r="U116" s="24">
        <f>TModelo[[#This Row],[IniCDT]]*TModelo[[#This Row],[RetCDT]]</f>
        <v>0</v>
      </c>
      <c r="V116" s="24">
        <f>TModelo[[#This Row],[IniCOLCAP]]*TModelo[[#This Row],[RetCOLCAP]]</f>
        <v>0</v>
      </c>
      <c r="W116" s="24">
        <f>TModelo[[#This Row],[IniUSD]]*TModelo[[#This Row],[RetUSD]]</f>
        <v>0</v>
      </c>
      <c r="X116" s="24">
        <f>TModelo[[#This Row],[Act]]*(TModelo[[#This Row],[IniCDT]]+TModelo[[#This Row],[IntCDT]]+PesoCDT*TModelo[[#This Row],[Outflow]])</f>
        <v>0</v>
      </c>
      <c r="Y116" s="24">
        <f>TModelo[[#This Row],[Act]]*(TModelo[[#This Row],[IniCOLCAP]]+TModelo[[#This Row],[IntCOLCAP]]+PesoCOLCAP*TModelo[[#This Row],[Outflow]])</f>
        <v>0</v>
      </c>
      <c r="Z116" s="24">
        <f>TModelo[[#This Row],[Act]]*(TModelo[[#This Row],[IniUSD]]+TModelo[[#This Row],[IntUSD]]+PesoUSD*TModelo[[#This Row],[Outflow]])</f>
        <v>0</v>
      </c>
      <c r="AA116" s="24">
        <f>TModelo[[#This Row],[BalCDT]]+TModelo[[#This Row],[BalCOLCAP]]+TModelo[[#This Row],[BalUSD]]</f>
        <v>0</v>
      </c>
      <c r="AB116" s="24">
        <f>IF(TModelo[[#This Row],[CumInfl]]&gt;0,TModelo[[#This Row],[TotalPreLiq]]/TModelo[[#This Row],[CumInfl]],0)</f>
        <v>0</v>
      </c>
      <c r="AC116" s="41">
        <f>(1+PerRate)^(-TModelo[[#This Row],[Period]])</f>
        <v>0.4997979680311101</v>
      </c>
      <c r="AD116" s="42">
        <f>TModelo[[#This Row],[NetCF]]*TModelo[[#This Row],[fd]]</f>
        <v>0</v>
      </c>
    </row>
    <row r="117" spans="2:30" ht="16.95" customHeight="1">
      <c r="B117" s="11">
        <v>90</v>
      </c>
      <c r="C117" s="25">
        <f>EDATE(FechaInicio,TModelo[[#This Row],[Period]])</f>
        <v>49032</v>
      </c>
      <c r="D117" s="11">
        <f>IF(AND(TModelo[[#This Row],[Period]]&gt;=1,TModelo[[#This Row],[Period]]&lt;=HorizonteMeses),1,0)</f>
        <v>0</v>
      </c>
      <c r="E117" s="40">
        <f>TModelo[[#This Row],[Act]]*(INFb+(INFpi0-INFb)*(1-INFa)^TModelo[[#This Row],[Period]])</f>
        <v>0</v>
      </c>
      <c r="F117" s="28">
        <f>IF(TModelo[[#This Row],[Period]]&lt;=HorizonteMeses,F116*(1+TModelo[[#This Row],[InflMes]]),0)</f>
        <v>0</v>
      </c>
      <c r="G117" s="21">
        <f>TModelo[[#This Row],[Act]]*(CDTb+(CDTx0-CDTb)*(1-CDTa)^TModelo[[#This Row],[Period]]+CDTspread)</f>
        <v>0</v>
      </c>
      <c r="H117" s="40">
        <f>TModelo[[#This Row],[Act]]*((1+TModelo[[#This Row],[TasaCDT]])^(1/12)-1)*(1-Retencion)</f>
        <v>0</v>
      </c>
      <c r="I117" s="40">
        <f>TModelo[[#This Row],[Act]]*(EXP(MuCOLCAP+SigmaCOLCAP^2/2)-1)</f>
        <v>0</v>
      </c>
      <c r="J117" s="40">
        <f>TModelo[[#This Row],[Act]]*(EXP(MuTRM+SigmaTRM^2/2)-1)</f>
        <v>0</v>
      </c>
      <c r="K117" s="11">
        <f>TModelo[[#This Row],[Act]]*IF(Rebalanceo="Mensual",1,IF(Rebalanceo="Anual",IF(MOD(TModelo[[#This Row],[Period]]-1,12)=0,1,0),0))</f>
        <v>0</v>
      </c>
      <c r="L117" s="24">
        <f>TModelo[[#This Row],[Act]]*AporteMensual*IF(CrecimientoAporte="Con IPC",F116,1)</f>
        <v>0</v>
      </c>
      <c r="M117" s="24">
        <f>IF(TModelo[[#This Row],[Period]]=HorizonteMeses,TModelo[[#This Row],[TotalPreLiq]],0)</f>
        <v>0</v>
      </c>
      <c r="N117" s="24">
        <f>TModelo[[#This Row],[Inflow]]-TModelo[[#This Row],[Outflow]]</f>
        <v>0</v>
      </c>
      <c r="O117" s="24">
        <f t="shared" si="1"/>
        <v>0</v>
      </c>
      <c r="P117" s="24">
        <f>TModelo[[#This Row],[IntCDT]]+TModelo[[#This Row],[IntCOLCAP]]+TModelo[[#This Row],[IntUSD]]</f>
        <v>0</v>
      </c>
      <c r="Q117" s="24">
        <f>TModelo[[#This Row],[InitialBalance]]+TModelo[[#This Row],[Interest]]+TModelo[[#This Row],[Outflow]]-TModelo[[#This Row],[Inflow]]</f>
        <v>0</v>
      </c>
      <c r="R117" s="24">
        <f>TModelo[[#This Row],[Act]]*IF(TModelo[[#This Row],[Rebal]]=1,PesoCDT*(X116+Y116+Z116),X116)</f>
        <v>0</v>
      </c>
      <c r="S117" s="24">
        <f>TModelo[[#This Row],[Act]]*IF(TModelo[[#This Row],[Rebal]]=1,PesoCOLCAP*(X116+Y116+Z116),Y116)</f>
        <v>0</v>
      </c>
      <c r="T117" s="24">
        <f>TModelo[[#This Row],[Act]]*IF(TModelo[[#This Row],[Rebal]]=1,PesoUSD*(X116+Y116+Z116),Z116)</f>
        <v>0</v>
      </c>
      <c r="U117" s="24">
        <f>TModelo[[#This Row],[IniCDT]]*TModelo[[#This Row],[RetCDT]]</f>
        <v>0</v>
      </c>
      <c r="V117" s="24">
        <f>TModelo[[#This Row],[IniCOLCAP]]*TModelo[[#This Row],[RetCOLCAP]]</f>
        <v>0</v>
      </c>
      <c r="W117" s="24">
        <f>TModelo[[#This Row],[IniUSD]]*TModelo[[#This Row],[RetUSD]]</f>
        <v>0</v>
      </c>
      <c r="X117" s="24">
        <f>TModelo[[#This Row],[Act]]*(TModelo[[#This Row],[IniCDT]]+TModelo[[#This Row],[IntCDT]]+PesoCDT*TModelo[[#This Row],[Outflow]])</f>
        <v>0</v>
      </c>
      <c r="Y117" s="24">
        <f>TModelo[[#This Row],[Act]]*(TModelo[[#This Row],[IniCOLCAP]]+TModelo[[#This Row],[IntCOLCAP]]+PesoCOLCAP*TModelo[[#This Row],[Outflow]])</f>
        <v>0</v>
      </c>
      <c r="Z117" s="24">
        <f>TModelo[[#This Row],[Act]]*(TModelo[[#This Row],[IniUSD]]+TModelo[[#This Row],[IntUSD]]+PesoUSD*TModelo[[#This Row],[Outflow]])</f>
        <v>0</v>
      </c>
      <c r="AA117" s="24">
        <f>TModelo[[#This Row],[BalCDT]]+TModelo[[#This Row],[BalCOLCAP]]+TModelo[[#This Row],[BalUSD]]</f>
        <v>0</v>
      </c>
      <c r="AB117" s="24">
        <f>IF(TModelo[[#This Row],[CumInfl]]&gt;0,TModelo[[#This Row],[TotalPreLiq]]/TModelo[[#This Row],[CumInfl]],0)</f>
        <v>0</v>
      </c>
      <c r="AC117" s="41">
        <f>(1+PerRate)^(-TModelo[[#This Row],[Period]])</f>
        <v>0.49591832275433484</v>
      </c>
      <c r="AD117" s="42">
        <f>TModelo[[#This Row],[NetCF]]*TModelo[[#This Row],[fd]]</f>
        <v>0</v>
      </c>
    </row>
    <row r="118" spans="2:30" ht="16.95" customHeight="1">
      <c r="B118" s="11">
        <v>91</v>
      </c>
      <c r="C118" s="25">
        <f>EDATE(FechaInicio,TModelo[[#This Row],[Period]])</f>
        <v>49063</v>
      </c>
      <c r="D118" s="11">
        <f>IF(AND(TModelo[[#This Row],[Period]]&gt;=1,TModelo[[#This Row],[Period]]&lt;=HorizonteMeses),1,0)</f>
        <v>0</v>
      </c>
      <c r="E118" s="40">
        <f>TModelo[[#This Row],[Act]]*(INFb+(INFpi0-INFb)*(1-INFa)^TModelo[[#This Row],[Period]])</f>
        <v>0</v>
      </c>
      <c r="F118" s="28">
        <f>IF(TModelo[[#This Row],[Period]]&lt;=HorizonteMeses,F117*(1+TModelo[[#This Row],[InflMes]]),0)</f>
        <v>0</v>
      </c>
      <c r="G118" s="21">
        <f>TModelo[[#This Row],[Act]]*(CDTb+(CDTx0-CDTb)*(1-CDTa)^TModelo[[#This Row],[Period]]+CDTspread)</f>
        <v>0</v>
      </c>
      <c r="H118" s="40">
        <f>TModelo[[#This Row],[Act]]*((1+TModelo[[#This Row],[TasaCDT]])^(1/12)-1)*(1-Retencion)</f>
        <v>0</v>
      </c>
      <c r="I118" s="40">
        <f>TModelo[[#This Row],[Act]]*(EXP(MuCOLCAP+SigmaCOLCAP^2/2)-1)</f>
        <v>0</v>
      </c>
      <c r="J118" s="40">
        <f>TModelo[[#This Row],[Act]]*(EXP(MuTRM+SigmaTRM^2/2)-1)</f>
        <v>0</v>
      </c>
      <c r="K118" s="11">
        <f>TModelo[[#This Row],[Act]]*IF(Rebalanceo="Mensual",1,IF(Rebalanceo="Anual",IF(MOD(TModelo[[#This Row],[Period]]-1,12)=0,1,0),0))</f>
        <v>0</v>
      </c>
      <c r="L118" s="24">
        <f>TModelo[[#This Row],[Act]]*AporteMensual*IF(CrecimientoAporte="Con IPC",F117,1)</f>
        <v>0</v>
      </c>
      <c r="M118" s="24">
        <f>IF(TModelo[[#This Row],[Period]]=HorizonteMeses,TModelo[[#This Row],[TotalPreLiq]],0)</f>
        <v>0</v>
      </c>
      <c r="N118" s="24">
        <f>TModelo[[#This Row],[Inflow]]-TModelo[[#This Row],[Outflow]]</f>
        <v>0</v>
      </c>
      <c r="O118" s="24">
        <f t="shared" si="1"/>
        <v>0</v>
      </c>
      <c r="P118" s="24">
        <f>TModelo[[#This Row],[IntCDT]]+TModelo[[#This Row],[IntCOLCAP]]+TModelo[[#This Row],[IntUSD]]</f>
        <v>0</v>
      </c>
      <c r="Q118" s="24">
        <f>TModelo[[#This Row],[InitialBalance]]+TModelo[[#This Row],[Interest]]+TModelo[[#This Row],[Outflow]]-TModelo[[#This Row],[Inflow]]</f>
        <v>0</v>
      </c>
      <c r="R118" s="24">
        <f>TModelo[[#This Row],[Act]]*IF(TModelo[[#This Row],[Rebal]]=1,PesoCDT*(X117+Y117+Z117),X117)</f>
        <v>0</v>
      </c>
      <c r="S118" s="24">
        <f>TModelo[[#This Row],[Act]]*IF(TModelo[[#This Row],[Rebal]]=1,PesoCOLCAP*(X117+Y117+Z117),Y117)</f>
        <v>0</v>
      </c>
      <c r="T118" s="24">
        <f>TModelo[[#This Row],[Act]]*IF(TModelo[[#This Row],[Rebal]]=1,PesoUSD*(X117+Y117+Z117),Z117)</f>
        <v>0</v>
      </c>
      <c r="U118" s="24">
        <f>TModelo[[#This Row],[IniCDT]]*TModelo[[#This Row],[RetCDT]]</f>
        <v>0</v>
      </c>
      <c r="V118" s="24">
        <f>TModelo[[#This Row],[IniCOLCAP]]*TModelo[[#This Row],[RetCOLCAP]]</f>
        <v>0</v>
      </c>
      <c r="W118" s="24">
        <f>TModelo[[#This Row],[IniUSD]]*TModelo[[#This Row],[RetUSD]]</f>
        <v>0</v>
      </c>
      <c r="X118" s="24">
        <f>TModelo[[#This Row],[Act]]*(TModelo[[#This Row],[IniCDT]]+TModelo[[#This Row],[IntCDT]]+PesoCDT*TModelo[[#This Row],[Outflow]])</f>
        <v>0</v>
      </c>
      <c r="Y118" s="24">
        <f>TModelo[[#This Row],[Act]]*(TModelo[[#This Row],[IniCOLCAP]]+TModelo[[#This Row],[IntCOLCAP]]+PesoCOLCAP*TModelo[[#This Row],[Outflow]])</f>
        <v>0</v>
      </c>
      <c r="Z118" s="24">
        <f>TModelo[[#This Row],[Act]]*(TModelo[[#This Row],[IniUSD]]+TModelo[[#This Row],[IntUSD]]+PesoUSD*TModelo[[#This Row],[Outflow]])</f>
        <v>0</v>
      </c>
      <c r="AA118" s="24">
        <f>TModelo[[#This Row],[BalCDT]]+TModelo[[#This Row],[BalCOLCAP]]+TModelo[[#This Row],[BalUSD]]</f>
        <v>0</v>
      </c>
      <c r="AB118" s="24">
        <f>IF(TModelo[[#This Row],[CumInfl]]&gt;0,TModelo[[#This Row],[TotalPreLiq]]/TModelo[[#This Row],[CumInfl]],0)</f>
        <v>0</v>
      </c>
      <c r="AC118" s="41">
        <f>(1+PerRate)^(-TModelo[[#This Row],[Period]])</f>
        <v>0.49206879294107975</v>
      </c>
      <c r="AD118" s="42">
        <f>TModelo[[#This Row],[NetCF]]*TModelo[[#This Row],[fd]]</f>
        <v>0</v>
      </c>
    </row>
    <row r="119" spans="2:30" ht="16.95" customHeight="1">
      <c r="B119" s="11">
        <v>92</v>
      </c>
      <c r="C119" s="25">
        <f>EDATE(FechaInicio,TModelo[[#This Row],[Period]])</f>
        <v>49093</v>
      </c>
      <c r="D119" s="11">
        <f>IF(AND(TModelo[[#This Row],[Period]]&gt;=1,TModelo[[#This Row],[Period]]&lt;=HorizonteMeses),1,0)</f>
        <v>0</v>
      </c>
      <c r="E119" s="40">
        <f>TModelo[[#This Row],[Act]]*(INFb+(INFpi0-INFb)*(1-INFa)^TModelo[[#This Row],[Period]])</f>
        <v>0</v>
      </c>
      <c r="F119" s="28">
        <f>IF(TModelo[[#This Row],[Period]]&lt;=HorizonteMeses,F118*(1+TModelo[[#This Row],[InflMes]]),0)</f>
        <v>0</v>
      </c>
      <c r="G119" s="21">
        <f>TModelo[[#This Row],[Act]]*(CDTb+(CDTx0-CDTb)*(1-CDTa)^TModelo[[#This Row],[Period]]+CDTspread)</f>
        <v>0</v>
      </c>
      <c r="H119" s="40">
        <f>TModelo[[#This Row],[Act]]*((1+TModelo[[#This Row],[TasaCDT]])^(1/12)-1)*(1-Retencion)</f>
        <v>0</v>
      </c>
      <c r="I119" s="40">
        <f>TModelo[[#This Row],[Act]]*(EXP(MuCOLCAP+SigmaCOLCAP^2/2)-1)</f>
        <v>0</v>
      </c>
      <c r="J119" s="40">
        <f>TModelo[[#This Row],[Act]]*(EXP(MuTRM+SigmaTRM^2/2)-1)</f>
        <v>0</v>
      </c>
      <c r="K119" s="11">
        <f>TModelo[[#This Row],[Act]]*IF(Rebalanceo="Mensual",1,IF(Rebalanceo="Anual",IF(MOD(TModelo[[#This Row],[Period]]-1,12)=0,1,0),0))</f>
        <v>0</v>
      </c>
      <c r="L119" s="24">
        <f>TModelo[[#This Row],[Act]]*AporteMensual*IF(CrecimientoAporte="Con IPC",F118,1)</f>
        <v>0</v>
      </c>
      <c r="M119" s="24">
        <f>IF(TModelo[[#This Row],[Period]]=HorizonteMeses,TModelo[[#This Row],[TotalPreLiq]],0)</f>
        <v>0</v>
      </c>
      <c r="N119" s="24">
        <f>TModelo[[#This Row],[Inflow]]-TModelo[[#This Row],[Outflow]]</f>
        <v>0</v>
      </c>
      <c r="O119" s="24">
        <f t="shared" si="1"/>
        <v>0</v>
      </c>
      <c r="P119" s="24">
        <f>TModelo[[#This Row],[IntCDT]]+TModelo[[#This Row],[IntCOLCAP]]+TModelo[[#This Row],[IntUSD]]</f>
        <v>0</v>
      </c>
      <c r="Q119" s="24">
        <f>TModelo[[#This Row],[InitialBalance]]+TModelo[[#This Row],[Interest]]+TModelo[[#This Row],[Outflow]]-TModelo[[#This Row],[Inflow]]</f>
        <v>0</v>
      </c>
      <c r="R119" s="24">
        <f>TModelo[[#This Row],[Act]]*IF(TModelo[[#This Row],[Rebal]]=1,PesoCDT*(X118+Y118+Z118),X118)</f>
        <v>0</v>
      </c>
      <c r="S119" s="24">
        <f>TModelo[[#This Row],[Act]]*IF(TModelo[[#This Row],[Rebal]]=1,PesoCOLCAP*(X118+Y118+Z118),Y118)</f>
        <v>0</v>
      </c>
      <c r="T119" s="24">
        <f>TModelo[[#This Row],[Act]]*IF(TModelo[[#This Row],[Rebal]]=1,PesoUSD*(X118+Y118+Z118),Z118)</f>
        <v>0</v>
      </c>
      <c r="U119" s="24">
        <f>TModelo[[#This Row],[IniCDT]]*TModelo[[#This Row],[RetCDT]]</f>
        <v>0</v>
      </c>
      <c r="V119" s="24">
        <f>TModelo[[#This Row],[IniCOLCAP]]*TModelo[[#This Row],[RetCOLCAP]]</f>
        <v>0</v>
      </c>
      <c r="W119" s="24">
        <f>TModelo[[#This Row],[IniUSD]]*TModelo[[#This Row],[RetUSD]]</f>
        <v>0</v>
      </c>
      <c r="X119" s="24">
        <f>TModelo[[#This Row],[Act]]*(TModelo[[#This Row],[IniCDT]]+TModelo[[#This Row],[IntCDT]]+PesoCDT*TModelo[[#This Row],[Outflow]])</f>
        <v>0</v>
      </c>
      <c r="Y119" s="24">
        <f>TModelo[[#This Row],[Act]]*(TModelo[[#This Row],[IniCOLCAP]]+TModelo[[#This Row],[IntCOLCAP]]+PesoCOLCAP*TModelo[[#This Row],[Outflow]])</f>
        <v>0</v>
      </c>
      <c r="Z119" s="24">
        <f>TModelo[[#This Row],[Act]]*(TModelo[[#This Row],[IniUSD]]+TModelo[[#This Row],[IntUSD]]+PesoUSD*TModelo[[#This Row],[Outflow]])</f>
        <v>0</v>
      </c>
      <c r="AA119" s="24">
        <f>TModelo[[#This Row],[BalCDT]]+TModelo[[#This Row],[BalCOLCAP]]+TModelo[[#This Row],[BalUSD]]</f>
        <v>0</v>
      </c>
      <c r="AB119" s="24">
        <f>IF(TModelo[[#This Row],[CumInfl]]&gt;0,TModelo[[#This Row],[TotalPreLiq]]/TModelo[[#This Row],[CumInfl]],0)</f>
        <v>0</v>
      </c>
      <c r="AC119" s="41">
        <f>(1+PerRate)^(-TModelo[[#This Row],[Period]])</f>
        <v>0.48824914482225545</v>
      </c>
      <c r="AD119" s="42">
        <f>TModelo[[#This Row],[NetCF]]*TModelo[[#This Row],[fd]]</f>
        <v>0</v>
      </c>
    </row>
    <row r="120" spans="2:30" ht="16.95" customHeight="1">
      <c r="B120" s="11">
        <v>93</v>
      </c>
      <c r="C120" s="25">
        <f>EDATE(FechaInicio,TModelo[[#This Row],[Period]])</f>
        <v>49124</v>
      </c>
      <c r="D120" s="11">
        <f>IF(AND(TModelo[[#This Row],[Period]]&gt;=1,TModelo[[#This Row],[Period]]&lt;=HorizonteMeses),1,0)</f>
        <v>0</v>
      </c>
      <c r="E120" s="40">
        <f>TModelo[[#This Row],[Act]]*(INFb+(INFpi0-INFb)*(1-INFa)^TModelo[[#This Row],[Period]])</f>
        <v>0</v>
      </c>
      <c r="F120" s="28">
        <f>IF(TModelo[[#This Row],[Period]]&lt;=HorizonteMeses,F119*(1+TModelo[[#This Row],[InflMes]]),0)</f>
        <v>0</v>
      </c>
      <c r="G120" s="21">
        <f>TModelo[[#This Row],[Act]]*(CDTb+(CDTx0-CDTb)*(1-CDTa)^TModelo[[#This Row],[Period]]+CDTspread)</f>
        <v>0</v>
      </c>
      <c r="H120" s="40">
        <f>TModelo[[#This Row],[Act]]*((1+TModelo[[#This Row],[TasaCDT]])^(1/12)-1)*(1-Retencion)</f>
        <v>0</v>
      </c>
      <c r="I120" s="40">
        <f>TModelo[[#This Row],[Act]]*(EXP(MuCOLCAP+SigmaCOLCAP^2/2)-1)</f>
        <v>0</v>
      </c>
      <c r="J120" s="40">
        <f>TModelo[[#This Row],[Act]]*(EXP(MuTRM+SigmaTRM^2/2)-1)</f>
        <v>0</v>
      </c>
      <c r="K120" s="11">
        <f>TModelo[[#This Row],[Act]]*IF(Rebalanceo="Mensual",1,IF(Rebalanceo="Anual",IF(MOD(TModelo[[#This Row],[Period]]-1,12)=0,1,0),0))</f>
        <v>0</v>
      </c>
      <c r="L120" s="24">
        <f>TModelo[[#This Row],[Act]]*AporteMensual*IF(CrecimientoAporte="Con IPC",F119,1)</f>
        <v>0</v>
      </c>
      <c r="M120" s="24">
        <f>IF(TModelo[[#This Row],[Period]]=HorizonteMeses,TModelo[[#This Row],[TotalPreLiq]],0)</f>
        <v>0</v>
      </c>
      <c r="N120" s="24">
        <f>TModelo[[#This Row],[Inflow]]-TModelo[[#This Row],[Outflow]]</f>
        <v>0</v>
      </c>
      <c r="O120" s="24">
        <f t="shared" si="1"/>
        <v>0</v>
      </c>
      <c r="P120" s="24">
        <f>TModelo[[#This Row],[IntCDT]]+TModelo[[#This Row],[IntCOLCAP]]+TModelo[[#This Row],[IntUSD]]</f>
        <v>0</v>
      </c>
      <c r="Q120" s="24">
        <f>TModelo[[#This Row],[InitialBalance]]+TModelo[[#This Row],[Interest]]+TModelo[[#This Row],[Outflow]]-TModelo[[#This Row],[Inflow]]</f>
        <v>0</v>
      </c>
      <c r="R120" s="24">
        <f>TModelo[[#This Row],[Act]]*IF(TModelo[[#This Row],[Rebal]]=1,PesoCDT*(X119+Y119+Z119),X119)</f>
        <v>0</v>
      </c>
      <c r="S120" s="24">
        <f>TModelo[[#This Row],[Act]]*IF(TModelo[[#This Row],[Rebal]]=1,PesoCOLCAP*(X119+Y119+Z119),Y119)</f>
        <v>0</v>
      </c>
      <c r="T120" s="24">
        <f>TModelo[[#This Row],[Act]]*IF(TModelo[[#This Row],[Rebal]]=1,PesoUSD*(X119+Y119+Z119),Z119)</f>
        <v>0</v>
      </c>
      <c r="U120" s="24">
        <f>TModelo[[#This Row],[IniCDT]]*TModelo[[#This Row],[RetCDT]]</f>
        <v>0</v>
      </c>
      <c r="V120" s="24">
        <f>TModelo[[#This Row],[IniCOLCAP]]*TModelo[[#This Row],[RetCOLCAP]]</f>
        <v>0</v>
      </c>
      <c r="W120" s="24">
        <f>TModelo[[#This Row],[IniUSD]]*TModelo[[#This Row],[RetUSD]]</f>
        <v>0</v>
      </c>
      <c r="X120" s="24">
        <f>TModelo[[#This Row],[Act]]*(TModelo[[#This Row],[IniCDT]]+TModelo[[#This Row],[IntCDT]]+PesoCDT*TModelo[[#This Row],[Outflow]])</f>
        <v>0</v>
      </c>
      <c r="Y120" s="24">
        <f>TModelo[[#This Row],[Act]]*(TModelo[[#This Row],[IniCOLCAP]]+TModelo[[#This Row],[IntCOLCAP]]+PesoCOLCAP*TModelo[[#This Row],[Outflow]])</f>
        <v>0</v>
      </c>
      <c r="Z120" s="24">
        <f>TModelo[[#This Row],[Act]]*(TModelo[[#This Row],[IniUSD]]+TModelo[[#This Row],[IntUSD]]+PesoUSD*TModelo[[#This Row],[Outflow]])</f>
        <v>0</v>
      </c>
      <c r="AA120" s="24">
        <f>TModelo[[#This Row],[BalCDT]]+TModelo[[#This Row],[BalCOLCAP]]+TModelo[[#This Row],[BalUSD]]</f>
        <v>0</v>
      </c>
      <c r="AB120" s="24">
        <f>IF(TModelo[[#This Row],[CumInfl]]&gt;0,TModelo[[#This Row],[TotalPreLiq]]/TModelo[[#This Row],[CumInfl]],0)</f>
        <v>0</v>
      </c>
      <c r="AC120" s="41">
        <f>(1+PerRate)^(-TModelo[[#This Row],[Period]])</f>
        <v>0.484459146443388</v>
      </c>
      <c r="AD120" s="42">
        <f>TModelo[[#This Row],[NetCF]]*TModelo[[#This Row],[fd]]</f>
        <v>0</v>
      </c>
    </row>
    <row r="121" spans="2:30" ht="16.95" customHeight="1">
      <c r="B121" s="11">
        <v>94</v>
      </c>
      <c r="C121" s="25">
        <f>EDATE(FechaInicio,TModelo[[#This Row],[Period]])</f>
        <v>49154</v>
      </c>
      <c r="D121" s="11">
        <f>IF(AND(TModelo[[#This Row],[Period]]&gt;=1,TModelo[[#This Row],[Period]]&lt;=HorizonteMeses),1,0)</f>
        <v>0</v>
      </c>
      <c r="E121" s="40">
        <f>TModelo[[#This Row],[Act]]*(INFb+(INFpi0-INFb)*(1-INFa)^TModelo[[#This Row],[Period]])</f>
        <v>0</v>
      </c>
      <c r="F121" s="28">
        <f>IF(TModelo[[#This Row],[Period]]&lt;=HorizonteMeses,F120*(1+TModelo[[#This Row],[InflMes]]),0)</f>
        <v>0</v>
      </c>
      <c r="G121" s="21">
        <f>TModelo[[#This Row],[Act]]*(CDTb+(CDTx0-CDTb)*(1-CDTa)^TModelo[[#This Row],[Period]]+CDTspread)</f>
        <v>0</v>
      </c>
      <c r="H121" s="40">
        <f>TModelo[[#This Row],[Act]]*((1+TModelo[[#This Row],[TasaCDT]])^(1/12)-1)*(1-Retencion)</f>
        <v>0</v>
      </c>
      <c r="I121" s="40">
        <f>TModelo[[#This Row],[Act]]*(EXP(MuCOLCAP+SigmaCOLCAP^2/2)-1)</f>
        <v>0</v>
      </c>
      <c r="J121" s="40">
        <f>TModelo[[#This Row],[Act]]*(EXP(MuTRM+SigmaTRM^2/2)-1)</f>
        <v>0</v>
      </c>
      <c r="K121" s="11">
        <f>TModelo[[#This Row],[Act]]*IF(Rebalanceo="Mensual",1,IF(Rebalanceo="Anual",IF(MOD(TModelo[[#This Row],[Period]]-1,12)=0,1,0),0))</f>
        <v>0</v>
      </c>
      <c r="L121" s="24">
        <f>TModelo[[#This Row],[Act]]*AporteMensual*IF(CrecimientoAporte="Con IPC",F120,1)</f>
        <v>0</v>
      </c>
      <c r="M121" s="24">
        <f>IF(TModelo[[#This Row],[Period]]=HorizonteMeses,TModelo[[#This Row],[TotalPreLiq]],0)</f>
        <v>0</v>
      </c>
      <c r="N121" s="24">
        <f>TModelo[[#This Row],[Inflow]]-TModelo[[#This Row],[Outflow]]</f>
        <v>0</v>
      </c>
      <c r="O121" s="24">
        <f t="shared" si="1"/>
        <v>0</v>
      </c>
      <c r="P121" s="24">
        <f>TModelo[[#This Row],[IntCDT]]+TModelo[[#This Row],[IntCOLCAP]]+TModelo[[#This Row],[IntUSD]]</f>
        <v>0</v>
      </c>
      <c r="Q121" s="24">
        <f>TModelo[[#This Row],[InitialBalance]]+TModelo[[#This Row],[Interest]]+TModelo[[#This Row],[Outflow]]-TModelo[[#This Row],[Inflow]]</f>
        <v>0</v>
      </c>
      <c r="R121" s="24">
        <f>TModelo[[#This Row],[Act]]*IF(TModelo[[#This Row],[Rebal]]=1,PesoCDT*(X120+Y120+Z120),X120)</f>
        <v>0</v>
      </c>
      <c r="S121" s="24">
        <f>TModelo[[#This Row],[Act]]*IF(TModelo[[#This Row],[Rebal]]=1,PesoCOLCAP*(X120+Y120+Z120),Y120)</f>
        <v>0</v>
      </c>
      <c r="T121" s="24">
        <f>TModelo[[#This Row],[Act]]*IF(TModelo[[#This Row],[Rebal]]=1,PesoUSD*(X120+Y120+Z120),Z120)</f>
        <v>0</v>
      </c>
      <c r="U121" s="24">
        <f>TModelo[[#This Row],[IniCDT]]*TModelo[[#This Row],[RetCDT]]</f>
        <v>0</v>
      </c>
      <c r="V121" s="24">
        <f>TModelo[[#This Row],[IniCOLCAP]]*TModelo[[#This Row],[RetCOLCAP]]</f>
        <v>0</v>
      </c>
      <c r="W121" s="24">
        <f>TModelo[[#This Row],[IniUSD]]*TModelo[[#This Row],[RetUSD]]</f>
        <v>0</v>
      </c>
      <c r="X121" s="24">
        <f>TModelo[[#This Row],[Act]]*(TModelo[[#This Row],[IniCDT]]+TModelo[[#This Row],[IntCDT]]+PesoCDT*TModelo[[#This Row],[Outflow]])</f>
        <v>0</v>
      </c>
      <c r="Y121" s="24">
        <f>TModelo[[#This Row],[Act]]*(TModelo[[#This Row],[IniCOLCAP]]+TModelo[[#This Row],[IntCOLCAP]]+PesoCOLCAP*TModelo[[#This Row],[Outflow]])</f>
        <v>0</v>
      </c>
      <c r="Z121" s="24">
        <f>TModelo[[#This Row],[Act]]*(TModelo[[#This Row],[IniUSD]]+TModelo[[#This Row],[IntUSD]]+PesoUSD*TModelo[[#This Row],[Outflow]])</f>
        <v>0</v>
      </c>
      <c r="AA121" s="24">
        <f>TModelo[[#This Row],[BalCDT]]+TModelo[[#This Row],[BalCOLCAP]]+TModelo[[#This Row],[BalUSD]]</f>
        <v>0</v>
      </c>
      <c r="AB121" s="24">
        <f>IF(TModelo[[#This Row],[CumInfl]]&gt;0,TModelo[[#This Row],[TotalPreLiq]]/TModelo[[#This Row],[CumInfl]],0)</f>
        <v>0</v>
      </c>
      <c r="AC121" s="41">
        <f>(1+PerRate)^(-TModelo[[#This Row],[Period]])</f>
        <v>0.48069856765053343</v>
      </c>
      <c r="AD121" s="42">
        <f>TModelo[[#This Row],[NetCF]]*TModelo[[#This Row],[fd]]</f>
        <v>0</v>
      </c>
    </row>
    <row r="122" spans="2:30" ht="16.95" customHeight="1">
      <c r="B122" s="11">
        <v>95</v>
      </c>
      <c r="C122" s="25">
        <f>EDATE(FechaInicio,TModelo[[#This Row],[Period]])</f>
        <v>49185</v>
      </c>
      <c r="D122" s="11">
        <f>IF(AND(TModelo[[#This Row],[Period]]&gt;=1,TModelo[[#This Row],[Period]]&lt;=HorizonteMeses),1,0)</f>
        <v>0</v>
      </c>
      <c r="E122" s="40">
        <f>TModelo[[#This Row],[Act]]*(INFb+(INFpi0-INFb)*(1-INFa)^TModelo[[#This Row],[Period]])</f>
        <v>0</v>
      </c>
      <c r="F122" s="28">
        <f>IF(TModelo[[#This Row],[Period]]&lt;=HorizonteMeses,F121*(1+TModelo[[#This Row],[InflMes]]),0)</f>
        <v>0</v>
      </c>
      <c r="G122" s="21">
        <f>TModelo[[#This Row],[Act]]*(CDTb+(CDTx0-CDTb)*(1-CDTa)^TModelo[[#This Row],[Period]]+CDTspread)</f>
        <v>0</v>
      </c>
      <c r="H122" s="40">
        <f>TModelo[[#This Row],[Act]]*((1+TModelo[[#This Row],[TasaCDT]])^(1/12)-1)*(1-Retencion)</f>
        <v>0</v>
      </c>
      <c r="I122" s="40">
        <f>TModelo[[#This Row],[Act]]*(EXP(MuCOLCAP+SigmaCOLCAP^2/2)-1)</f>
        <v>0</v>
      </c>
      <c r="J122" s="40">
        <f>TModelo[[#This Row],[Act]]*(EXP(MuTRM+SigmaTRM^2/2)-1)</f>
        <v>0</v>
      </c>
      <c r="K122" s="11">
        <f>TModelo[[#This Row],[Act]]*IF(Rebalanceo="Mensual",1,IF(Rebalanceo="Anual",IF(MOD(TModelo[[#This Row],[Period]]-1,12)=0,1,0),0))</f>
        <v>0</v>
      </c>
      <c r="L122" s="24">
        <f>TModelo[[#This Row],[Act]]*AporteMensual*IF(CrecimientoAporte="Con IPC",F121,1)</f>
        <v>0</v>
      </c>
      <c r="M122" s="24">
        <f>IF(TModelo[[#This Row],[Period]]=HorizonteMeses,TModelo[[#This Row],[TotalPreLiq]],0)</f>
        <v>0</v>
      </c>
      <c r="N122" s="24">
        <f>TModelo[[#This Row],[Inflow]]-TModelo[[#This Row],[Outflow]]</f>
        <v>0</v>
      </c>
      <c r="O122" s="24">
        <f t="shared" si="1"/>
        <v>0</v>
      </c>
      <c r="P122" s="24">
        <f>TModelo[[#This Row],[IntCDT]]+TModelo[[#This Row],[IntCOLCAP]]+TModelo[[#This Row],[IntUSD]]</f>
        <v>0</v>
      </c>
      <c r="Q122" s="24">
        <f>TModelo[[#This Row],[InitialBalance]]+TModelo[[#This Row],[Interest]]+TModelo[[#This Row],[Outflow]]-TModelo[[#This Row],[Inflow]]</f>
        <v>0</v>
      </c>
      <c r="R122" s="24">
        <f>TModelo[[#This Row],[Act]]*IF(TModelo[[#This Row],[Rebal]]=1,PesoCDT*(X121+Y121+Z121),X121)</f>
        <v>0</v>
      </c>
      <c r="S122" s="24">
        <f>TModelo[[#This Row],[Act]]*IF(TModelo[[#This Row],[Rebal]]=1,PesoCOLCAP*(X121+Y121+Z121),Y121)</f>
        <v>0</v>
      </c>
      <c r="T122" s="24">
        <f>TModelo[[#This Row],[Act]]*IF(TModelo[[#This Row],[Rebal]]=1,PesoUSD*(X121+Y121+Z121),Z121)</f>
        <v>0</v>
      </c>
      <c r="U122" s="24">
        <f>TModelo[[#This Row],[IniCDT]]*TModelo[[#This Row],[RetCDT]]</f>
        <v>0</v>
      </c>
      <c r="V122" s="24">
        <f>TModelo[[#This Row],[IniCOLCAP]]*TModelo[[#This Row],[RetCOLCAP]]</f>
        <v>0</v>
      </c>
      <c r="W122" s="24">
        <f>TModelo[[#This Row],[IniUSD]]*TModelo[[#This Row],[RetUSD]]</f>
        <v>0</v>
      </c>
      <c r="X122" s="24">
        <f>TModelo[[#This Row],[Act]]*(TModelo[[#This Row],[IniCDT]]+TModelo[[#This Row],[IntCDT]]+PesoCDT*TModelo[[#This Row],[Outflow]])</f>
        <v>0</v>
      </c>
      <c r="Y122" s="24">
        <f>TModelo[[#This Row],[Act]]*(TModelo[[#This Row],[IniCOLCAP]]+TModelo[[#This Row],[IntCOLCAP]]+PesoCOLCAP*TModelo[[#This Row],[Outflow]])</f>
        <v>0</v>
      </c>
      <c r="Z122" s="24">
        <f>TModelo[[#This Row],[Act]]*(TModelo[[#This Row],[IniUSD]]+TModelo[[#This Row],[IntUSD]]+PesoUSD*TModelo[[#This Row],[Outflow]])</f>
        <v>0</v>
      </c>
      <c r="AA122" s="24">
        <f>TModelo[[#This Row],[BalCDT]]+TModelo[[#This Row],[BalCOLCAP]]+TModelo[[#This Row],[BalUSD]]</f>
        <v>0</v>
      </c>
      <c r="AB122" s="24">
        <f>IF(TModelo[[#This Row],[CumInfl]]&gt;0,TModelo[[#This Row],[TotalPreLiq]]/TModelo[[#This Row],[CumInfl]],0)</f>
        <v>0</v>
      </c>
      <c r="AC122" s="41">
        <f>(1+PerRate)^(-TModelo[[#This Row],[Period]])</f>
        <v>0.4769671800763009</v>
      </c>
      <c r="AD122" s="42">
        <f>TModelo[[#This Row],[NetCF]]*TModelo[[#This Row],[fd]]</f>
        <v>0</v>
      </c>
    </row>
    <row r="123" spans="2:30" ht="16.95" customHeight="1">
      <c r="B123" s="11">
        <v>96</v>
      </c>
      <c r="C123" s="25">
        <f>EDATE(FechaInicio,TModelo[[#This Row],[Period]])</f>
        <v>49216</v>
      </c>
      <c r="D123" s="11">
        <f>IF(AND(TModelo[[#This Row],[Period]]&gt;=1,TModelo[[#This Row],[Period]]&lt;=HorizonteMeses),1,0)</f>
        <v>0</v>
      </c>
      <c r="E123" s="40">
        <f>TModelo[[#This Row],[Act]]*(INFb+(INFpi0-INFb)*(1-INFa)^TModelo[[#This Row],[Period]])</f>
        <v>0</v>
      </c>
      <c r="F123" s="28">
        <f>IF(TModelo[[#This Row],[Period]]&lt;=HorizonteMeses,F122*(1+TModelo[[#This Row],[InflMes]]),0)</f>
        <v>0</v>
      </c>
      <c r="G123" s="21">
        <f>TModelo[[#This Row],[Act]]*(CDTb+(CDTx0-CDTb)*(1-CDTa)^TModelo[[#This Row],[Period]]+CDTspread)</f>
        <v>0</v>
      </c>
      <c r="H123" s="40">
        <f>TModelo[[#This Row],[Act]]*((1+TModelo[[#This Row],[TasaCDT]])^(1/12)-1)*(1-Retencion)</f>
        <v>0</v>
      </c>
      <c r="I123" s="40">
        <f>TModelo[[#This Row],[Act]]*(EXP(MuCOLCAP+SigmaCOLCAP^2/2)-1)</f>
        <v>0</v>
      </c>
      <c r="J123" s="40">
        <f>TModelo[[#This Row],[Act]]*(EXP(MuTRM+SigmaTRM^2/2)-1)</f>
        <v>0</v>
      </c>
      <c r="K123" s="11">
        <f>TModelo[[#This Row],[Act]]*IF(Rebalanceo="Mensual",1,IF(Rebalanceo="Anual",IF(MOD(TModelo[[#This Row],[Period]]-1,12)=0,1,0),0))</f>
        <v>0</v>
      </c>
      <c r="L123" s="24">
        <f>TModelo[[#This Row],[Act]]*AporteMensual*IF(CrecimientoAporte="Con IPC",F122,1)</f>
        <v>0</v>
      </c>
      <c r="M123" s="24">
        <f>IF(TModelo[[#This Row],[Period]]=HorizonteMeses,TModelo[[#This Row],[TotalPreLiq]],0)</f>
        <v>0</v>
      </c>
      <c r="N123" s="24">
        <f>TModelo[[#This Row],[Inflow]]-TModelo[[#This Row],[Outflow]]</f>
        <v>0</v>
      </c>
      <c r="O123" s="24">
        <f t="shared" si="1"/>
        <v>0</v>
      </c>
      <c r="P123" s="24">
        <f>TModelo[[#This Row],[IntCDT]]+TModelo[[#This Row],[IntCOLCAP]]+TModelo[[#This Row],[IntUSD]]</f>
        <v>0</v>
      </c>
      <c r="Q123" s="24">
        <f>TModelo[[#This Row],[InitialBalance]]+TModelo[[#This Row],[Interest]]+TModelo[[#This Row],[Outflow]]-TModelo[[#This Row],[Inflow]]</f>
        <v>0</v>
      </c>
      <c r="R123" s="24">
        <f>TModelo[[#This Row],[Act]]*IF(TModelo[[#This Row],[Rebal]]=1,PesoCDT*(X122+Y122+Z122),X122)</f>
        <v>0</v>
      </c>
      <c r="S123" s="24">
        <f>TModelo[[#This Row],[Act]]*IF(TModelo[[#This Row],[Rebal]]=1,PesoCOLCAP*(X122+Y122+Z122),Y122)</f>
        <v>0</v>
      </c>
      <c r="T123" s="24">
        <f>TModelo[[#This Row],[Act]]*IF(TModelo[[#This Row],[Rebal]]=1,PesoUSD*(X122+Y122+Z122),Z122)</f>
        <v>0</v>
      </c>
      <c r="U123" s="24">
        <f>TModelo[[#This Row],[IniCDT]]*TModelo[[#This Row],[RetCDT]]</f>
        <v>0</v>
      </c>
      <c r="V123" s="24">
        <f>TModelo[[#This Row],[IniCOLCAP]]*TModelo[[#This Row],[RetCOLCAP]]</f>
        <v>0</v>
      </c>
      <c r="W123" s="24">
        <f>TModelo[[#This Row],[IniUSD]]*TModelo[[#This Row],[RetUSD]]</f>
        <v>0</v>
      </c>
      <c r="X123" s="24">
        <f>TModelo[[#This Row],[Act]]*(TModelo[[#This Row],[IniCDT]]+TModelo[[#This Row],[IntCDT]]+PesoCDT*TModelo[[#This Row],[Outflow]])</f>
        <v>0</v>
      </c>
      <c r="Y123" s="24">
        <f>TModelo[[#This Row],[Act]]*(TModelo[[#This Row],[IniCOLCAP]]+TModelo[[#This Row],[IntCOLCAP]]+PesoCOLCAP*TModelo[[#This Row],[Outflow]])</f>
        <v>0</v>
      </c>
      <c r="Z123" s="24">
        <f>TModelo[[#This Row],[Act]]*(TModelo[[#This Row],[IniUSD]]+TModelo[[#This Row],[IntUSD]]+PesoUSD*TModelo[[#This Row],[Outflow]])</f>
        <v>0</v>
      </c>
      <c r="AA123" s="24">
        <f>TModelo[[#This Row],[BalCDT]]+TModelo[[#This Row],[BalCOLCAP]]+TModelo[[#This Row],[BalUSD]]</f>
        <v>0</v>
      </c>
      <c r="AB123" s="24">
        <f>IF(TModelo[[#This Row],[CumInfl]]&gt;0,TModelo[[#This Row],[TotalPreLiq]]/TModelo[[#This Row],[CumInfl]],0)</f>
        <v>0</v>
      </c>
      <c r="AC123" s="41">
        <f>(1+PerRate)^(-TModelo[[#This Row],[Period]])</f>
        <v>0.4732647571259847</v>
      </c>
      <c r="AD123" s="42">
        <f>TModelo[[#This Row],[NetCF]]*TModelo[[#This Row],[fd]]</f>
        <v>0</v>
      </c>
    </row>
    <row r="124" spans="2:30" ht="16.95" customHeight="1">
      <c r="B124" s="11">
        <v>97</v>
      </c>
      <c r="C124" s="25">
        <f>EDATE(FechaInicio,TModelo[[#This Row],[Period]])</f>
        <v>49246</v>
      </c>
      <c r="D124" s="11">
        <f>IF(AND(TModelo[[#This Row],[Period]]&gt;=1,TModelo[[#This Row],[Period]]&lt;=HorizonteMeses),1,0)</f>
        <v>0</v>
      </c>
      <c r="E124" s="40">
        <f>TModelo[[#This Row],[Act]]*(INFb+(INFpi0-INFb)*(1-INFa)^TModelo[[#This Row],[Period]])</f>
        <v>0</v>
      </c>
      <c r="F124" s="28">
        <f>IF(TModelo[[#This Row],[Period]]&lt;=HorizonteMeses,F123*(1+TModelo[[#This Row],[InflMes]]),0)</f>
        <v>0</v>
      </c>
      <c r="G124" s="21">
        <f>TModelo[[#This Row],[Act]]*(CDTb+(CDTx0-CDTb)*(1-CDTa)^TModelo[[#This Row],[Period]]+CDTspread)</f>
        <v>0</v>
      </c>
      <c r="H124" s="40">
        <f>TModelo[[#This Row],[Act]]*((1+TModelo[[#This Row],[TasaCDT]])^(1/12)-1)*(1-Retencion)</f>
        <v>0</v>
      </c>
      <c r="I124" s="40">
        <f>TModelo[[#This Row],[Act]]*(EXP(MuCOLCAP+SigmaCOLCAP^2/2)-1)</f>
        <v>0</v>
      </c>
      <c r="J124" s="40">
        <f>TModelo[[#This Row],[Act]]*(EXP(MuTRM+SigmaTRM^2/2)-1)</f>
        <v>0</v>
      </c>
      <c r="K124" s="11">
        <f>TModelo[[#This Row],[Act]]*IF(Rebalanceo="Mensual",1,IF(Rebalanceo="Anual",IF(MOD(TModelo[[#This Row],[Period]]-1,12)=0,1,0),0))</f>
        <v>0</v>
      </c>
      <c r="L124" s="24">
        <f>TModelo[[#This Row],[Act]]*AporteMensual*IF(CrecimientoAporte="Con IPC",F123,1)</f>
        <v>0</v>
      </c>
      <c r="M124" s="24">
        <f>IF(TModelo[[#This Row],[Period]]=HorizonteMeses,TModelo[[#This Row],[TotalPreLiq]],0)</f>
        <v>0</v>
      </c>
      <c r="N124" s="24">
        <f>TModelo[[#This Row],[Inflow]]-TModelo[[#This Row],[Outflow]]</f>
        <v>0</v>
      </c>
      <c r="O124" s="24">
        <f t="shared" si="1"/>
        <v>0</v>
      </c>
      <c r="P124" s="24">
        <f>TModelo[[#This Row],[IntCDT]]+TModelo[[#This Row],[IntCOLCAP]]+TModelo[[#This Row],[IntUSD]]</f>
        <v>0</v>
      </c>
      <c r="Q124" s="24">
        <f>TModelo[[#This Row],[InitialBalance]]+TModelo[[#This Row],[Interest]]+TModelo[[#This Row],[Outflow]]-TModelo[[#This Row],[Inflow]]</f>
        <v>0</v>
      </c>
      <c r="R124" s="24">
        <f>TModelo[[#This Row],[Act]]*IF(TModelo[[#This Row],[Rebal]]=1,PesoCDT*(X123+Y123+Z123),X123)</f>
        <v>0</v>
      </c>
      <c r="S124" s="24">
        <f>TModelo[[#This Row],[Act]]*IF(TModelo[[#This Row],[Rebal]]=1,PesoCOLCAP*(X123+Y123+Z123),Y123)</f>
        <v>0</v>
      </c>
      <c r="T124" s="24">
        <f>TModelo[[#This Row],[Act]]*IF(TModelo[[#This Row],[Rebal]]=1,PesoUSD*(X123+Y123+Z123),Z123)</f>
        <v>0</v>
      </c>
      <c r="U124" s="24">
        <f>TModelo[[#This Row],[IniCDT]]*TModelo[[#This Row],[RetCDT]]</f>
        <v>0</v>
      </c>
      <c r="V124" s="24">
        <f>TModelo[[#This Row],[IniCOLCAP]]*TModelo[[#This Row],[RetCOLCAP]]</f>
        <v>0</v>
      </c>
      <c r="W124" s="24">
        <f>TModelo[[#This Row],[IniUSD]]*TModelo[[#This Row],[RetUSD]]</f>
        <v>0</v>
      </c>
      <c r="X124" s="24">
        <f>TModelo[[#This Row],[Act]]*(TModelo[[#This Row],[IniCDT]]+TModelo[[#This Row],[IntCDT]]+PesoCDT*TModelo[[#This Row],[Outflow]])</f>
        <v>0</v>
      </c>
      <c r="Y124" s="24">
        <f>TModelo[[#This Row],[Act]]*(TModelo[[#This Row],[IniCOLCAP]]+TModelo[[#This Row],[IntCOLCAP]]+PesoCOLCAP*TModelo[[#This Row],[Outflow]])</f>
        <v>0</v>
      </c>
      <c r="Z124" s="24">
        <f>TModelo[[#This Row],[Act]]*(TModelo[[#This Row],[IniUSD]]+TModelo[[#This Row],[IntUSD]]+PesoUSD*TModelo[[#This Row],[Outflow]])</f>
        <v>0</v>
      </c>
      <c r="AA124" s="24">
        <f>TModelo[[#This Row],[BalCDT]]+TModelo[[#This Row],[BalCOLCAP]]+TModelo[[#This Row],[BalUSD]]</f>
        <v>0</v>
      </c>
      <c r="AB124" s="24">
        <f>IF(TModelo[[#This Row],[CumInfl]]&gt;0,TModelo[[#This Row],[TotalPreLiq]]/TModelo[[#This Row],[CumInfl]],0)</f>
        <v>0</v>
      </c>
      <c r="AC124" s="41">
        <f>(1+PerRate)^(-TModelo[[#This Row],[Period]])</f>
        <v>0.46959107396380412</v>
      </c>
      <c r="AD124" s="42">
        <f>TModelo[[#This Row],[NetCF]]*TModelo[[#This Row],[fd]]</f>
        <v>0</v>
      </c>
    </row>
    <row r="125" spans="2:30" ht="16.95" customHeight="1">
      <c r="B125" s="11">
        <v>98</v>
      </c>
      <c r="C125" s="25">
        <f>EDATE(FechaInicio,TModelo[[#This Row],[Period]])</f>
        <v>49277</v>
      </c>
      <c r="D125" s="11">
        <f>IF(AND(TModelo[[#This Row],[Period]]&gt;=1,TModelo[[#This Row],[Period]]&lt;=HorizonteMeses),1,0)</f>
        <v>0</v>
      </c>
      <c r="E125" s="40">
        <f>TModelo[[#This Row],[Act]]*(INFb+(INFpi0-INFb)*(1-INFa)^TModelo[[#This Row],[Period]])</f>
        <v>0</v>
      </c>
      <c r="F125" s="28">
        <f>IF(TModelo[[#This Row],[Period]]&lt;=HorizonteMeses,F124*(1+TModelo[[#This Row],[InflMes]]),0)</f>
        <v>0</v>
      </c>
      <c r="G125" s="21">
        <f>TModelo[[#This Row],[Act]]*(CDTb+(CDTx0-CDTb)*(1-CDTa)^TModelo[[#This Row],[Period]]+CDTspread)</f>
        <v>0</v>
      </c>
      <c r="H125" s="40">
        <f>TModelo[[#This Row],[Act]]*((1+TModelo[[#This Row],[TasaCDT]])^(1/12)-1)*(1-Retencion)</f>
        <v>0</v>
      </c>
      <c r="I125" s="40">
        <f>TModelo[[#This Row],[Act]]*(EXP(MuCOLCAP+SigmaCOLCAP^2/2)-1)</f>
        <v>0</v>
      </c>
      <c r="J125" s="40">
        <f>TModelo[[#This Row],[Act]]*(EXP(MuTRM+SigmaTRM^2/2)-1)</f>
        <v>0</v>
      </c>
      <c r="K125" s="11">
        <f>TModelo[[#This Row],[Act]]*IF(Rebalanceo="Mensual",1,IF(Rebalanceo="Anual",IF(MOD(TModelo[[#This Row],[Period]]-1,12)=0,1,0),0))</f>
        <v>0</v>
      </c>
      <c r="L125" s="24">
        <f>TModelo[[#This Row],[Act]]*AporteMensual*IF(CrecimientoAporte="Con IPC",F124,1)</f>
        <v>0</v>
      </c>
      <c r="M125" s="24">
        <f>IF(TModelo[[#This Row],[Period]]=HorizonteMeses,TModelo[[#This Row],[TotalPreLiq]],0)</f>
        <v>0</v>
      </c>
      <c r="N125" s="24">
        <f>TModelo[[#This Row],[Inflow]]-TModelo[[#This Row],[Outflow]]</f>
        <v>0</v>
      </c>
      <c r="O125" s="24">
        <f t="shared" si="1"/>
        <v>0</v>
      </c>
      <c r="P125" s="24">
        <f>TModelo[[#This Row],[IntCDT]]+TModelo[[#This Row],[IntCOLCAP]]+TModelo[[#This Row],[IntUSD]]</f>
        <v>0</v>
      </c>
      <c r="Q125" s="24">
        <f>TModelo[[#This Row],[InitialBalance]]+TModelo[[#This Row],[Interest]]+TModelo[[#This Row],[Outflow]]-TModelo[[#This Row],[Inflow]]</f>
        <v>0</v>
      </c>
      <c r="R125" s="24">
        <f>TModelo[[#This Row],[Act]]*IF(TModelo[[#This Row],[Rebal]]=1,PesoCDT*(X124+Y124+Z124),X124)</f>
        <v>0</v>
      </c>
      <c r="S125" s="24">
        <f>TModelo[[#This Row],[Act]]*IF(TModelo[[#This Row],[Rebal]]=1,PesoCOLCAP*(X124+Y124+Z124),Y124)</f>
        <v>0</v>
      </c>
      <c r="T125" s="24">
        <f>TModelo[[#This Row],[Act]]*IF(TModelo[[#This Row],[Rebal]]=1,PesoUSD*(X124+Y124+Z124),Z124)</f>
        <v>0</v>
      </c>
      <c r="U125" s="24">
        <f>TModelo[[#This Row],[IniCDT]]*TModelo[[#This Row],[RetCDT]]</f>
        <v>0</v>
      </c>
      <c r="V125" s="24">
        <f>TModelo[[#This Row],[IniCOLCAP]]*TModelo[[#This Row],[RetCOLCAP]]</f>
        <v>0</v>
      </c>
      <c r="W125" s="24">
        <f>TModelo[[#This Row],[IniUSD]]*TModelo[[#This Row],[RetUSD]]</f>
        <v>0</v>
      </c>
      <c r="X125" s="24">
        <f>TModelo[[#This Row],[Act]]*(TModelo[[#This Row],[IniCDT]]+TModelo[[#This Row],[IntCDT]]+PesoCDT*TModelo[[#This Row],[Outflow]])</f>
        <v>0</v>
      </c>
      <c r="Y125" s="24">
        <f>TModelo[[#This Row],[Act]]*(TModelo[[#This Row],[IniCOLCAP]]+TModelo[[#This Row],[IntCOLCAP]]+PesoCOLCAP*TModelo[[#This Row],[Outflow]])</f>
        <v>0</v>
      </c>
      <c r="Z125" s="24">
        <f>TModelo[[#This Row],[Act]]*(TModelo[[#This Row],[IniUSD]]+TModelo[[#This Row],[IntUSD]]+PesoUSD*TModelo[[#This Row],[Outflow]])</f>
        <v>0</v>
      </c>
      <c r="AA125" s="24">
        <f>TModelo[[#This Row],[BalCDT]]+TModelo[[#This Row],[BalCOLCAP]]+TModelo[[#This Row],[BalUSD]]</f>
        <v>0</v>
      </c>
      <c r="AB125" s="24">
        <f>IF(TModelo[[#This Row],[CumInfl]]&gt;0,TModelo[[#This Row],[TotalPreLiq]]/TModelo[[#This Row],[CumInfl]],0)</f>
        <v>0</v>
      </c>
      <c r="AC125" s="41">
        <f>(1+PerRate)^(-TModelo[[#This Row],[Period]])</f>
        <v>0.4659459074992498</v>
      </c>
      <c r="AD125" s="42">
        <f>TModelo[[#This Row],[NetCF]]*TModelo[[#This Row],[fd]]</f>
        <v>0</v>
      </c>
    </row>
    <row r="126" spans="2:30" ht="16.95" customHeight="1">
      <c r="B126" s="11">
        <v>99</v>
      </c>
      <c r="C126" s="25">
        <f>EDATE(FechaInicio,TModelo[[#This Row],[Period]])</f>
        <v>49307</v>
      </c>
      <c r="D126" s="11">
        <f>IF(AND(TModelo[[#This Row],[Period]]&gt;=1,TModelo[[#This Row],[Period]]&lt;=HorizonteMeses),1,0)</f>
        <v>0</v>
      </c>
      <c r="E126" s="40">
        <f>TModelo[[#This Row],[Act]]*(INFb+(INFpi0-INFb)*(1-INFa)^TModelo[[#This Row],[Period]])</f>
        <v>0</v>
      </c>
      <c r="F126" s="28">
        <f>IF(TModelo[[#This Row],[Period]]&lt;=HorizonteMeses,F125*(1+TModelo[[#This Row],[InflMes]]),0)</f>
        <v>0</v>
      </c>
      <c r="G126" s="21">
        <f>TModelo[[#This Row],[Act]]*(CDTb+(CDTx0-CDTb)*(1-CDTa)^TModelo[[#This Row],[Period]]+CDTspread)</f>
        <v>0</v>
      </c>
      <c r="H126" s="40">
        <f>TModelo[[#This Row],[Act]]*((1+TModelo[[#This Row],[TasaCDT]])^(1/12)-1)*(1-Retencion)</f>
        <v>0</v>
      </c>
      <c r="I126" s="40">
        <f>TModelo[[#This Row],[Act]]*(EXP(MuCOLCAP+SigmaCOLCAP^2/2)-1)</f>
        <v>0</v>
      </c>
      <c r="J126" s="40">
        <f>TModelo[[#This Row],[Act]]*(EXP(MuTRM+SigmaTRM^2/2)-1)</f>
        <v>0</v>
      </c>
      <c r="K126" s="11">
        <f>TModelo[[#This Row],[Act]]*IF(Rebalanceo="Mensual",1,IF(Rebalanceo="Anual",IF(MOD(TModelo[[#This Row],[Period]]-1,12)=0,1,0),0))</f>
        <v>0</v>
      </c>
      <c r="L126" s="24">
        <f>TModelo[[#This Row],[Act]]*AporteMensual*IF(CrecimientoAporte="Con IPC",F125,1)</f>
        <v>0</v>
      </c>
      <c r="M126" s="24">
        <f>IF(TModelo[[#This Row],[Period]]=HorizonteMeses,TModelo[[#This Row],[TotalPreLiq]],0)</f>
        <v>0</v>
      </c>
      <c r="N126" s="24">
        <f>TModelo[[#This Row],[Inflow]]-TModelo[[#This Row],[Outflow]]</f>
        <v>0</v>
      </c>
      <c r="O126" s="24">
        <f t="shared" si="1"/>
        <v>0</v>
      </c>
      <c r="P126" s="24">
        <f>TModelo[[#This Row],[IntCDT]]+TModelo[[#This Row],[IntCOLCAP]]+TModelo[[#This Row],[IntUSD]]</f>
        <v>0</v>
      </c>
      <c r="Q126" s="24">
        <f>TModelo[[#This Row],[InitialBalance]]+TModelo[[#This Row],[Interest]]+TModelo[[#This Row],[Outflow]]-TModelo[[#This Row],[Inflow]]</f>
        <v>0</v>
      </c>
      <c r="R126" s="24">
        <f>TModelo[[#This Row],[Act]]*IF(TModelo[[#This Row],[Rebal]]=1,PesoCDT*(X125+Y125+Z125),X125)</f>
        <v>0</v>
      </c>
      <c r="S126" s="24">
        <f>TModelo[[#This Row],[Act]]*IF(TModelo[[#This Row],[Rebal]]=1,PesoCOLCAP*(X125+Y125+Z125),Y125)</f>
        <v>0</v>
      </c>
      <c r="T126" s="24">
        <f>TModelo[[#This Row],[Act]]*IF(TModelo[[#This Row],[Rebal]]=1,PesoUSD*(X125+Y125+Z125),Z125)</f>
        <v>0</v>
      </c>
      <c r="U126" s="24">
        <f>TModelo[[#This Row],[IniCDT]]*TModelo[[#This Row],[RetCDT]]</f>
        <v>0</v>
      </c>
      <c r="V126" s="24">
        <f>TModelo[[#This Row],[IniCOLCAP]]*TModelo[[#This Row],[RetCOLCAP]]</f>
        <v>0</v>
      </c>
      <c r="W126" s="24">
        <f>TModelo[[#This Row],[IniUSD]]*TModelo[[#This Row],[RetUSD]]</f>
        <v>0</v>
      </c>
      <c r="X126" s="24">
        <f>TModelo[[#This Row],[Act]]*(TModelo[[#This Row],[IniCDT]]+TModelo[[#This Row],[IntCDT]]+PesoCDT*TModelo[[#This Row],[Outflow]])</f>
        <v>0</v>
      </c>
      <c r="Y126" s="24">
        <f>TModelo[[#This Row],[Act]]*(TModelo[[#This Row],[IniCOLCAP]]+TModelo[[#This Row],[IntCOLCAP]]+PesoCOLCAP*TModelo[[#This Row],[Outflow]])</f>
        <v>0</v>
      </c>
      <c r="Z126" s="24">
        <f>TModelo[[#This Row],[Act]]*(TModelo[[#This Row],[IniUSD]]+TModelo[[#This Row],[IntUSD]]+PesoUSD*TModelo[[#This Row],[Outflow]])</f>
        <v>0</v>
      </c>
      <c r="AA126" s="24">
        <f>TModelo[[#This Row],[BalCDT]]+TModelo[[#This Row],[BalCOLCAP]]+TModelo[[#This Row],[BalUSD]]</f>
        <v>0</v>
      </c>
      <c r="AB126" s="24">
        <f>IF(TModelo[[#This Row],[CumInfl]]&gt;0,TModelo[[#This Row],[TotalPreLiq]]/TModelo[[#This Row],[CumInfl]],0)</f>
        <v>0</v>
      </c>
      <c r="AC126" s="41">
        <f>(1+PerRate)^(-TModelo[[#This Row],[Period]])</f>
        <v>0.4623290363735359</v>
      </c>
      <c r="AD126" s="42">
        <f>TModelo[[#This Row],[NetCF]]*TModelo[[#This Row],[fd]]</f>
        <v>0</v>
      </c>
    </row>
    <row r="127" spans="2:30" ht="16.95" customHeight="1">
      <c r="B127" s="11">
        <v>100</v>
      </c>
      <c r="C127" s="25">
        <f>EDATE(FechaInicio,TModelo[[#This Row],[Period]])</f>
        <v>49338</v>
      </c>
      <c r="D127" s="11">
        <f>IF(AND(TModelo[[#This Row],[Period]]&gt;=1,TModelo[[#This Row],[Period]]&lt;=HorizonteMeses),1,0)</f>
        <v>0</v>
      </c>
      <c r="E127" s="40">
        <f>TModelo[[#This Row],[Act]]*(INFb+(INFpi0-INFb)*(1-INFa)^TModelo[[#This Row],[Period]])</f>
        <v>0</v>
      </c>
      <c r="F127" s="28">
        <f>IF(TModelo[[#This Row],[Period]]&lt;=HorizonteMeses,F126*(1+TModelo[[#This Row],[InflMes]]),0)</f>
        <v>0</v>
      </c>
      <c r="G127" s="21">
        <f>TModelo[[#This Row],[Act]]*(CDTb+(CDTx0-CDTb)*(1-CDTa)^TModelo[[#This Row],[Period]]+CDTspread)</f>
        <v>0</v>
      </c>
      <c r="H127" s="40">
        <f>TModelo[[#This Row],[Act]]*((1+TModelo[[#This Row],[TasaCDT]])^(1/12)-1)*(1-Retencion)</f>
        <v>0</v>
      </c>
      <c r="I127" s="40">
        <f>TModelo[[#This Row],[Act]]*(EXP(MuCOLCAP+SigmaCOLCAP^2/2)-1)</f>
        <v>0</v>
      </c>
      <c r="J127" s="40">
        <f>TModelo[[#This Row],[Act]]*(EXP(MuTRM+SigmaTRM^2/2)-1)</f>
        <v>0</v>
      </c>
      <c r="K127" s="11">
        <f>TModelo[[#This Row],[Act]]*IF(Rebalanceo="Mensual",1,IF(Rebalanceo="Anual",IF(MOD(TModelo[[#This Row],[Period]]-1,12)=0,1,0),0))</f>
        <v>0</v>
      </c>
      <c r="L127" s="24">
        <f>TModelo[[#This Row],[Act]]*AporteMensual*IF(CrecimientoAporte="Con IPC",F126,1)</f>
        <v>0</v>
      </c>
      <c r="M127" s="24">
        <f>IF(TModelo[[#This Row],[Period]]=HorizonteMeses,TModelo[[#This Row],[TotalPreLiq]],0)</f>
        <v>0</v>
      </c>
      <c r="N127" s="24">
        <f>TModelo[[#This Row],[Inflow]]-TModelo[[#This Row],[Outflow]]</f>
        <v>0</v>
      </c>
      <c r="O127" s="24">
        <f t="shared" si="1"/>
        <v>0</v>
      </c>
      <c r="P127" s="24">
        <f>TModelo[[#This Row],[IntCDT]]+TModelo[[#This Row],[IntCOLCAP]]+TModelo[[#This Row],[IntUSD]]</f>
        <v>0</v>
      </c>
      <c r="Q127" s="24">
        <f>TModelo[[#This Row],[InitialBalance]]+TModelo[[#This Row],[Interest]]+TModelo[[#This Row],[Outflow]]-TModelo[[#This Row],[Inflow]]</f>
        <v>0</v>
      </c>
      <c r="R127" s="24">
        <f>TModelo[[#This Row],[Act]]*IF(TModelo[[#This Row],[Rebal]]=1,PesoCDT*(X126+Y126+Z126),X126)</f>
        <v>0</v>
      </c>
      <c r="S127" s="24">
        <f>TModelo[[#This Row],[Act]]*IF(TModelo[[#This Row],[Rebal]]=1,PesoCOLCAP*(X126+Y126+Z126),Y126)</f>
        <v>0</v>
      </c>
      <c r="T127" s="24">
        <f>TModelo[[#This Row],[Act]]*IF(TModelo[[#This Row],[Rebal]]=1,PesoUSD*(X126+Y126+Z126),Z126)</f>
        <v>0</v>
      </c>
      <c r="U127" s="24">
        <f>TModelo[[#This Row],[IniCDT]]*TModelo[[#This Row],[RetCDT]]</f>
        <v>0</v>
      </c>
      <c r="V127" s="24">
        <f>TModelo[[#This Row],[IniCOLCAP]]*TModelo[[#This Row],[RetCOLCAP]]</f>
        <v>0</v>
      </c>
      <c r="W127" s="24">
        <f>TModelo[[#This Row],[IniUSD]]*TModelo[[#This Row],[RetUSD]]</f>
        <v>0</v>
      </c>
      <c r="X127" s="24">
        <f>TModelo[[#This Row],[Act]]*(TModelo[[#This Row],[IniCDT]]+TModelo[[#This Row],[IntCDT]]+PesoCDT*TModelo[[#This Row],[Outflow]])</f>
        <v>0</v>
      </c>
      <c r="Y127" s="24">
        <f>TModelo[[#This Row],[Act]]*(TModelo[[#This Row],[IniCOLCAP]]+TModelo[[#This Row],[IntCOLCAP]]+PesoCOLCAP*TModelo[[#This Row],[Outflow]])</f>
        <v>0</v>
      </c>
      <c r="Z127" s="24">
        <f>TModelo[[#This Row],[Act]]*(TModelo[[#This Row],[IniUSD]]+TModelo[[#This Row],[IntUSD]]+PesoUSD*TModelo[[#This Row],[Outflow]])</f>
        <v>0</v>
      </c>
      <c r="AA127" s="24">
        <f>TModelo[[#This Row],[BalCDT]]+TModelo[[#This Row],[BalCOLCAP]]+TModelo[[#This Row],[BalUSD]]</f>
        <v>0</v>
      </c>
      <c r="AB127" s="24">
        <f>IF(TModelo[[#This Row],[CumInfl]]&gt;0,TModelo[[#This Row],[TotalPreLiq]]/TModelo[[#This Row],[CumInfl]],0)</f>
        <v>0</v>
      </c>
      <c r="AC127" s="41">
        <f>(1+PerRate)^(-TModelo[[#This Row],[Period]])</f>
        <v>0.45874024094615851</v>
      </c>
      <c r="AD127" s="42">
        <f>TModelo[[#This Row],[NetCF]]*TModelo[[#This Row],[fd]]</f>
        <v>0</v>
      </c>
    </row>
    <row r="128" spans="2:30" ht="16.95" customHeight="1">
      <c r="B128" s="11">
        <v>101</v>
      </c>
      <c r="C128" s="25">
        <f>EDATE(FechaInicio,TModelo[[#This Row],[Period]])</f>
        <v>49368</v>
      </c>
      <c r="D128" s="11">
        <f>IF(AND(TModelo[[#This Row],[Period]]&gt;=1,TModelo[[#This Row],[Period]]&lt;=HorizonteMeses),1,0)</f>
        <v>0</v>
      </c>
      <c r="E128" s="40">
        <f>TModelo[[#This Row],[Act]]*(INFb+(INFpi0-INFb)*(1-INFa)^TModelo[[#This Row],[Period]])</f>
        <v>0</v>
      </c>
      <c r="F128" s="28">
        <f>IF(TModelo[[#This Row],[Period]]&lt;=HorizonteMeses,F127*(1+TModelo[[#This Row],[InflMes]]),0)</f>
        <v>0</v>
      </c>
      <c r="G128" s="21">
        <f>TModelo[[#This Row],[Act]]*(CDTb+(CDTx0-CDTb)*(1-CDTa)^TModelo[[#This Row],[Period]]+CDTspread)</f>
        <v>0</v>
      </c>
      <c r="H128" s="40">
        <f>TModelo[[#This Row],[Act]]*((1+TModelo[[#This Row],[TasaCDT]])^(1/12)-1)*(1-Retencion)</f>
        <v>0</v>
      </c>
      <c r="I128" s="40">
        <f>TModelo[[#This Row],[Act]]*(EXP(MuCOLCAP+SigmaCOLCAP^2/2)-1)</f>
        <v>0</v>
      </c>
      <c r="J128" s="40">
        <f>TModelo[[#This Row],[Act]]*(EXP(MuTRM+SigmaTRM^2/2)-1)</f>
        <v>0</v>
      </c>
      <c r="K128" s="11">
        <f>TModelo[[#This Row],[Act]]*IF(Rebalanceo="Mensual",1,IF(Rebalanceo="Anual",IF(MOD(TModelo[[#This Row],[Period]]-1,12)=0,1,0),0))</f>
        <v>0</v>
      </c>
      <c r="L128" s="24">
        <f>TModelo[[#This Row],[Act]]*AporteMensual*IF(CrecimientoAporte="Con IPC",F127,1)</f>
        <v>0</v>
      </c>
      <c r="M128" s="24">
        <f>IF(TModelo[[#This Row],[Period]]=HorizonteMeses,TModelo[[#This Row],[TotalPreLiq]],0)</f>
        <v>0</v>
      </c>
      <c r="N128" s="24">
        <f>TModelo[[#This Row],[Inflow]]-TModelo[[#This Row],[Outflow]]</f>
        <v>0</v>
      </c>
      <c r="O128" s="24">
        <f t="shared" si="1"/>
        <v>0</v>
      </c>
      <c r="P128" s="24">
        <f>TModelo[[#This Row],[IntCDT]]+TModelo[[#This Row],[IntCOLCAP]]+TModelo[[#This Row],[IntUSD]]</f>
        <v>0</v>
      </c>
      <c r="Q128" s="24">
        <f>TModelo[[#This Row],[InitialBalance]]+TModelo[[#This Row],[Interest]]+TModelo[[#This Row],[Outflow]]-TModelo[[#This Row],[Inflow]]</f>
        <v>0</v>
      </c>
      <c r="R128" s="24">
        <f>TModelo[[#This Row],[Act]]*IF(TModelo[[#This Row],[Rebal]]=1,PesoCDT*(X127+Y127+Z127),X127)</f>
        <v>0</v>
      </c>
      <c r="S128" s="24">
        <f>TModelo[[#This Row],[Act]]*IF(TModelo[[#This Row],[Rebal]]=1,PesoCOLCAP*(X127+Y127+Z127),Y127)</f>
        <v>0</v>
      </c>
      <c r="T128" s="24">
        <f>TModelo[[#This Row],[Act]]*IF(TModelo[[#This Row],[Rebal]]=1,PesoUSD*(X127+Y127+Z127),Z127)</f>
        <v>0</v>
      </c>
      <c r="U128" s="24">
        <f>TModelo[[#This Row],[IniCDT]]*TModelo[[#This Row],[RetCDT]]</f>
        <v>0</v>
      </c>
      <c r="V128" s="24">
        <f>TModelo[[#This Row],[IniCOLCAP]]*TModelo[[#This Row],[RetCOLCAP]]</f>
        <v>0</v>
      </c>
      <c r="W128" s="24">
        <f>TModelo[[#This Row],[IniUSD]]*TModelo[[#This Row],[RetUSD]]</f>
        <v>0</v>
      </c>
      <c r="X128" s="24">
        <f>TModelo[[#This Row],[Act]]*(TModelo[[#This Row],[IniCDT]]+TModelo[[#This Row],[IntCDT]]+PesoCDT*TModelo[[#This Row],[Outflow]])</f>
        <v>0</v>
      </c>
      <c r="Y128" s="24">
        <f>TModelo[[#This Row],[Act]]*(TModelo[[#This Row],[IniCOLCAP]]+TModelo[[#This Row],[IntCOLCAP]]+PesoCOLCAP*TModelo[[#This Row],[Outflow]])</f>
        <v>0</v>
      </c>
      <c r="Z128" s="24">
        <f>TModelo[[#This Row],[Act]]*(TModelo[[#This Row],[IniUSD]]+TModelo[[#This Row],[IntUSD]]+PesoUSD*TModelo[[#This Row],[Outflow]])</f>
        <v>0</v>
      </c>
      <c r="AA128" s="24">
        <f>TModelo[[#This Row],[BalCDT]]+TModelo[[#This Row],[BalCOLCAP]]+TModelo[[#This Row],[BalUSD]]</f>
        <v>0</v>
      </c>
      <c r="AB128" s="24">
        <f>IF(TModelo[[#This Row],[CumInfl]]&gt;0,TModelo[[#This Row],[TotalPreLiq]]/TModelo[[#This Row],[CumInfl]],0)</f>
        <v>0</v>
      </c>
      <c r="AC128" s="41">
        <f>(1+PerRate)^(-TModelo[[#This Row],[Period]])</f>
        <v>0.45517930328155665</v>
      </c>
      <c r="AD128" s="42">
        <f>TModelo[[#This Row],[NetCF]]*TModelo[[#This Row],[fd]]</f>
        <v>0</v>
      </c>
    </row>
    <row r="129" spans="2:30" ht="16.95" customHeight="1">
      <c r="B129" s="11">
        <v>102</v>
      </c>
      <c r="C129" s="25">
        <f>EDATE(FechaInicio,TModelo[[#This Row],[Period]])</f>
        <v>49397</v>
      </c>
      <c r="D129" s="11">
        <f>IF(AND(TModelo[[#This Row],[Period]]&gt;=1,TModelo[[#This Row],[Period]]&lt;=HorizonteMeses),1,0)</f>
        <v>0</v>
      </c>
      <c r="E129" s="40">
        <f>TModelo[[#This Row],[Act]]*(INFb+(INFpi0-INFb)*(1-INFa)^TModelo[[#This Row],[Period]])</f>
        <v>0</v>
      </c>
      <c r="F129" s="28">
        <f>IF(TModelo[[#This Row],[Period]]&lt;=HorizonteMeses,F128*(1+TModelo[[#This Row],[InflMes]]),0)</f>
        <v>0</v>
      </c>
      <c r="G129" s="21">
        <f>TModelo[[#This Row],[Act]]*(CDTb+(CDTx0-CDTb)*(1-CDTa)^TModelo[[#This Row],[Period]]+CDTspread)</f>
        <v>0</v>
      </c>
      <c r="H129" s="40">
        <f>TModelo[[#This Row],[Act]]*((1+TModelo[[#This Row],[TasaCDT]])^(1/12)-1)*(1-Retencion)</f>
        <v>0</v>
      </c>
      <c r="I129" s="40">
        <f>TModelo[[#This Row],[Act]]*(EXP(MuCOLCAP+SigmaCOLCAP^2/2)-1)</f>
        <v>0</v>
      </c>
      <c r="J129" s="40">
        <f>TModelo[[#This Row],[Act]]*(EXP(MuTRM+SigmaTRM^2/2)-1)</f>
        <v>0</v>
      </c>
      <c r="K129" s="11">
        <f>TModelo[[#This Row],[Act]]*IF(Rebalanceo="Mensual",1,IF(Rebalanceo="Anual",IF(MOD(TModelo[[#This Row],[Period]]-1,12)=0,1,0),0))</f>
        <v>0</v>
      </c>
      <c r="L129" s="24">
        <f>TModelo[[#This Row],[Act]]*AporteMensual*IF(CrecimientoAporte="Con IPC",F128,1)</f>
        <v>0</v>
      </c>
      <c r="M129" s="24">
        <f>IF(TModelo[[#This Row],[Period]]=HorizonteMeses,TModelo[[#This Row],[TotalPreLiq]],0)</f>
        <v>0</v>
      </c>
      <c r="N129" s="24">
        <f>TModelo[[#This Row],[Inflow]]-TModelo[[#This Row],[Outflow]]</f>
        <v>0</v>
      </c>
      <c r="O129" s="24">
        <f t="shared" si="1"/>
        <v>0</v>
      </c>
      <c r="P129" s="24">
        <f>TModelo[[#This Row],[IntCDT]]+TModelo[[#This Row],[IntCOLCAP]]+TModelo[[#This Row],[IntUSD]]</f>
        <v>0</v>
      </c>
      <c r="Q129" s="24">
        <f>TModelo[[#This Row],[InitialBalance]]+TModelo[[#This Row],[Interest]]+TModelo[[#This Row],[Outflow]]-TModelo[[#This Row],[Inflow]]</f>
        <v>0</v>
      </c>
      <c r="R129" s="24">
        <f>TModelo[[#This Row],[Act]]*IF(TModelo[[#This Row],[Rebal]]=1,PesoCDT*(X128+Y128+Z128),X128)</f>
        <v>0</v>
      </c>
      <c r="S129" s="24">
        <f>TModelo[[#This Row],[Act]]*IF(TModelo[[#This Row],[Rebal]]=1,PesoCOLCAP*(X128+Y128+Z128),Y128)</f>
        <v>0</v>
      </c>
      <c r="T129" s="24">
        <f>TModelo[[#This Row],[Act]]*IF(TModelo[[#This Row],[Rebal]]=1,PesoUSD*(X128+Y128+Z128),Z128)</f>
        <v>0</v>
      </c>
      <c r="U129" s="24">
        <f>TModelo[[#This Row],[IniCDT]]*TModelo[[#This Row],[RetCDT]]</f>
        <v>0</v>
      </c>
      <c r="V129" s="24">
        <f>TModelo[[#This Row],[IniCOLCAP]]*TModelo[[#This Row],[RetCOLCAP]]</f>
        <v>0</v>
      </c>
      <c r="W129" s="24">
        <f>TModelo[[#This Row],[IniUSD]]*TModelo[[#This Row],[RetUSD]]</f>
        <v>0</v>
      </c>
      <c r="X129" s="24">
        <f>TModelo[[#This Row],[Act]]*(TModelo[[#This Row],[IniCDT]]+TModelo[[#This Row],[IntCDT]]+PesoCDT*TModelo[[#This Row],[Outflow]])</f>
        <v>0</v>
      </c>
      <c r="Y129" s="24">
        <f>TModelo[[#This Row],[Act]]*(TModelo[[#This Row],[IniCOLCAP]]+TModelo[[#This Row],[IntCOLCAP]]+PesoCOLCAP*TModelo[[#This Row],[Outflow]])</f>
        <v>0</v>
      </c>
      <c r="Z129" s="24">
        <f>TModelo[[#This Row],[Act]]*(TModelo[[#This Row],[IniUSD]]+TModelo[[#This Row],[IntUSD]]+PesoUSD*TModelo[[#This Row],[Outflow]])</f>
        <v>0</v>
      </c>
      <c r="AA129" s="24">
        <f>TModelo[[#This Row],[BalCDT]]+TModelo[[#This Row],[BalCOLCAP]]+TModelo[[#This Row],[BalUSD]]</f>
        <v>0</v>
      </c>
      <c r="AB129" s="24">
        <f>IF(TModelo[[#This Row],[CumInfl]]&gt;0,TModelo[[#This Row],[TotalPreLiq]]/TModelo[[#This Row],[CumInfl]],0)</f>
        <v>0</v>
      </c>
      <c r="AC129" s="41">
        <f>(1+PerRate)^(-TModelo[[#This Row],[Period]])</f>
        <v>0.45164600713587855</v>
      </c>
      <c r="AD129" s="42">
        <f>TModelo[[#This Row],[NetCF]]*TModelo[[#This Row],[fd]]</f>
        <v>0</v>
      </c>
    </row>
    <row r="130" spans="2:30" ht="16.95" customHeight="1">
      <c r="B130" s="11">
        <v>103</v>
      </c>
      <c r="C130" s="25">
        <f>EDATE(FechaInicio,TModelo[[#This Row],[Period]])</f>
        <v>49428</v>
      </c>
      <c r="D130" s="11">
        <f>IF(AND(TModelo[[#This Row],[Period]]&gt;=1,TModelo[[#This Row],[Period]]&lt;=HorizonteMeses),1,0)</f>
        <v>0</v>
      </c>
      <c r="E130" s="40">
        <f>TModelo[[#This Row],[Act]]*(INFb+(INFpi0-INFb)*(1-INFa)^TModelo[[#This Row],[Period]])</f>
        <v>0</v>
      </c>
      <c r="F130" s="28">
        <f>IF(TModelo[[#This Row],[Period]]&lt;=HorizonteMeses,F129*(1+TModelo[[#This Row],[InflMes]]),0)</f>
        <v>0</v>
      </c>
      <c r="G130" s="21">
        <f>TModelo[[#This Row],[Act]]*(CDTb+(CDTx0-CDTb)*(1-CDTa)^TModelo[[#This Row],[Period]]+CDTspread)</f>
        <v>0</v>
      </c>
      <c r="H130" s="40">
        <f>TModelo[[#This Row],[Act]]*((1+TModelo[[#This Row],[TasaCDT]])^(1/12)-1)*(1-Retencion)</f>
        <v>0</v>
      </c>
      <c r="I130" s="40">
        <f>TModelo[[#This Row],[Act]]*(EXP(MuCOLCAP+SigmaCOLCAP^2/2)-1)</f>
        <v>0</v>
      </c>
      <c r="J130" s="40">
        <f>TModelo[[#This Row],[Act]]*(EXP(MuTRM+SigmaTRM^2/2)-1)</f>
        <v>0</v>
      </c>
      <c r="K130" s="11">
        <f>TModelo[[#This Row],[Act]]*IF(Rebalanceo="Mensual",1,IF(Rebalanceo="Anual",IF(MOD(TModelo[[#This Row],[Period]]-1,12)=0,1,0),0))</f>
        <v>0</v>
      </c>
      <c r="L130" s="24">
        <f>TModelo[[#This Row],[Act]]*AporteMensual*IF(CrecimientoAporte="Con IPC",F129,1)</f>
        <v>0</v>
      </c>
      <c r="M130" s="24">
        <f>IF(TModelo[[#This Row],[Period]]=HorizonteMeses,TModelo[[#This Row],[TotalPreLiq]],0)</f>
        <v>0</v>
      </c>
      <c r="N130" s="24">
        <f>TModelo[[#This Row],[Inflow]]-TModelo[[#This Row],[Outflow]]</f>
        <v>0</v>
      </c>
      <c r="O130" s="24">
        <f t="shared" si="1"/>
        <v>0</v>
      </c>
      <c r="P130" s="24">
        <f>TModelo[[#This Row],[IntCDT]]+TModelo[[#This Row],[IntCOLCAP]]+TModelo[[#This Row],[IntUSD]]</f>
        <v>0</v>
      </c>
      <c r="Q130" s="24">
        <f>TModelo[[#This Row],[InitialBalance]]+TModelo[[#This Row],[Interest]]+TModelo[[#This Row],[Outflow]]-TModelo[[#This Row],[Inflow]]</f>
        <v>0</v>
      </c>
      <c r="R130" s="24">
        <f>TModelo[[#This Row],[Act]]*IF(TModelo[[#This Row],[Rebal]]=1,PesoCDT*(X129+Y129+Z129),X129)</f>
        <v>0</v>
      </c>
      <c r="S130" s="24">
        <f>TModelo[[#This Row],[Act]]*IF(TModelo[[#This Row],[Rebal]]=1,PesoCOLCAP*(X129+Y129+Z129),Y129)</f>
        <v>0</v>
      </c>
      <c r="T130" s="24">
        <f>TModelo[[#This Row],[Act]]*IF(TModelo[[#This Row],[Rebal]]=1,PesoUSD*(X129+Y129+Z129),Z129)</f>
        <v>0</v>
      </c>
      <c r="U130" s="24">
        <f>TModelo[[#This Row],[IniCDT]]*TModelo[[#This Row],[RetCDT]]</f>
        <v>0</v>
      </c>
      <c r="V130" s="24">
        <f>TModelo[[#This Row],[IniCOLCAP]]*TModelo[[#This Row],[RetCOLCAP]]</f>
        <v>0</v>
      </c>
      <c r="W130" s="24">
        <f>TModelo[[#This Row],[IniUSD]]*TModelo[[#This Row],[RetUSD]]</f>
        <v>0</v>
      </c>
      <c r="X130" s="24">
        <f>TModelo[[#This Row],[Act]]*(TModelo[[#This Row],[IniCDT]]+TModelo[[#This Row],[IntCDT]]+PesoCDT*TModelo[[#This Row],[Outflow]])</f>
        <v>0</v>
      </c>
      <c r="Y130" s="24">
        <f>TModelo[[#This Row],[Act]]*(TModelo[[#This Row],[IniCOLCAP]]+TModelo[[#This Row],[IntCOLCAP]]+PesoCOLCAP*TModelo[[#This Row],[Outflow]])</f>
        <v>0</v>
      </c>
      <c r="Z130" s="24">
        <f>TModelo[[#This Row],[Act]]*(TModelo[[#This Row],[IniUSD]]+TModelo[[#This Row],[IntUSD]]+PesoUSD*TModelo[[#This Row],[Outflow]])</f>
        <v>0</v>
      </c>
      <c r="AA130" s="24">
        <f>TModelo[[#This Row],[BalCDT]]+TModelo[[#This Row],[BalCOLCAP]]+TModelo[[#This Row],[BalUSD]]</f>
        <v>0</v>
      </c>
      <c r="AB130" s="24">
        <f>IF(TModelo[[#This Row],[CumInfl]]&gt;0,TModelo[[#This Row],[TotalPreLiq]]/TModelo[[#This Row],[CumInfl]],0)</f>
        <v>0</v>
      </c>
      <c r="AC130" s="41">
        <f>(1+PerRate)^(-TModelo[[#This Row],[Period]])</f>
        <v>0.44814013794384938</v>
      </c>
      <c r="AD130" s="42">
        <f>TModelo[[#This Row],[NetCF]]*TModelo[[#This Row],[fd]]</f>
        <v>0</v>
      </c>
    </row>
    <row r="131" spans="2:30" ht="16.95" customHeight="1">
      <c r="B131" s="11">
        <v>104</v>
      </c>
      <c r="C131" s="25">
        <f>EDATE(FechaInicio,TModelo[[#This Row],[Period]])</f>
        <v>49458</v>
      </c>
      <c r="D131" s="11">
        <f>IF(AND(TModelo[[#This Row],[Period]]&gt;=1,TModelo[[#This Row],[Period]]&lt;=HorizonteMeses),1,0)</f>
        <v>0</v>
      </c>
      <c r="E131" s="40">
        <f>TModelo[[#This Row],[Act]]*(INFb+(INFpi0-INFb)*(1-INFa)^TModelo[[#This Row],[Period]])</f>
        <v>0</v>
      </c>
      <c r="F131" s="28">
        <f>IF(TModelo[[#This Row],[Period]]&lt;=HorizonteMeses,F130*(1+TModelo[[#This Row],[InflMes]]),0)</f>
        <v>0</v>
      </c>
      <c r="G131" s="21">
        <f>TModelo[[#This Row],[Act]]*(CDTb+(CDTx0-CDTb)*(1-CDTa)^TModelo[[#This Row],[Period]]+CDTspread)</f>
        <v>0</v>
      </c>
      <c r="H131" s="40">
        <f>TModelo[[#This Row],[Act]]*((1+TModelo[[#This Row],[TasaCDT]])^(1/12)-1)*(1-Retencion)</f>
        <v>0</v>
      </c>
      <c r="I131" s="40">
        <f>TModelo[[#This Row],[Act]]*(EXP(MuCOLCAP+SigmaCOLCAP^2/2)-1)</f>
        <v>0</v>
      </c>
      <c r="J131" s="40">
        <f>TModelo[[#This Row],[Act]]*(EXP(MuTRM+SigmaTRM^2/2)-1)</f>
        <v>0</v>
      </c>
      <c r="K131" s="11">
        <f>TModelo[[#This Row],[Act]]*IF(Rebalanceo="Mensual",1,IF(Rebalanceo="Anual",IF(MOD(TModelo[[#This Row],[Period]]-1,12)=0,1,0),0))</f>
        <v>0</v>
      </c>
      <c r="L131" s="24">
        <f>TModelo[[#This Row],[Act]]*AporteMensual*IF(CrecimientoAporte="Con IPC",F130,1)</f>
        <v>0</v>
      </c>
      <c r="M131" s="24">
        <f>IF(TModelo[[#This Row],[Period]]=HorizonteMeses,TModelo[[#This Row],[TotalPreLiq]],0)</f>
        <v>0</v>
      </c>
      <c r="N131" s="24">
        <f>TModelo[[#This Row],[Inflow]]-TModelo[[#This Row],[Outflow]]</f>
        <v>0</v>
      </c>
      <c r="O131" s="24">
        <f t="shared" si="1"/>
        <v>0</v>
      </c>
      <c r="P131" s="24">
        <f>TModelo[[#This Row],[IntCDT]]+TModelo[[#This Row],[IntCOLCAP]]+TModelo[[#This Row],[IntUSD]]</f>
        <v>0</v>
      </c>
      <c r="Q131" s="24">
        <f>TModelo[[#This Row],[InitialBalance]]+TModelo[[#This Row],[Interest]]+TModelo[[#This Row],[Outflow]]-TModelo[[#This Row],[Inflow]]</f>
        <v>0</v>
      </c>
      <c r="R131" s="24">
        <f>TModelo[[#This Row],[Act]]*IF(TModelo[[#This Row],[Rebal]]=1,PesoCDT*(X130+Y130+Z130),X130)</f>
        <v>0</v>
      </c>
      <c r="S131" s="24">
        <f>TModelo[[#This Row],[Act]]*IF(TModelo[[#This Row],[Rebal]]=1,PesoCOLCAP*(X130+Y130+Z130),Y130)</f>
        <v>0</v>
      </c>
      <c r="T131" s="24">
        <f>TModelo[[#This Row],[Act]]*IF(TModelo[[#This Row],[Rebal]]=1,PesoUSD*(X130+Y130+Z130),Z130)</f>
        <v>0</v>
      </c>
      <c r="U131" s="24">
        <f>TModelo[[#This Row],[IniCDT]]*TModelo[[#This Row],[RetCDT]]</f>
        <v>0</v>
      </c>
      <c r="V131" s="24">
        <f>TModelo[[#This Row],[IniCOLCAP]]*TModelo[[#This Row],[RetCOLCAP]]</f>
        <v>0</v>
      </c>
      <c r="W131" s="24">
        <f>TModelo[[#This Row],[IniUSD]]*TModelo[[#This Row],[RetUSD]]</f>
        <v>0</v>
      </c>
      <c r="X131" s="24">
        <f>TModelo[[#This Row],[Act]]*(TModelo[[#This Row],[IniCDT]]+TModelo[[#This Row],[IntCDT]]+PesoCDT*TModelo[[#This Row],[Outflow]])</f>
        <v>0</v>
      </c>
      <c r="Y131" s="24">
        <f>TModelo[[#This Row],[Act]]*(TModelo[[#This Row],[IniCOLCAP]]+TModelo[[#This Row],[IntCOLCAP]]+PesoCOLCAP*TModelo[[#This Row],[Outflow]])</f>
        <v>0</v>
      </c>
      <c r="Z131" s="24">
        <f>TModelo[[#This Row],[Act]]*(TModelo[[#This Row],[IniUSD]]+TModelo[[#This Row],[IntUSD]]+PesoUSD*TModelo[[#This Row],[Outflow]])</f>
        <v>0</v>
      </c>
      <c r="AA131" s="24">
        <f>TModelo[[#This Row],[BalCDT]]+TModelo[[#This Row],[BalCOLCAP]]+TModelo[[#This Row],[BalUSD]]</f>
        <v>0</v>
      </c>
      <c r="AB131" s="24">
        <f>IF(TModelo[[#This Row],[CumInfl]]&gt;0,TModelo[[#This Row],[TotalPreLiq]]/TModelo[[#This Row],[CumInfl]],0)</f>
        <v>0</v>
      </c>
      <c r="AC131" s="41">
        <f>(1+PerRate)^(-TModelo[[#This Row],[Period]])</f>
        <v>0.44466148280574158</v>
      </c>
      <c r="AD131" s="42">
        <f>TModelo[[#This Row],[NetCF]]*TModelo[[#This Row],[fd]]</f>
        <v>0</v>
      </c>
    </row>
    <row r="132" spans="2:30" ht="16.95" customHeight="1">
      <c r="B132" s="11">
        <v>105</v>
      </c>
      <c r="C132" s="25">
        <f>EDATE(FechaInicio,TModelo[[#This Row],[Period]])</f>
        <v>49489</v>
      </c>
      <c r="D132" s="11">
        <f>IF(AND(TModelo[[#This Row],[Period]]&gt;=1,TModelo[[#This Row],[Period]]&lt;=HorizonteMeses),1,0)</f>
        <v>0</v>
      </c>
      <c r="E132" s="40">
        <f>TModelo[[#This Row],[Act]]*(INFb+(INFpi0-INFb)*(1-INFa)^TModelo[[#This Row],[Period]])</f>
        <v>0</v>
      </c>
      <c r="F132" s="28">
        <f>IF(TModelo[[#This Row],[Period]]&lt;=HorizonteMeses,F131*(1+TModelo[[#This Row],[InflMes]]),0)</f>
        <v>0</v>
      </c>
      <c r="G132" s="21">
        <f>TModelo[[#This Row],[Act]]*(CDTb+(CDTx0-CDTb)*(1-CDTa)^TModelo[[#This Row],[Period]]+CDTspread)</f>
        <v>0</v>
      </c>
      <c r="H132" s="40">
        <f>TModelo[[#This Row],[Act]]*((1+TModelo[[#This Row],[TasaCDT]])^(1/12)-1)*(1-Retencion)</f>
        <v>0</v>
      </c>
      <c r="I132" s="40">
        <f>TModelo[[#This Row],[Act]]*(EXP(MuCOLCAP+SigmaCOLCAP^2/2)-1)</f>
        <v>0</v>
      </c>
      <c r="J132" s="40">
        <f>TModelo[[#This Row],[Act]]*(EXP(MuTRM+SigmaTRM^2/2)-1)</f>
        <v>0</v>
      </c>
      <c r="K132" s="11">
        <f>TModelo[[#This Row],[Act]]*IF(Rebalanceo="Mensual",1,IF(Rebalanceo="Anual",IF(MOD(TModelo[[#This Row],[Period]]-1,12)=0,1,0),0))</f>
        <v>0</v>
      </c>
      <c r="L132" s="24">
        <f>TModelo[[#This Row],[Act]]*AporteMensual*IF(CrecimientoAporte="Con IPC",F131,1)</f>
        <v>0</v>
      </c>
      <c r="M132" s="24">
        <f>IF(TModelo[[#This Row],[Period]]=HorizonteMeses,TModelo[[#This Row],[TotalPreLiq]],0)</f>
        <v>0</v>
      </c>
      <c r="N132" s="24">
        <f>TModelo[[#This Row],[Inflow]]-TModelo[[#This Row],[Outflow]]</f>
        <v>0</v>
      </c>
      <c r="O132" s="24">
        <f t="shared" si="1"/>
        <v>0</v>
      </c>
      <c r="P132" s="24">
        <f>TModelo[[#This Row],[IntCDT]]+TModelo[[#This Row],[IntCOLCAP]]+TModelo[[#This Row],[IntUSD]]</f>
        <v>0</v>
      </c>
      <c r="Q132" s="24">
        <f>TModelo[[#This Row],[InitialBalance]]+TModelo[[#This Row],[Interest]]+TModelo[[#This Row],[Outflow]]-TModelo[[#This Row],[Inflow]]</f>
        <v>0</v>
      </c>
      <c r="R132" s="24">
        <f>TModelo[[#This Row],[Act]]*IF(TModelo[[#This Row],[Rebal]]=1,PesoCDT*(X131+Y131+Z131),X131)</f>
        <v>0</v>
      </c>
      <c r="S132" s="24">
        <f>TModelo[[#This Row],[Act]]*IF(TModelo[[#This Row],[Rebal]]=1,PesoCOLCAP*(X131+Y131+Z131),Y131)</f>
        <v>0</v>
      </c>
      <c r="T132" s="24">
        <f>TModelo[[#This Row],[Act]]*IF(TModelo[[#This Row],[Rebal]]=1,PesoUSD*(X131+Y131+Z131),Z131)</f>
        <v>0</v>
      </c>
      <c r="U132" s="24">
        <f>TModelo[[#This Row],[IniCDT]]*TModelo[[#This Row],[RetCDT]]</f>
        <v>0</v>
      </c>
      <c r="V132" s="24">
        <f>TModelo[[#This Row],[IniCOLCAP]]*TModelo[[#This Row],[RetCOLCAP]]</f>
        <v>0</v>
      </c>
      <c r="W132" s="24">
        <f>TModelo[[#This Row],[IniUSD]]*TModelo[[#This Row],[RetUSD]]</f>
        <v>0</v>
      </c>
      <c r="X132" s="24">
        <f>TModelo[[#This Row],[Act]]*(TModelo[[#This Row],[IniCDT]]+TModelo[[#This Row],[IntCDT]]+PesoCDT*TModelo[[#This Row],[Outflow]])</f>
        <v>0</v>
      </c>
      <c r="Y132" s="24">
        <f>TModelo[[#This Row],[Act]]*(TModelo[[#This Row],[IniCOLCAP]]+TModelo[[#This Row],[IntCOLCAP]]+PesoCOLCAP*TModelo[[#This Row],[Outflow]])</f>
        <v>0</v>
      </c>
      <c r="Z132" s="24">
        <f>TModelo[[#This Row],[Act]]*(TModelo[[#This Row],[IniUSD]]+TModelo[[#This Row],[IntUSD]]+PesoUSD*TModelo[[#This Row],[Outflow]])</f>
        <v>0</v>
      </c>
      <c r="AA132" s="24">
        <f>TModelo[[#This Row],[BalCDT]]+TModelo[[#This Row],[BalCOLCAP]]+TModelo[[#This Row],[BalUSD]]</f>
        <v>0</v>
      </c>
      <c r="AB132" s="24">
        <f>IF(TModelo[[#This Row],[CumInfl]]&gt;0,TModelo[[#This Row],[TotalPreLiq]]/TModelo[[#This Row],[CumInfl]],0)</f>
        <v>0</v>
      </c>
      <c r="AC132" s="41">
        <f>(1+PerRate)^(-TModelo[[#This Row],[Period]])</f>
        <v>0.44120983047444662</v>
      </c>
      <c r="AD132" s="42">
        <f>TModelo[[#This Row],[NetCF]]*TModelo[[#This Row],[fd]]</f>
        <v>0</v>
      </c>
    </row>
    <row r="133" spans="2:30" ht="16.95" customHeight="1">
      <c r="B133" s="11">
        <v>106</v>
      </c>
      <c r="C133" s="25">
        <f>EDATE(FechaInicio,TModelo[[#This Row],[Period]])</f>
        <v>49519</v>
      </c>
      <c r="D133" s="11">
        <f>IF(AND(TModelo[[#This Row],[Period]]&gt;=1,TModelo[[#This Row],[Period]]&lt;=HorizonteMeses),1,0)</f>
        <v>0</v>
      </c>
      <c r="E133" s="40">
        <f>TModelo[[#This Row],[Act]]*(INFb+(INFpi0-INFb)*(1-INFa)^TModelo[[#This Row],[Period]])</f>
        <v>0</v>
      </c>
      <c r="F133" s="28">
        <f>IF(TModelo[[#This Row],[Period]]&lt;=HorizonteMeses,F132*(1+TModelo[[#This Row],[InflMes]]),0)</f>
        <v>0</v>
      </c>
      <c r="G133" s="21">
        <f>TModelo[[#This Row],[Act]]*(CDTb+(CDTx0-CDTb)*(1-CDTa)^TModelo[[#This Row],[Period]]+CDTspread)</f>
        <v>0</v>
      </c>
      <c r="H133" s="40">
        <f>TModelo[[#This Row],[Act]]*((1+TModelo[[#This Row],[TasaCDT]])^(1/12)-1)*(1-Retencion)</f>
        <v>0</v>
      </c>
      <c r="I133" s="40">
        <f>TModelo[[#This Row],[Act]]*(EXP(MuCOLCAP+SigmaCOLCAP^2/2)-1)</f>
        <v>0</v>
      </c>
      <c r="J133" s="40">
        <f>TModelo[[#This Row],[Act]]*(EXP(MuTRM+SigmaTRM^2/2)-1)</f>
        <v>0</v>
      </c>
      <c r="K133" s="11">
        <f>TModelo[[#This Row],[Act]]*IF(Rebalanceo="Mensual",1,IF(Rebalanceo="Anual",IF(MOD(TModelo[[#This Row],[Period]]-1,12)=0,1,0),0))</f>
        <v>0</v>
      </c>
      <c r="L133" s="24">
        <f>TModelo[[#This Row],[Act]]*AporteMensual*IF(CrecimientoAporte="Con IPC",F132,1)</f>
        <v>0</v>
      </c>
      <c r="M133" s="24">
        <f>IF(TModelo[[#This Row],[Period]]=HorizonteMeses,TModelo[[#This Row],[TotalPreLiq]],0)</f>
        <v>0</v>
      </c>
      <c r="N133" s="24">
        <f>TModelo[[#This Row],[Inflow]]-TModelo[[#This Row],[Outflow]]</f>
        <v>0</v>
      </c>
      <c r="O133" s="24">
        <f t="shared" si="1"/>
        <v>0</v>
      </c>
      <c r="P133" s="24">
        <f>TModelo[[#This Row],[IntCDT]]+TModelo[[#This Row],[IntCOLCAP]]+TModelo[[#This Row],[IntUSD]]</f>
        <v>0</v>
      </c>
      <c r="Q133" s="24">
        <f>TModelo[[#This Row],[InitialBalance]]+TModelo[[#This Row],[Interest]]+TModelo[[#This Row],[Outflow]]-TModelo[[#This Row],[Inflow]]</f>
        <v>0</v>
      </c>
      <c r="R133" s="24">
        <f>TModelo[[#This Row],[Act]]*IF(TModelo[[#This Row],[Rebal]]=1,PesoCDT*(X132+Y132+Z132),X132)</f>
        <v>0</v>
      </c>
      <c r="S133" s="24">
        <f>TModelo[[#This Row],[Act]]*IF(TModelo[[#This Row],[Rebal]]=1,PesoCOLCAP*(X132+Y132+Z132),Y132)</f>
        <v>0</v>
      </c>
      <c r="T133" s="24">
        <f>TModelo[[#This Row],[Act]]*IF(TModelo[[#This Row],[Rebal]]=1,PesoUSD*(X132+Y132+Z132),Z132)</f>
        <v>0</v>
      </c>
      <c r="U133" s="24">
        <f>TModelo[[#This Row],[IniCDT]]*TModelo[[#This Row],[RetCDT]]</f>
        <v>0</v>
      </c>
      <c r="V133" s="24">
        <f>TModelo[[#This Row],[IniCOLCAP]]*TModelo[[#This Row],[RetCOLCAP]]</f>
        <v>0</v>
      </c>
      <c r="W133" s="24">
        <f>TModelo[[#This Row],[IniUSD]]*TModelo[[#This Row],[RetUSD]]</f>
        <v>0</v>
      </c>
      <c r="X133" s="24">
        <f>TModelo[[#This Row],[Act]]*(TModelo[[#This Row],[IniCDT]]+TModelo[[#This Row],[IntCDT]]+PesoCDT*TModelo[[#This Row],[Outflow]])</f>
        <v>0</v>
      </c>
      <c r="Y133" s="24">
        <f>TModelo[[#This Row],[Act]]*(TModelo[[#This Row],[IniCOLCAP]]+TModelo[[#This Row],[IntCOLCAP]]+PesoCOLCAP*TModelo[[#This Row],[Outflow]])</f>
        <v>0</v>
      </c>
      <c r="Z133" s="24">
        <f>TModelo[[#This Row],[Act]]*(TModelo[[#This Row],[IniUSD]]+TModelo[[#This Row],[IntUSD]]+PesoUSD*TModelo[[#This Row],[Outflow]])</f>
        <v>0</v>
      </c>
      <c r="AA133" s="24">
        <f>TModelo[[#This Row],[BalCDT]]+TModelo[[#This Row],[BalCOLCAP]]+TModelo[[#This Row],[BalUSD]]</f>
        <v>0</v>
      </c>
      <c r="AB133" s="24">
        <f>IF(TModelo[[#This Row],[CumInfl]]&gt;0,TModelo[[#This Row],[TotalPreLiq]]/TModelo[[#This Row],[CumInfl]],0)</f>
        <v>0</v>
      </c>
      <c r="AC133" s="41">
        <f>(1+PerRate)^(-TModelo[[#This Row],[Period]])</f>
        <v>0.43778497134264549</v>
      </c>
      <c r="AD133" s="42">
        <f>TModelo[[#This Row],[NetCF]]*TModelo[[#This Row],[fd]]</f>
        <v>0</v>
      </c>
    </row>
    <row r="134" spans="2:30" ht="16.95" customHeight="1">
      <c r="B134" s="11">
        <v>107</v>
      </c>
      <c r="C134" s="25">
        <f>EDATE(FechaInicio,TModelo[[#This Row],[Period]])</f>
        <v>49550</v>
      </c>
      <c r="D134" s="11">
        <f>IF(AND(TModelo[[#This Row],[Period]]&gt;=1,TModelo[[#This Row],[Period]]&lt;=HorizonteMeses),1,0)</f>
        <v>0</v>
      </c>
      <c r="E134" s="40">
        <f>TModelo[[#This Row],[Act]]*(INFb+(INFpi0-INFb)*(1-INFa)^TModelo[[#This Row],[Period]])</f>
        <v>0</v>
      </c>
      <c r="F134" s="28">
        <f>IF(TModelo[[#This Row],[Period]]&lt;=HorizonteMeses,F133*(1+TModelo[[#This Row],[InflMes]]),0)</f>
        <v>0</v>
      </c>
      <c r="G134" s="21">
        <f>TModelo[[#This Row],[Act]]*(CDTb+(CDTx0-CDTb)*(1-CDTa)^TModelo[[#This Row],[Period]]+CDTspread)</f>
        <v>0</v>
      </c>
      <c r="H134" s="40">
        <f>TModelo[[#This Row],[Act]]*((1+TModelo[[#This Row],[TasaCDT]])^(1/12)-1)*(1-Retencion)</f>
        <v>0</v>
      </c>
      <c r="I134" s="40">
        <f>TModelo[[#This Row],[Act]]*(EXP(MuCOLCAP+SigmaCOLCAP^2/2)-1)</f>
        <v>0</v>
      </c>
      <c r="J134" s="40">
        <f>TModelo[[#This Row],[Act]]*(EXP(MuTRM+SigmaTRM^2/2)-1)</f>
        <v>0</v>
      </c>
      <c r="K134" s="11">
        <f>TModelo[[#This Row],[Act]]*IF(Rebalanceo="Mensual",1,IF(Rebalanceo="Anual",IF(MOD(TModelo[[#This Row],[Period]]-1,12)=0,1,0),0))</f>
        <v>0</v>
      </c>
      <c r="L134" s="24">
        <f>TModelo[[#This Row],[Act]]*AporteMensual*IF(CrecimientoAporte="Con IPC",F133,1)</f>
        <v>0</v>
      </c>
      <c r="M134" s="24">
        <f>IF(TModelo[[#This Row],[Period]]=HorizonteMeses,TModelo[[#This Row],[TotalPreLiq]],0)</f>
        <v>0</v>
      </c>
      <c r="N134" s="24">
        <f>TModelo[[#This Row],[Inflow]]-TModelo[[#This Row],[Outflow]]</f>
        <v>0</v>
      </c>
      <c r="O134" s="24">
        <f t="shared" si="1"/>
        <v>0</v>
      </c>
      <c r="P134" s="24">
        <f>TModelo[[#This Row],[IntCDT]]+TModelo[[#This Row],[IntCOLCAP]]+TModelo[[#This Row],[IntUSD]]</f>
        <v>0</v>
      </c>
      <c r="Q134" s="24">
        <f>TModelo[[#This Row],[InitialBalance]]+TModelo[[#This Row],[Interest]]+TModelo[[#This Row],[Outflow]]-TModelo[[#This Row],[Inflow]]</f>
        <v>0</v>
      </c>
      <c r="R134" s="24">
        <f>TModelo[[#This Row],[Act]]*IF(TModelo[[#This Row],[Rebal]]=1,PesoCDT*(X133+Y133+Z133),X133)</f>
        <v>0</v>
      </c>
      <c r="S134" s="24">
        <f>TModelo[[#This Row],[Act]]*IF(TModelo[[#This Row],[Rebal]]=1,PesoCOLCAP*(X133+Y133+Z133),Y133)</f>
        <v>0</v>
      </c>
      <c r="T134" s="24">
        <f>TModelo[[#This Row],[Act]]*IF(TModelo[[#This Row],[Rebal]]=1,PesoUSD*(X133+Y133+Z133),Z133)</f>
        <v>0</v>
      </c>
      <c r="U134" s="24">
        <f>TModelo[[#This Row],[IniCDT]]*TModelo[[#This Row],[RetCDT]]</f>
        <v>0</v>
      </c>
      <c r="V134" s="24">
        <f>TModelo[[#This Row],[IniCOLCAP]]*TModelo[[#This Row],[RetCOLCAP]]</f>
        <v>0</v>
      </c>
      <c r="W134" s="24">
        <f>TModelo[[#This Row],[IniUSD]]*TModelo[[#This Row],[RetUSD]]</f>
        <v>0</v>
      </c>
      <c r="X134" s="24">
        <f>TModelo[[#This Row],[Act]]*(TModelo[[#This Row],[IniCDT]]+TModelo[[#This Row],[IntCDT]]+PesoCDT*TModelo[[#This Row],[Outflow]])</f>
        <v>0</v>
      </c>
      <c r="Y134" s="24">
        <f>TModelo[[#This Row],[Act]]*(TModelo[[#This Row],[IniCOLCAP]]+TModelo[[#This Row],[IntCOLCAP]]+PesoCOLCAP*TModelo[[#This Row],[Outflow]])</f>
        <v>0</v>
      </c>
      <c r="Z134" s="24">
        <f>TModelo[[#This Row],[Act]]*(TModelo[[#This Row],[IniUSD]]+TModelo[[#This Row],[IntUSD]]+PesoUSD*TModelo[[#This Row],[Outflow]])</f>
        <v>0</v>
      </c>
      <c r="AA134" s="24">
        <f>TModelo[[#This Row],[BalCDT]]+TModelo[[#This Row],[BalCOLCAP]]+TModelo[[#This Row],[BalUSD]]</f>
        <v>0</v>
      </c>
      <c r="AB134" s="24">
        <f>IF(TModelo[[#This Row],[CumInfl]]&gt;0,TModelo[[#This Row],[TotalPreLiq]]/TModelo[[#This Row],[CumInfl]],0)</f>
        <v>0</v>
      </c>
      <c r="AC134" s="41">
        <f>(1+PerRate)^(-TModelo[[#This Row],[Period]])</f>
        <v>0.43438669743008157</v>
      </c>
      <c r="AD134" s="42">
        <f>TModelo[[#This Row],[NetCF]]*TModelo[[#This Row],[fd]]</f>
        <v>0</v>
      </c>
    </row>
    <row r="135" spans="2:30" ht="16.95" customHeight="1">
      <c r="B135" s="11">
        <v>108</v>
      </c>
      <c r="C135" s="25">
        <f>EDATE(FechaInicio,TModelo[[#This Row],[Period]])</f>
        <v>49581</v>
      </c>
      <c r="D135" s="11">
        <f>IF(AND(TModelo[[#This Row],[Period]]&gt;=1,TModelo[[#This Row],[Period]]&lt;=HorizonteMeses),1,0)</f>
        <v>0</v>
      </c>
      <c r="E135" s="40">
        <f>TModelo[[#This Row],[Act]]*(INFb+(INFpi0-INFb)*(1-INFa)^TModelo[[#This Row],[Period]])</f>
        <v>0</v>
      </c>
      <c r="F135" s="28">
        <f>IF(TModelo[[#This Row],[Period]]&lt;=HorizonteMeses,F134*(1+TModelo[[#This Row],[InflMes]]),0)</f>
        <v>0</v>
      </c>
      <c r="G135" s="21">
        <f>TModelo[[#This Row],[Act]]*(CDTb+(CDTx0-CDTb)*(1-CDTa)^TModelo[[#This Row],[Period]]+CDTspread)</f>
        <v>0</v>
      </c>
      <c r="H135" s="40">
        <f>TModelo[[#This Row],[Act]]*((1+TModelo[[#This Row],[TasaCDT]])^(1/12)-1)*(1-Retencion)</f>
        <v>0</v>
      </c>
      <c r="I135" s="40">
        <f>TModelo[[#This Row],[Act]]*(EXP(MuCOLCAP+SigmaCOLCAP^2/2)-1)</f>
        <v>0</v>
      </c>
      <c r="J135" s="40">
        <f>TModelo[[#This Row],[Act]]*(EXP(MuTRM+SigmaTRM^2/2)-1)</f>
        <v>0</v>
      </c>
      <c r="K135" s="11">
        <f>TModelo[[#This Row],[Act]]*IF(Rebalanceo="Mensual",1,IF(Rebalanceo="Anual",IF(MOD(TModelo[[#This Row],[Period]]-1,12)=0,1,0),0))</f>
        <v>0</v>
      </c>
      <c r="L135" s="24">
        <f>TModelo[[#This Row],[Act]]*AporteMensual*IF(CrecimientoAporte="Con IPC",F134,1)</f>
        <v>0</v>
      </c>
      <c r="M135" s="24">
        <f>IF(TModelo[[#This Row],[Period]]=HorizonteMeses,TModelo[[#This Row],[TotalPreLiq]],0)</f>
        <v>0</v>
      </c>
      <c r="N135" s="24">
        <f>TModelo[[#This Row],[Inflow]]-TModelo[[#This Row],[Outflow]]</f>
        <v>0</v>
      </c>
      <c r="O135" s="24">
        <f t="shared" si="1"/>
        <v>0</v>
      </c>
      <c r="P135" s="24">
        <f>TModelo[[#This Row],[IntCDT]]+TModelo[[#This Row],[IntCOLCAP]]+TModelo[[#This Row],[IntUSD]]</f>
        <v>0</v>
      </c>
      <c r="Q135" s="24">
        <f>TModelo[[#This Row],[InitialBalance]]+TModelo[[#This Row],[Interest]]+TModelo[[#This Row],[Outflow]]-TModelo[[#This Row],[Inflow]]</f>
        <v>0</v>
      </c>
      <c r="R135" s="24">
        <f>TModelo[[#This Row],[Act]]*IF(TModelo[[#This Row],[Rebal]]=1,PesoCDT*(X134+Y134+Z134),X134)</f>
        <v>0</v>
      </c>
      <c r="S135" s="24">
        <f>TModelo[[#This Row],[Act]]*IF(TModelo[[#This Row],[Rebal]]=1,PesoCOLCAP*(X134+Y134+Z134),Y134)</f>
        <v>0</v>
      </c>
      <c r="T135" s="24">
        <f>TModelo[[#This Row],[Act]]*IF(TModelo[[#This Row],[Rebal]]=1,PesoUSD*(X134+Y134+Z134),Z134)</f>
        <v>0</v>
      </c>
      <c r="U135" s="24">
        <f>TModelo[[#This Row],[IniCDT]]*TModelo[[#This Row],[RetCDT]]</f>
        <v>0</v>
      </c>
      <c r="V135" s="24">
        <f>TModelo[[#This Row],[IniCOLCAP]]*TModelo[[#This Row],[RetCOLCAP]]</f>
        <v>0</v>
      </c>
      <c r="W135" s="24">
        <f>TModelo[[#This Row],[IniUSD]]*TModelo[[#This Row],[RetUSD]]</f>
        <v>0</v>
      </c>
      <c r="X135" s="24">
        <f>TModelo[[#This Row],[Act]]*(TModelo[[#This Row],[IniCDT]]+TModelo[[#This Row],[IntCDT]]+PesoCDT*TModelo[[#This Row],[Outflow]])</f>
        <v>0</v>
      </c>
      <c r="Y135" s="24">
        <f>TModelo[[#This Row],[Act]]*(TModelo[[#This Row],[IniCOLCAP]]+TModelo[[#This Row],[IntCOLCAP]]+PesoCOLCAP*TModelo[[#This Row],[Outflow]])</f>
        <v>0</v>
      </c>
      <c r="Z135" s="24">
        <f>TModelo[[#This Row],[Act]]*(TModelo[[#This Row],[IniUSD]]+TModelo[[#This Row],[IntUSD]]+PesoUSD*TModelo[[#This Row],[Outflow]])</f>
        <v>0</v>
      </c>
      <c r="AA135" s="24">
        <f>TModelo[[#This Row],[BalCDT]]+TModelo[[#This Row],[BalCOLCAP]]+TModelo[[#This Row],[BalUSD]]</f>
        <v>0</v>
      </c>
      <c r="AB135" s="24">
        <f>IF(TModelo[[#This Row],[CumInfl]]&gt;0,TModelo[[#This Row],[TotalPreLiq]]/TModelo[[#This Row],[CumInfl]],0)</f>
        <v>0</v>
      </c>
      <c r="AC135" s="41">
        <f>(1+PerRate)^(-TModelo[[#This Row],[Period]])</f>
        <v>0.4310148023709291</v>
      </c>
      <c r="AD135" s="42">
        <f>TModelo[[#This Row],[NetCF]]*TModelo[[#This Row],[fd]]</f>
        <v>0</v>
      </c>
    </row>
    <row r="136" spans="2:30" ht="16.95" customHeight="1">
      <c r="B136" s="11">
        <v>109</v>
      </c>
      <c r="C136" s="25">
        <f>EDATE(FechaInicio,TModelo[[#This Row],[Period]])</f>
        <v>49611</v>
      </c>
      <c r="D136" s="11">
        <f>IF(AND(TModelo[[#This Row],[Period]]&gt;=1,TModelo[[#This Row],[Period]]&lt;=HorizonteMeses),1,0)</f>
        <v>0</v>
      </c>
      <c r="E136" s="40">
        <f>TModelo[[#This Row],[Act]]*(INFb+(INFpi0-INFb)*(1-INFa)^TModelo[[#This Row],[Period]])</f>
        <v>0</v>
      </c>
      <c r="F136" s="28">
        <f>IF(TModelo[[#This Row],[Period]]&lt;=HorizonteMeses,F135*(1+TModelo[[#This Row],[InflMes]]),0)</f>
        <v>0</v>
      </c>
      <c r="G136" s="21">
        <f>TModelo[[#This Row],[Act]]*(CDTb+(CDTx0-CDTb)*(1-CDTa)^TModelo[[#This Row],[Period]]+CDTspread)</f>
        <v>0</v>
      </c>
      <c r="H136" s="40">
        <f>TModelo[[#This Row],[Act]]*((1+TModelo[[#This Row],[TasaCDT]])^(1/12)-1)*(1-Retencion)</f>
        <v>0</v>
      </c>
      <c r="I136" s="40">
        <f>TModelo[[#This Row],[Act]]*(EXP(MuCOLCAP+SigmaCOLCAP^2/2)-1)</f>
        <v>0</v>
      </c>
      <c r="J136" s="40">
        <f>TModelo[[#This Row],[Act]]*(EXP(MuTRM+SigmaTRM^2/2)-1)</f>
        <v>0</v>
      </c>
      <c r="K136" s="11">
        <f>TModelo[[#This Row],[Act]]*IF(Rebalanceo="Mensual",1,IF(Rebalanceo="Anual",IF(MOD(TModelo[[#This Row],[Period]]-1,12)=0,1,0),0))</f>
        <v>0</v>
      </c>
      <c r="L136" s="24">
        <f>TModelo[[#This Row],[Act]]*AporteMensual*IF(CrecimientoAporte="Con IPC",F135,1)</f>
        <v>0</v>
      </c>
      <c r="M136" s="24">
        <f>IF(TModelo[[#This Row],[Period]]=HorizonteMeses,TModelo[[#This Row],[TotalPreLiq]],0)</f>
        <v>0</v>
      </c>
      <c r="N136" s="24">
        <f>TModelo[[#This Row],[Inflow]]-TModelo[[#This Row],[Outflow]]</f>
        <v>0</v>
      </c>
      <c r="O136" s="24">
        <f t="shared" si="1"/>
        <v>0</v>
      </c>
      <c r="P136" s="24">
        <f>TModelo[[#This Row],[IntCDT]]+TModelo[[#This Row],[IntCOLCAP]]+TModelo[[#This Row],[IntUSD]]</f>
        <v>0</v>
      </c>
      <c r="Q136" s="24">
        <f>TModelo[[#This Row],[InitialBalance]]+TModelo[[#This Row],[Interest]]+TModelo[[#This Row],[Outflow]]-TModelo[[#This Row],[Inflow]]</f>
        <v>0</v>
      </c>
      <c r="R136" s="24">
        <f>TModelo[[#This Row],[Act]]*IF(TModelo[[#This Row],[Rebal]]=1,PesoCDT*(X135+Y135+Z135),X135)</f>
        <v>0</v>
      </c>
      <c r="S136" s="24">
        <f>TModelo[[#This Row],[Act]]*IF(TModelo[[#This Row],[Rebal]]=1,PesoCOLCAP*(X135+Y135+Z135),Y135)</f>
        <v>0</v>
      </c>
      <c r="T136" s="24">
        <f>TModelo[[#This Row],[Act]]*IF(TModelo[[#This Row],[Rebal]]=1,PesoUSD*(X135+Y135+Z135),Z135)</f>
        <v>0</v>
      </c>
      <c r="U136" s="24">
        <f>TModelo[[#This Row],[IniCDT]]*TModelo[[#This Row],[RetCDT]]</f>
        <v>0</v>
      </c>
      <c r="V136" s="24">
        <f>TModelo[[#This Row],[IniCOLCAP]]*TModelo[[#This Row],[RetCOLCAP]]</f>
        <v>0</v>
      </c>
      <c r="W136" s="24">
        <f>TModelo[[#This Row],[IniUSD]]*TModelo[[#This Row],[RetUSD]]</f>
        <v>0</v>
      </c>
      <c r="X136" s="24">
        <f>TModelo[[#This Row],[Act]]*(TModelo[[#This Row],[IniCDT]]+TModelo[[#This Row],[IntCDT]]+PesoCDT*TModelo[[#This Row],[Outflow]])</f>
        <v>0</v>
      </c>
      <c r="Y136" s="24">
        <f>TModelo[[#This Row],[Act]]*(TModelo[[#This Row],[IniCOLCAP]]+TModelo[[#This Row],[IntCOLCAP]]+PesoCOLCAP*TModelo[[#This Row],[Outflow]])</f>
        <v>0</v>
      </c>
      <c r="Z136" s="24">
        <f>TModelo[[#This Row],[Act]]*(TModelo[[#This Row],[IniUSD]]+TModelo[[#This Row],[IntUSD]]+PesoUSD*TModelo[[#This Row],[Outflow]])</f>
        <v>0</v>
      </c>
      <c r="AA136" s="24">
        <f>TModelo[[#This Row],[BalCDT]]+TModelo[[#This Row],[BalCOLCAP]]+TModelo[[#This Row],[BalUSD]]</f>
        <v>0</v>
      </c>
      <c r="AB136" s="24">
        <f>IF(TModelo[[#This Row],[CumInfl]]&gt;0,TModelo[[#This Row],[TotalPreLiq]]/TModelo[[#This Row],[CumInfl]],0)</f>
        <v>0</v>
      </c>
      <c r="AC136" s="41">
        <f>(1+PerRate)^(-TModelo[[#This Row],[Period]])</f>
        <v>0.42766908140126231</v>
      </c>
      <c r="AD136" s="42">
        <f>TModelo[[#This Row],[NetCF]]*TModelo[[#This Row],[fd]]</f>
        <v>0</v>
      </c>
    </row>
    <row r="137" spans="2:30" ht="16.95" customHeight="1">
      <c r="B137" s="11">
        <v>110</v>
      </c>
      <c r="C137" s="25">
        <f>EDATE(FechaInicio,TModelo[[#This Row],[Period]])</f>
        <v>49642</v>
      </c>
      <c r="D137" s="11">
        <f>IF(AND(TModelo[[#This Row],[Period]]&gt;=1,TModelo[[#This Row],[Period]]&lt;=HorizonteMeses),1,0)</f>
        <v>0</v>
      </c>
      <c r="E137" s="40">
        <f>TModelo[[#This Row],[Act]]*(INFb+(INFpi0-INFb)*(1-INFa)^TModelo[[#This Row],[Period]])</f>
        <v>0</v>
      </c>
      <c r="F137" s="28">
        <f>IF(TModelo[[#This Row],[Period]]&lt;=HorizonteMeses,F136*(1+TModelo[[#This Row],[InflMes]]),0)</f>
        <v>0</v>
      </c>
      <c r="G137" s="21">
        <f>TModelo[[#This Row],[Act]]*(CDTb+(CDTx0-CDTb)*(1-CDTa)^TModelo[[#This Row],[Period]]+CDTspread)</f>
        <v>0</v>
      </c>
      <c r="H137" s="40">
        <f>TModelo[[#This Row],[Act]]*((1+TModelo[[#This Row],[TasaCDT]])^(1/12)-1)*(1-Retencion)</f>
        <v>0</v>
      </c>
      <c r="I137" s="40">
        <f>TModelo[[#This Row],[Act]]*(EXP(MuCOLCAP+SigmaCOLCAP^2/2)-1)</f>
        <v>0</v>
      </c>
      <c r="J137" s="40">
        <f>TModelo[[#This Row],[Act]]*(EXP(MuTRM+SigmaTRM^2/2)-1)</f>
        <v>0</v>
      </c>
      <c r="K137" s="11">
        <f>TModelo[[#This Row],[Act]]*IF(Rebalanceo="Mensual",1,IF(Rebalanceo="Anual",IF(MOD(TModelo[[#This Row],[Period]]-1,12)=0,1,0),0))</f>
        <v>0</v>
      </c>
      <c r="L137" s="24">
        <f>TModelo[[#This Row],[Act]]*AporteMensual*IF(CrecimientoAporte="Con IPC",F136,1)</f>
        <v>0</v>
      </c>
      <c r="M137" s="24">
        <f>IF(TModelo[[#This Row],[Period]]=HorizonteMeses,TModelo[[#This Row],[TotalPreLiq]],0)</f>
        <v>0</v>
      </c>
      <c r="N137" s="24">
        <f>TModelo[[#This Row],[Inflow]]-TModelo[[#This Row],[Outflow]]</f>
        <v>0</v>
      </c>
      <c r="O137" s="24">
        <f t="shared" si="1"/>
        <v>0</v>
      </c>
      <c r="P137" s="24">
        <f>TModelo[[#This Row],[IntCDT]]+TModelo[[#This Row],[IntCOLCAP]]+TModelo[[#This Row],[IntUSD]]</f>
        <v>0</v>
      </c>
      <c r="Q137" s="24">
        <f>TModelo[[#This Row],[InitialBalance]]+TModelo[[#This Row],[Interest]]+TModelo[[#This Row],[Outflow]]-TModelo[[#This Row],[Inflow]]</f>
        <v>0</v>
      </c>
      <c r="R137" s="24">
        <f>TModelo[[#This Row],[Act]]*IF(TModelo[[#This Row],[Rebal]]=1,PesoCDT*(X136+Y136+Z136),X136)</f>
        <v>0</v>
      </c>
      <c r="S137" s="24">
        <f>TModelo[[#This Row],[Act]]*IF(TModelo[[#This Row],[Rebal]]=1,PesoCOLCAP*(X136+Y136+Z136),Y136)</f>
        <v>0</v>
      </c>
      <c r="T137" s="24">
        <f>TModelo[[#This Row],[Act]]*IF(TModelo[[#This Row],[Rebal]]=1,PesoUSD*(X136+Y136+Z136),Z136)</f>
        <v>0</v>
      </c>
      <c r="U137" s="24">
        <f>TModelo[[#This Row],[IniCDT]]*TModelo[[#This Row],[RetCDT]]</f>
        <v>0</v>
      </c>
      <c r="V137" s="24">
        <f>TModelo[[#This Row],[IniCOLCAP]]*TModelo[[#This Row],[RetCOLCAP]]</f>
        <v>0</v>
      </c>
      <c r="W137" s="24">
        <f>TModelo[[#This Row],[IniUSD]]*TModelo[[#This Row],[RetUSD]]</f>
        <v>0</v>
      </c>
      <c r="X137" s="24">
        <f>TModelo[[#This Row],[Act]]*(TModelo[[#This Row],[IniCDT]]+TModelo[[#This Row],[IntCDT]]+PesoCDT*TModelo[[#This Row],[Outflow]])</f>
        <v>0</v>
      </c>
      <c r="Y137" s="24">
        <f>TModelo[[#This Row],[Act]]*(TModelo[[#This Row],[IniCOLCAP]]+TModelo[[#This Row],[IntCOLCAP]]+PesoCOLCAP*TModelo[[#This Row],[Outflow]])</f>
        <v>0</v>
      </c>
      <c r="Z137" s="24">
        <f>TModelo[[#This Row],[Act]]*(TModelo[[#This Row],[IniUSD]]+TModelo[[#This Row],[IntUSD]]+PesoUSD*TModelo[[#This Row],[Outflow]])</f>
        <v>0</v>
      </c>
      <c r="AA137" s="24">
        <f>TModelo[[#This Row],[BalCDT]]+TModelo[[#This Row],[BalCOLCAP]]+TModelo[[#This Row],[BalUSD]]</f>
        <v>0</v>
      </c>
      <c r="AB137" s="24">
        <f>IF(TModelo[[#This Row],[CumInfl]]&gt;0,TModelo[[#This Row],[TotalPreLiq]]/TModelo[[#This Row],[CumInfl]],0)</f>
        <v>0</v>
      </c>
      <c r="AC137" s="41">
        <f>(1+PerRate)^(-TModelo[[#This Row],[Period]])</f>
        <v>0.42434933134662056</v>
      </c>
      <c r="AD137" s="42">
        <f>TModelo[[#This Row],[NetCF]]*TModelo[[#This Row],[fd]]</f>
        <v>0</v>
      </c>
    </row>
    <row r="138" spans="2:30" ht="16.95" customHeight="1">
      <c r="B138" s="11">
        <v>111</v>
      </c>
      <c r="C138" s="25">
        <f>EDATE(FechaInicio,TModelo[[#This Row],[Period]])</f>
        <v>49672</v>
      </c>
      <c r="D138" s="11">
        <f>IF(AND(TModelo[[#This Row],[Period]]&gt;=1,TModelo[[#This Row],[Period]]&lt;=HorizonteMeses),1,0)</f>
        <v>0</v>
      </c>
      <c r="E138" s="40">
        <f>TModelo[[#This Row],[Act]]*(INFb+(INFpi0-INFb)*(1-INFa)^TModelo[[#This Row],[Period]])</f>
        <v>0</v>
      </c>
      <c r="F138" s="28">
        <f>IF(TModelo[[#This Row],[Period]]&lt;=HorizonteMeses,F137*(1+TModelo[[#This Row],[InflMes]]),0)</f>
        <v>0</v>
      </c>
      <c r="G138" s="21">
        <f>TModelo[[#This Row],[Act]]*(CDTb+(CDTx0-CDTb)*(1-CDTa)^TModelo[[#This Row],[Period]]+CDTspread)</f>
        <v>0</v>
      </c>
      <c r="H138" s="40">
        <f>TModelo[[#This Row],[Act]]*((1+TModelo[[#This Row],[TasaCDT]])^(1/12)-1)*(1-Retencion)</f>
        <v>0</v>
      </c>
      <c r="I138" s="40">
        <f>TModelo[[#This Row],[Act]]*(EXP(MuCOLCAP+SigmaCOLCAP^2/2)-1)</f>
        <v>0</v>
      </c>
      <c r="J138" s="40">
        <f>TModelo[[#This Row],[Act]]*(EXP(MuTRM+SigmaTRM^2/2)-1)</f>
        <v>0</v>
      </c>
      <c r="K138" s="11">
        <f>TModelo[[#This Row],[Act]]*IF(Rebalanceo="Mensual",1,IF(Rebalanceo="Anual",IF(MOD(TModelo[[#This Row],[Period]]-1,12)=0,1,0),0))</f>
        <v>0</v>
      </c>
      <c r="L138" s="24">
        <f>TModelo[[#This Row],[Act]]*AporteMensual*IF(CrecimientoAporte="Con IPC",F137,1)</f>
        <v>0</v>
      </c>
      <c r="M138" s="24">
        <f>IF(TModelo[[#This Row],[Period]]=HorizonteMeses,TModelo[[#This Row],[TotalPreLiq]],0)</f>
        <v>0</v>
      </c>
      <c r="N138" s="24">
        <f>TModelo[[#This Row],[Inflow]]-TModelo[[#This Row],[Outflow]]</f>
        <v>0</v>
      </c>
      <c r="O138" s="24">
        <f t="shared" si="1"/>
        <v>0</v>
      </c>
      <c r="P138" s="24">
        <f>TModelo[[#This Row],[IntCDT]]+TModelo[[#This Row],[IntCOLCAP]]+TModelo[[#This Row],[IntUSD]]</f>
        <v>0</v>
      </c>
      <c r="Q138" s="24">
        <f>TModelo[[#This Row],[InitialBalance]]+TModelo[[#This Row],[Interest]]+TModelo[[#This Row],[Outflow]]-TModelo[[#This Row],[Inflow]]</f>
        <v>0</v>
      </c>
      <c r="R138" s="24">
        <f>TModelo[[#This Row],[Act]]*IF(TModelo[[#This Row],[Rebal]]=1,PesoCDT*(X137+Y137+Z137),X137)</f>
        <v>0</v>
      </c>
      <c r="S138" s="24">
        <f>TModelo[[#This Row],[Act]]*IF(TModelo[[#This Row],[Rebal]]=1,PesoCOLCAP*(X137+Y137+Z137),Y137)</f>
        <v>0</v>
      </c>
      <c r="T138" s="24">
        <f>TModelo[[#This Row],[Act]]*IF(TModelo[[#This Row],[Rebal]]=1,PesoUSD*(X137+Y137+Z137),Z137)</f>
        <v>0</v>
      </c>
      <c r="U138" s="24">
        <f>TModelo[[#This Row],[IniCDT]]*TModelo[[#This Row],[RetCDT]]</f>
        <v>0</v>
      </c>
      <c r="V138" s="24">
        <f>TModelo[[#This Row],[IniCOLCAP]]*TModelo[[#This Row],[RetCOLCAP]]</f>
        <v>0</v>
      </c>
      <c r="W138" s="24">
        <f>TModelo[[#This Row],[IniUSD]]*TModelo[[#This Row],[RetUSD]]</f>
        <v>0</v>
      </c>
      <c r="X138" s="24">
        <f>TModelo[[#This Row],[Act]]*(TModelo[[#This Row],[IniCDT]]+TModelo[[#This Row],[IntCDT]]+PesoCDT*TModelo[[#This Row],[Outflow]])</f>
        <v>0</v>
      </c>
      <c r="Y138" s="24">
        <f>TModelo[[#This Row],[Act]]*(TModelo[[#This Row],[IniCOLCAP]]+TModelo[[#This Row],[IntCOLCAP]]+PesoCOLCAP*TModelo[[#This Row],[Outflow]])</f>
        <v>0</v>
      </c>
      <c r="Z138" s="24">
        <f>TModelo[[#This Row],[Act]]*(TModelo[[#This Row],[IniUSD]]+TModelo[[#This Row],[IntUSD]]+PesoUSD*TModelo[[#This Row],[Outflow]])</f>
        <v>0</v>
      </c>
      <c r="AA138" s="24">
        <f>TModelo[[#This Row],[BalCDT]]+TModelo[[#This Row],[BalCOLCAP]]+TModelo[[#This Row],[BalUSD]]</f>
        <v>0</v>
      </c>
      <c r="AB138" s="24">
        <f>IF(TModelo[[#This Row],[CumInfl]]&gt;0,TModelo[[#This Row],[TotalPreLiq]]/TModelo[[#This Row],[CumInfl]],0)</f>
        <v>0</v>
      </c>
      <c r="AC138" s="41">
        <f>(1+PerRate)^(-TModelo[[#This Row],[Period]])</f>
        <v>0.42105535060966975</v>
      </c>
      <c r="AD138" s="42">
        <f>TModelo[[#This Row],[NetCF]]*TModelo[[#This Row],[fd]]</f>
        <v>0</v>
      </c>
    </row>
    <row r="139" spans="2:30" ht="16.95" customHeight="1">
      <c r="B139" s="11">
        <v>112</v>
      </c>
      <c r="C139" s="25">
        <f>EDATE(FechaInicio,TModelo[[#This Row],[Period]])</f>
        <v>49703</v>
      </c>
      <c r="D139" s="11">
        <f>IF(AND(TModelo[[#This Row],[Period]]&gt;=1,TModelo[[#This Row],[Period]]&lt;=HorizonteMeses),1,0)</f>
        <v>0</v>
      </c>
      <c r="E139" s="40">
        <f>TModelo[[#This Row],[Act]]*(INFb+(INFpi0-INFb)*(1-INFa)^TModelo[[#This Row],[Period]])</f>
        <v>0</v>
      </c>
      <c r="F139" s="28">
        <f>IF(TModelo[[#This Row],[Period]]&lt;=HorizonteMeses,F138*(1+TModelo[[#This Row],[InflMes]]),0)</f>
        <v>0</v>
      </c>
      <c r="G139" s="21">
        <f>TModelo[[#This Row],[Act]]*(CDTb+(CDTx0-CDTb)*(1-CDTa)^TModelo[[#This Row],[Period]]+CDTspread)</f>
        <v>0</v>
      </c>
      <c r="H139" s="40">
        <f>TModelo[[#This Row],[Act]]*((1+TModelo[[#This Row],[TasaCDT]])^(1/12)-1)*(1-Retencion)</f>
        <v>0</v>
      </c>
      <c r="I139" s="40">
        <f>TModelo[[#This Row],[Act]]*(EXP(MuCOLCAP+SigmaCOLCAP^2/2)-1)</f>
        <v>0</v>
      </c>
      <c r="J139" s="40">
        <f>TModelo[[#This Row],[Act]]*(EXP(MuTRM+SigmaTRM^2/2)-1)</f>
        <v>0</v>
      </c>
      <c r="K139" s="11">
        <f>TModelo[[#This Row],[Act]]*IF(Rebalanceo="Mensual",1,IF(Rebalanceo="Anual",IF(MOD(TModelo[[#This Row],[Period]]-1,12)=0,1,0),0))</f>
        <v>0</v>
      </c>
      <c r="L139" s="24">
        <f>TModelo[[#This Row],[Act]]*AporteMensual*IF(CrecimientoAporte="Con IPC",F138,1)</f>
        <v>0</v>
      </c>
      <c r="M139" s="24">
        <f>IF(TModelo[[#This Row],[Period]]=HorizonteMeses,TModelo[[#This Row],[TotalPreLiq]],0)</f>
        <v>0</v>
      </c>
      <c r="N139" s="24">
        <f>TModelo[[#This Row],[Inflow]]-TModelo[[#This Row],[Outflow]]</f>
        <v>0</v>
      </c>
      <c r="O139" s="24">
        <f t="shared" si="1"/>
        <v>0</v>
      </c>
      <c r="P139" s="24">
        <f>TModelo[[#This Row],[IntCDT]]+TModelo[[#This Row],[IntCOLCAP]]+TModelo[[#This Row],[IntUSD]]</f>
        <v>0</v>
      </c>
      <c r="Q139" s="24">
        <f>TModelo[[#This Row],[InitialBalance]]+TModelo[[#This Row],[Interest]]+TModelo[[#This Row],[Outflow]]-TModelo[[#This Row],[Inflow]]</f>
        <v>0</v>
      </c>
      <c r="R139" s="24">
        <f>TModelo[[#This Row],[Act]]*IF(TModelo[[#This Row],[Rebal]]=1,PesoCDT*(X138+Y138+Z138),X138)</f>
        <v>0</v>
      </c>
      <c r="S139" s="24">
        <f>TModelo[[#This Row],[Act]]*IF(TModelo[[#This Row],[Rebal]]=1,PesoCOLCAP*(X138+Y138+Z138),Y138)</f>
        <v>0</v>
      </c>
      <c r="T139" s="24">
        <f>TModelo[[#This Row],[Act]]*IF(TModelo[[#This Row],[Rebal]]=1,PesoUSD*(X138+Y138+Z138),Z138)</f>
        <v>0</v>
      </c>
      <c r="U139" s="24">
        <f>TModelo[[#This Row],[IniCDT]]*TModelo[[#This Row],[RetCDT]]</f>
        <v>0</v>
      </c>
      <c r="V139" s="24">
        <f>TModelo[[#This Row],[IniCOLCAP]]*TModelo[[#This Row],[RetCOLCAP]]</f>
        <v>0</v>
      </c>
      <c r="W139" s="24">
        <f>TModelo[[#This Row],[IniUSD]]*TModelo[[#This Row],[RetUSD]]</f>
        <v>0</v>
      </c>
      <c r="X139" s="24">
        <f>TModelo[[#This Row],[Act]]*(TModelo[[#This Row],[IniCDT]]+TModelo[[#This Row],[IntCDT]]+PesoCDT*TModelo[[#This Row],[Outflow]])</f>
        <v>0</v>
      </c>
      <c r="Y139" s="24">
        <f>TModelo[[#This Row],[Act]]*(TModelo[[#This Row],[IniCOLCAP]]+TModelo[[#This Row],[IntCOLCAP]]+PesoCOLCAP*TModelo[[#This Row],[Outflow]])</f>
        <v>0</v>
      </c>
      <c r="Z139" s="24">
        <f>TModelo[[#This Row],[Act]]*(TModelo[[#This Row],[IniUSD]]+TModelo[[#This Row],[IntUSD]]+PesoUSD*TModelo[[#This Row],[Outflow]])</f>
        <v>0</v>
      </c>
      <c r="AA139" s="24">
        <f>TModelo[[#This Row],[BalCDT]]+TModelo[[#This Row],[BalCOLCAP]]+TModelo[[#This Row],[BalUSD]]</f>
        <v>0</v>
      </c>
      <c r="AB139" s="24">
        <f>IF(TModelo[[#This Row],[CumInfl]]&gt;0,TModelo[[#This Row],[TotalPreLiq]]/TModelo[[#This Row],[CumInfl]],0)</f>
        <v>0</v>
      </c>
      <c r="AC139" s="41">
        <f>(1+PerRate)^(-TModelo[[#This Row],[Period]])</f>
        <v>0.41778693915796083</v>
      </c>
      <c r="AD139" s="42">
        <f>TModelo[[#This Row],[NetCF]]*TModelo[[#This Row],[fd]]</f>
        <v>0</v>
      </c>
    </row>
    <row r="140" spans="2:30" ht="16.95" customHeight="1">
      <c r="B140" s="11">
        <v>113</v>
      </c>
      <c r="C140" s="25">
        <f>EDATE(FechaInicio,TModelo[[#This Row],[Period]])</f>
        <v>49734</v>
      </c>
      <c r="D140" s="11">
        <f>IF(AND(TModelo[[#This Row],[Period]]&gt;=1,TModelo[[#This Row],[Period]]&lt;=HorizonteMeses),1,0)</f>
        <v>0</v>
      </c>
      <c r="E140" s="40">
        <f>TModelo[[#This Row],[Act]]*(INFb+(INFpi0-INFb)*(1-INFa)^TModelo[[#This Row],[Period]])</f>
        <v>0</v>
      </c>
      <c r="F140" s="28">
        <f>IF(TModelo[[#This Row],[Period]]&lt;=HorizonteMeses,F139*(1+TModelo[[#This Row],[InflMes]]),0)</f>
        <v>0</v>
      </c>
      <c r="G140" s="21">
        <f>TModelo[[#This Row],[Act]]*(CDTb+(CDTx0-CDTb)*(1-CDTa)^TModelo[[#This Row],[Period]]+CDTspread)</f>
        <v>0</v>
      </c>
      <c r="H140" s="40">
        <f>TModelo[[#This Row],[Act]]*((1+TModelo[[#This Row],[TasaCDT]])^(1/12)-1)*(1-Retencion)</f>
        <v>0</v>
      </c>
      <c r="I140" s="40">
        <f>TModelo[[#This Row],[Act]]*(EXP(MuCOLCAP+SigmaCOLCAP^2/2)-1)</f>
        <v>0</v>
      </c>
      <c r="J140" s="40">
        <f>TModelo[[#This Row],[Act]]*(EXP(MuTRM+SigmaTRM^2/2)-1)</f>
        <v>0</v>
      </c>
      <c r="K140" s="11">
        <f>TModelo[[#This Row],[Act]]*IF(Rebalanceo="Mensual",1,IF(Rebalanceo="Anual",IF(MOD(TModelo[[#This Row],[Period]]-1,12)=0,1,0),0))</f>
        <v>0</v>
      </c>
      <c r="L140" s="24">
        <f>TModelo[[#This Row],[Act]]*AporteMensual*IF(CrecimientoAporte="Con IPC",F139,1)</f>
        <v>0</v>
      </c>
      <c r="M140" s="24">
        <f>IF(TModelo[[#This Row],[Period]]=HorizonteMeses,TModelo[[#This Row],[TotalPreLiq]],0)</f>
        <v>0</v>
      </c>
      <c r="N140" s="24">
        <f>TModelo[[#This Row],[Inflow]]-TModelo[[#This Row],[Outflow]]</f>
        <v>0</v>
      </c>
      <c r="O140" s="24">
        <f t="shared" si="1"/>
        <v>0</v>
      </c>
      <c r="P140" s="24">
        <f>TModelo[[#This Row],[IntCDT]]+TModelo[[#This Row],[IntCOLCAP]]+TModelo[[#This Row],[IntUSD]]</f>
        <v>0</v>
      </c>
      <c r="Q140" s="24">
        <f>TModelo[[#This Row],[InitialBalance]]+TModelo[[#This Row],[Interest]]+TModelo[[#This Row],[Outflow]]-TModelo[[#This Row],[Inflow]]</f>
        <v>0</v>
      </c>
      <c r="R140" s="24">
        <f>TModelo[[#This Row],[Act]]*IF(TModelo[[#This Row],[Rebal]]=1,PesoCDT*(X139+Y139+Z139),X139)</f>
        <v>0</v>
      </c>
      <c r="S140" s="24">
        <f>TModelo[[#This Row],[Act]]*IF(TModelo[[#This Row],[Rebal]]=1,PesoCOLCAP*(X139+Y139+Z139),Y139)</f>
        <v>0</v>
      </c>
      <c r="T140" s="24">
        <f>TModelo[[#This Row],[Act]]*IF(TModelo[[#This Row],[Rebal]]=1,PesoUSD*(X139+Y139+Z139),Z139)</f>
        <v>0</v>
      </c>
      <c r="U140" s="24">
        <f>TModelo[[#This Row],[IniCDT]]*TModelo[[#This Row],[RetCDT]]</f>
        <v>0</v>
      </c>
      <c r="V140" s="24">
        <f>TModelo[[#This Row],[IniCOLCAP]]*TModelo[[#This Row],[RetCOLCAP]]</f>
        <v>0</v>
      </c>
      <c r="W140" s="24">
        <f>TModelo[[#This Row],[IniUSD]]*TModelo[[#This Row],[RetUSD]]</f>
        <v>0</v>
      </c>
      <c r="X140" s="24">
        <f>TModelo[[#This Row],[Act]]*(TModelo[[#This Row],[IniCDT]]+TModelo[[#This Row],[IntCDT]]+PesoCDT*TModelo[[#This Row],[Outflow]])</f>
        <v>0</v>
      </c>
      <c r="Y140" s="24">
        <f>TModelo[[#This Row],[Act]]*(TModelo[[#This Row],[IniCOLCAP]]+TModelo[[#This Row],[IntCOLCAP]]+PesoCOLCAP*TModelo[[#This Row],[Outflow]])</f>
        <v>0</v>
      </c>
      <c r="Z140" s="24">
        <f>TModelo[[#This Row],[Act]]*(TModelo[[#This Row],[IniUSD]]+TModelo[[#This Row],[IntUSD]]+PesoUSD*TModelo[[#This Row],[Outflow]])</f>
        <v>0</v>
      </c>
      <c r="AA140" s="24">
        <f>TModelo[[#This Row],[BalCDT]]+TModelo[[#This Row],[BalCOLCAP]]+TModelo[[#This Row],[BalUSD]]</f>
        <v>0</v>
      </c>
      <c r="AB140" s="24">
        <f>IF(TModelo[[#This Row],[CumInfl]]&gt;0,TModelo[[#This Row],[TotalPreLiq]]/TModelo[[#This Row],[CumInfl]],0)</f>
        <v>0</v>
      </c>
      <c r="AC140" s="41">
        <f>(1+PerRate)^(-TModelo[[#This Row],[Period]])</f>
        <v>0.41454389851178186</v>
      </c>
      <c r="AD140" s="42">
        <f>TModelo[[#This Row],[NetCF]]*TModelo[[#This Row],[fd]]</f>
        <v>0</v>
      </c>
    </row>
    <row r="141" spans="2:30" ht="16.95" customHeight="1">
      <c r="B141" s="11">
        <v>114</v>
      </c>
      <c r="C141" s="25">
        <f>EDATE(FechaInicio,TModelo[[#This Row],[Period]])</f>
        <v>49763</v>
      </c>
      <c r="D141" s="11">
        <f>IF(AND(TModelo[[#This Row],[Period]]&gt;=1,TModelo[[#This Row],[Period]]&lt;=HorizonteMeses),1,0)</f>
        <v>0</v>
      </c>
      <c r="E141" s="40">
        <f>TModelo[[#This Row],[Act]]*(INFb+(INFpi0-INFb)*(1-INFa)^TModelo[[#This Row],[Period]])</f>
        <v>0</v>
      </c>
      <c r="F141" s="28">
        <f>IF(TModelo[[#This Row],[Period]]&lt;=HorizonteMeses,F140*(1+TModelo[[#This Row],[InflMes]]),0)</f>
        <v>0</v>
      </c>
      <c r="G141" s="21">
        <f>TModelo[[#This Row],[Act]]*(CDTb+(CDTx0-CDTb)*(1-CDTa)^TModelo[[#This Row],[Period]]+CDTspread)</f>
        <v>0</v>
      </c>
      <c r="H141" s="40">
        <f>TModelo[[#This Row],[Act]]*((1+TModelo[[#This Row],[TasaCDT]])^(1/12)-1)*(1-Retencion)</f>
        <v>0</v>
      </c>
      <c r="I141" s="40">
        <f>TModelo[[#This Row],[Act]]*(EXP(MuCOLCAP+SigmaCOLCAP^2/2)-1)</f>
        <v>0</v>
      </c>
      <c r="J141" s="40">
        <f>TModelo[[#This Row],[Act]]*(EXP(MuTRM+SigmaTRM^2/2)-1)</f>
        <v>0</v>
      </c>
      <c r="K141" s="11">
        <f>TModelo[[#This Row],[Act]]*IF(Rebalanceo="Mensual",1,IF(Rebalanceo="Anual",IF(MOD(TModelo[[#This Row],[Period]]-1,12)=0,1,0),0))</f>
        <v>0</v>
      </c>
      <c r="L141" s="24">
        <f>TModelo[[#This Row],[Act]]*AporteMensual*IF(CrecimientoAporte="Con IPC",F140,1)</f>
        <v>0</v>
      </c>
      <c r="M141" s="24">
        <f>IF(TModelo[[#This Row],[Period]]=HorizonteMeses,TModelo[[#This Row],[TotalPreLiq]],0)</f>
        <v>0</v>
      </c>
      <c r="N141" s="24">
        <f>TModelo[[#This Row],[Inflow]]-TModelo[[#This Row],[Outflow]]</f>
        <v>0</v>
      </c>
      <c r="O141" s="24">
        <f t="shared" si="1"/>
        <v>0</v>
      </c>
      <c r="P141" s="24">
        <f>TModelo[[#This Row],[IntCDT]]+TModelo[[#This Row],[IntCOLCAP]]+TModelo[[#This Row],[IntUSD]]</f>
        <v>0</v>
      </c>
      <c r="Q141" s="24">
        <f>TModelo[[#This Row],[InitialBalance]]+TModelo[[#This Row],[Interest]]+TModelo[[#This Row],[Outflow]]-TModelo[[#This Row],[Inflow]]</f>
        <v>0</v>
      </c>
      <c r="R141" s="24">
        <f>TModelo[[#This Row],[Act]]*IF(TModelo[[#This Row],[Rebal]]=1,PesoCDT*(X140+Y140+Z140),X140)</f>
        <v>0</v>
      </c>
      <c r="S141" s="24">
        <f>TModelo[[#This Row],[Act]]*IF(TModelo[[#This Row],[Rebal]]=1,PesoCOLCAP*(X140+Y140+Z140),Y140)</f>
        <v>0</v>
      </c>
      <c r="T141" s="24">
        <f>TModelo[[#This Row],[Act]]*IF(TModelo[[#This Row],[Rebal]]=1,PesoUSD*(X140+Y140+Z140),Z140)</f>
        <v>0</v>
      </c>
      <c r="U141" s="24">
        <f>TModelo[[#This Row],[IniCDT]]*TModelo[[#This Row],[RetCDT]]</f>
        <v>0</v>
      </c>
      <c r="V141" s="24">
        <f>TModelo[[#This Row],[IniCOLCAP]]*TModelo[[#This Row],[RetCOLCAP]]</f>
        <v>0</v>
      </c>
      <c r="W141" s="24">
        <f>TModelo[[#This Row],[IniUSD]]*TModelo[[#This Row],[RetUSD]]</f>
        <v>0</v>
      </c>
      <c r="X141" s="24">
        <f>TModelo[[#This Row],[Act]]*(TModelo[[#This Row],[IniCDT]]+TModelo[[#This Row],[IntCDT]]+PesoCDT*TModelo[[#This Row],[Outflow]])</f>
        <v>0</v>
      </c>
      <c r="Y141" s="24">
        <f>TModelo[[#This Row],[Act]]*(TModelo[[#This Row],[IniCOLCAP]]+TModelo[[#This Row],[IntCOLCAP]]+PesoCOLCAP*TModelo[[#This Row],[Outflow]])</f>
        <v>0</v>
      </c>
      <c r="Z141" s="24">
        <f>TModelo[[#This Row],[Act]]*(TModelo[[#This Row],[IniUSD]]+TModelo[[#This Row],[IntUSD]]+PesoUSD*TModelo[[#This Row],[Outflow]])</f>
        <v>0</v>
      </c>
      <c r="AA141" s="24">
        <f>TModelo[[#This Row],[BalCDT]]+TModelo[[#This Row],[BalCOLCAP]]+TModelo[[#This Row],[BalUSD]]</f>
        <v>0</v>
      </c>
      <c r="AB141" s="24">
        <f>IF(TModelo[[#This Row],[CumInfl]]&gt;0,TModelo[[#This Row],[TotalPreLiq]]/TModelo[[#This Row],[CumInfl]],0)</f>
        <v>0</v>
      </c>
      <c r="AC141" s="41">
        <f>(1+PerRate)^(-TModelo[[#This Row],[Period]])</f>
        <v>0.4113260317321053</v>
      </c>
      <c r="AD141" s="42">
        <f>TModelo[[#This Row],[NetCF]]*TModelo[[#This Row],[fd]]</f>
        <v>0</v>
      </c>
    </row>
    <row r="142" spans="2:30" ht="16.95" customHeight="1">
      <c r="B142" s="11">
        <v>115</v>
      </c>
      <c r="C142" s="25">
        <f>EDATE(FechaInicio,TModelo[[#This Row],[Period]])</f>
        <v>49794</v>
      </c>
      <c r="D142" s="11">
        <f>IF(AND(TModelo[[#This Row],[Period]]&gt;=1,TModelo[[#This Row],[Period]]&lt;=HorizonteMeses),1,0)</f>
        <v>0</v>
      </c>
      <c r="E142" s="40">
        <f>TModelo[[#This Row],[Act]]*(INFb+(INFpi0-INFb)*(1-INFa)^TModelo[[#This Row],[Period]])</f>
        <v>0</v>
      </c>
      <c r="F142" s="28">
        <f>IF(TModelo[[#This Row],[Period]]&lt;=HorizonteMeses,F141*(1+TModelo[[#This Row],[InflMes]]),0)</f>
        <v>0</v>
      </c>
      <c r="G142" s="21">
        <f>TModelo[[#This Row],[Act]]*(CDTb+(CDTx0-CDTb)*(1-CDTa)^TModelo[[#This Row],[Period]]+CDTspread)</f>
        <v>0</v>
      </c>
      <c r="H142" s="40">
        <f>TModelo[[#This Row],[Act]]*((1+TModelo[[#This Row],[TasaCDT]])^(1/12)-1)*(1-Retencion)</f>
        <v>0</v>
      </c>
      <c r="I142" s="40">
        <f>TModelo[[#This Row],[Act]]*(EXP(MuCOLCAP+SigmaCOLCAP^2/2)-1)</f>
        <v>0</v>
      </c>
      <c r="J142" s="40">
        <f>TModelo[[#This Row],[Act]]*(EXP(MuTRM+SigmaTRM^2/2)-1)</f>
        <v>0</v>
      </c>
      <c r="K142" s="11">
        <f>TModelo[[#This Row],[Act]]*IF(Rebalanceo="Mensual",1,IF(Rebalanceo="Anual",IF(MOD(TModelo[[#This Row],[Period]]-1,12)=0,1,0),0))</f>
        <v>0</v>
      </c>
      <c r="L142" s="24">
        <f>TModelo[[#This Row],[Act]]*AporteMensual*IF(CrecimientoAporte="Con IPC",F141,1)</f>
        <v>0</v>
      </c>
      <c r="M142" s="24">
        <f>IF(TModelo[[#This Row],[Period]]=HorizonteMeses,TModelo[[#This Row],[TotalPreLiq]],0)</f>
        <v>0</v>
      </c>
      <c r="N142" s="24">
        <f>TModelo[[#This Row],[Inflow]]-TModelo[[#This Row],[Outflow]]</f>
        <v>0</v>
      </c>
      <c r="O142" s="24">
        <f t="shared" si="1"/>
        <v>0</v>
      </c>
      <c r="P142" s="24">
        <f>TModelo[[#This Row],[IntCDT]]+TModelo[[#This Row],[IntCOLCAP]]+TModelo[[#This Row],[IntUSD]]</f>
        <v>0</v>
      </c>
      <c r="Q142" s="24">
        <f>TModelo[[#This Row],[InitialBalance]]+TModelo[[#This Row],[Interest]]+TModelo[[#This Row],[Outflow]]-TModelo[[#This Row],[Inflow]]</f>
        <v>0</v>
      </c>
      <c r="R142" s="24">
        <f>TModelo[[#This Row],[Act]]*IF(TModelo[[#This Row],[Rebal]]=1,PesoCDT*(X141+Y141+Z141),X141)</f>
        <v>0</v>
      </c>
      <c r="S142" s="24">
        <f>TModelo[[#This Row],[Act]]*IF(TModelo[[#This Row],[Rebal]]=1,PesoCOLCAP*(X141+Y141+Z141),Y141)</f>
        <v>0</v>
      </c>
      <c r="T142" s="24">
        <f>TModelo[[#This Row],[Act]]*IF(TModelo[[#This Row],[Rebal]]=1,PesoUSD*(X141+Y141+Z141),Z141)</f>
        <v>0</v>
      </c>
      <c r="U142" s="24">
        <f>TModelo[[#This Row],[IniCDT]]*TModelo[[#This Row],[RetCDT]]</f>
        <v>0</v>
      </c>
      <c r="V142" s="24">
        <f>TModelo[[#This Row],[IniCOLCAP]]*TModelo[[#This Row],[RetCOLCAP]]</f>
        <v>0</v>
      </c>
      <c r="W142" s="24">
        <f>TModelo[[#This Row],[IniUSD]]*TModelo[[#This Row],[RetUSD]]</f>
        <v>0</v>
      </c>
      <c r="X142" s="24">
        <f>TModelo[[#This Row],[Act]]*(TModelo[[#This Row],[IniCDT]]+TModelo[[#This Row],[IntCDT]]+PesoCDT*TModelo[[#This Row],[Outflow]])</f>
        <v>0</v>
      </c>
      <c r="Y142" s="24">
        <f>TModelo[[#This Row],[Act]]*(TModelo[[#This Row],[IniCOLCAP]]+TModelo[[#This Row],[IntCOLCAP]]+PesoCOLCAP*TModelo[[#This Row],[Outflow]])</f>
        <v>0</v>
      </c>
      <c r="Z142" s="24">
        <f>TModelo[[#This Row],[Act]]*(TModelo[[#This Row],[IniUSD]]+TModelo[[#This Row],[IntUSD]]+PesoUSD*TModelo[[#This Row],[Outflow]])</f>
        <v>0</v>
      </c>
      <c r="AA142" s="24">
        <f>TModelo[[#This Row],[BalCDT]]+TModelo[[#This Row],[BalCOLCAP]]+TModelo[[#This Row],[BalUSD]]</f>
        <v>0</v>
      </c>
      <c r="AB142" s="24">
        <f>IF(TModelo[[#This Row],[CumInfl]]&gt;0,TModelo[[#This Row],[TotalPreLiq]]/TModelo[[#This Row],[CumInfl]],0)</f>
        <v>0</v>
      </c>
      <c r="AC142" s="41">
        <f>(1+PerRate)^(-TModelo[[#This Row],[Period]])</f>
        <v>0.40813314340862822</v>
      </c>
      <c r="AD142" s="42">
        <f>TModelo[[#This Row],[NetCF]]*TModelo[[#This Row],[fd]]</f>
        <v>0</v>
      </c>
    </row>
    <row r="143" spans="2:30" ht="16.95" customHeight="1">
      <c r="B143" s="11">
        <v>116</v>
      </c>
      <c r="C143" s="25">
        <f>EDATE(FechaInicio,TModelo[[#This Row],[Period]])</f>
        <v>49824</v>
      </c>
      <c r="D143" s="11">
        <f>IF(AND(TModelo[[#This Row],[Period]]&gt;=1,TModelo[[#This Row],[Period]]&lt;=HorizonteMeses),1,0)</f>
        <v>0</v>
      </c>
      <c r="E143" s="40">
        <f>TModelo[[#This Row],[Act]]*(INFb+(INFpi0-INFb)*(1-INFa)^TModelo[[#This Row],[Period]])</f>
        <v>0</v>
      </c>
      <c r="F143" s="28">
        <f>IF(TModelo[[#This Row],[Period]]&lt;=HorizonteMeses,F142*(1+TModelo[[#This Row],[InflMes]]),0)</f>
        <v>0</v>
      </c>
      <c r="G143" s="21">
        <f>TModelo[[#This Row],[Act]]*(CDTb+(CDTx0-CDTb)*(1-CDTa)^TModelo[[#This Row],[Period]]+CDTspread)</f>
        <v>0</v>
      </c>
      <c r="H143" s="40">
        <f>TModelo[[#This Row],[Act]]*((1+TModelo[[#This Row],[TasaCDT]])^(1/12)-1)*(1-Retencion)</f>
        <v>0</v>
      </c>
      <c r="I143" s="40">
        <f>TModelo[[#This Row],[Act]]*(EXP(MuCOLCAP+SigmaCOLCAP^2/2)-1)</f>
        <v>0</v>
      </c>
      <c r="J143" s="40">
        <f>TModelo[[#This Row],[Act]]*(EXP(MuTRM+SigmaTRM^2/2)-1)</f>
        <v>0</v>
      </c>
      <c r="K143" s="11">
        <f>TModelo[[#This Row],[Act]]*IF(Rebalanceo="Mensual",1,IF(Rebalanceo="Anual",IF(MOD(TModelo[[#This Row],[Period]]-1,12)=0,1,0),0))</f>
        <v>0</v>
      </c>
      <c r="L143" s="24">
        <f>TModelo[[#This Row],[Act]]*AporteMensual*IF(CrecimientoAporte="Con IPC",F142,1)</f>
        <v>0</v>
      </c>
      <c r="M143" s="24">
        <f>IF(TModelo[[#This Row],[Period]]=HorizonteMeses,TModelo[[#This Row],[TotalPreLiq]],0)</f>
        <v>0</v>
      </c>
      <c r="N143" s="24">
        <f>TModelo[[#This Row],[Inflow]]-TModelo[[#This Row],[Outflow]]</f>
        <v>0</v>
      </c>
      <c r="O143" s="24">
        <f t="shared" si="1"/>
        <v>0</v>
      </c>
      <c r="P143" s="24">
        <f>TModelo[[#This Row],[IntCDT]]+TModelo[[#This Row],[IntCOLCAP]]+TModelo[[#This Row],[IntUSD]]</f>
        <v>0</v>
      </c>
      <c r="Q143" s="24">
        <f>TModelo[[#This Row],[InitialBalance]]+TModelo[[#This Row],[Interest]]+TModelo[[#This Row],[Outflow]]-TModelo[[#This Row],[Inflow]]</f>
        <v>0</v>
      </c>
      <c r="R143" s="24">
        <f>TModelo[[#This Row],[Act]]*IF(TModelo[[#This Row],[Rebal]]=1,PesoCDT*(X142+Y142+Z142),X142)</f>
        <v>0</v>
      </c>
      <c r="S143" s="24">
        <f>TModelo[[#This Row],[Act]]*IF(TModelo[[#This Row],[Rebal]]=1,PesoCOLCAP*(X142+Y142+Z142),Y142)</f>
        <v>0</v>
      </c>
      <c r="T143" s="24">
        <f>TModelo[[#This Row],[Act]]*IF(TModelo[[#This Row],[Rebal]]=1,PesoUSD*(X142+Y142+Z142),Z142)</f>
        <v>0</v>
      </c>
      <c r="U143" s="24">
        <f>TModelo[[#This Row],[IniCDT]]*TModelo[[#This Row],[RetCDT]]</f>
        <v>0</v>
      </c>
      <c r="V143" s="24">
        <f>TModelo[[#This Row],[IniCOLCAP]]*TModelo[[#This Row],[RetCOLCAP]]</f>
        <v>0</v>
      </c>
      <c r="W143" s="24">
        <f>TModelo[[#This Row],[IniUSD]]*TModelo[[#This Row],[RetUSD]]</f>
        <v>0</v>
      </c>
      <c r="X143" s="24">
        <f>TModelo[[#This Row],[Act]]*(TModelo[[#This Row],[IniCDT]]+TModelo[[#This Row],[IntCDT]]+PesoCDT*TModelo[[#This Row],[Outflow]])</f>
        <v>0</v>
      </c>
      <c r="Y143" s="24">
        <f>TModelo[[#This Row],[Act]]*(TModelo[[#This Row],[IniCOLCAP]]+TModelo[[#This Row],[IntCOLCAP]]+PesoCOLCAP*TModelo[[#This Row],[Outflow]])</f>
        <v>0</v>
      </c>
      <c r="Z143" s="24">
        <f>TModelo[[#This Row],[Act]]*(TModelo[[#This Row],[IniUSD]]+TModelo[[#This Row],[IntUSD]]+PesoUSD*TModelo[[#This Row],[Outflow]])</f>
        <v>0</v>
      </c>
      <c r="AA143" s="24">
        <f>TModelo[[#This Row],[BalCDT]]+TModelo[[#This Row],[BalCOLCAP]]+TModelo[[#This Row],[BalUSD]]</f>
        <v>0</v>
      </c>
      <c r="AB143" s="24">
        <f>IF(TModelo[[#This Row],[CumInfl]]&gt;0,TModelo[[#This Row],[TotalPreLiq]]/TModelo[[#This Row],[CumInfl]],0)</f>
        <v>0</v>
      </c>
      <c r="AC143" s="41">
        <f>(1+PerRate)^(-TModelo[[#This Row],[Period]])</f>
        <v>0.40496503964790603</v>
      </c>
      <c r="AD143" s="42">
        <f>TModelo[[#This Row],[NetCF]]*TModelo[[#This Row],[fd]]</f>
        <v>0</v>
      </c>
    </row>
    <row r="144" spans="2:30" ht="16.95" customHeight="1">
      <c r="B144" s="11">
        <v>117</v>
      </c>
      <c r="C144" s="25">
        <f>EDATE(FechaInicio,TModelo[[#This Row],[Period]])</f>
        <v>49855</v>
      </c>
      <c r="D144" s="11">
        <f>IF(AND(TModelo[[#This Row],[Period]]&gt;=1,TModelo[[#This Row],[Period]]&lt;=HorizonteMeses),1,0)</f>
        <v>0</v>
      </c>
      <c r="E144" s="40">
        <f>TModelo[[#This Row],[Act]]*(INFb+(INFpi0-INFb)*(1-INFa)^TModelo[[#This Row],[Period]])</f>
        <v>0</v>
      </c>
      <c r="F144" s="28">
        <f>IF(TModelo[[#This Row],[Period]]&lt;=HorizonteMeses,F143*(1+TModelo[[#This Row],[InflMes]]),0)</f>
        <v>0</v>
      </c>
      <c r="G144" s="21">
        <f>TModelo[[#This Row],[Act]]*(CDTb+(CDTx0-CDTb)*(1-CDTa)^TModelo[[#This Row],[Period]]+CDTspread)</f>
        <v>0</v>
      </c>
      <c r="H144" s="40">
        <f>TModelo[[#This Row],[Act]]*((1+TModelo[[#This Row],[TasaCDT]])^(1/12)-1)*(1-Retencion)</f>
        <v>0</v>
      </c>
      <c r="I144" s="40">
        <f>TModelo[[#This Row],[Act]]*(EXP(MuCOLCAP+SigmaCOLCAP^2/2)-1)</f>
        <v>0</v>
      </c>
      <c r="J144" s="40">
        <f>TModelo[[#This Row],[Act]]*(EXP(MuTRM+SigmaTRM^2/2)-1)</f>
        <v>0</v>
      </c>
      <c r="K144" s="11">
        <f>TModelo[[#This Row],[Act]]*IF(Rebalanceo="Mensual",1,IF(Rebalanceo="Anual",IF(MOD(TModelo[[#This Row],[Period]]-1,12)=0,1,0),0))</f>
        <v>0</v>
      </c>
      <c r="L144" s="24">
        <f>TModelo[[#This Row],[Act]]*AporteMensual*IF(CrecimientoAporte="Con IPC",F143,1)</f>
        <v>0</v>
      </c>
      <c r="M144" s="24">
        <f>IF(TModelo[[#This Row],[Period]]=HorizonteMeses,TModelo[[#This Row],[TotalPreLiq]],0)</f>
        <v>0</v>
      </c>
      <c r="N144" s="24">
        <f>TModelo[[#This Row],[Inflow]]-TModelo[[#This Row],[Outflow]]</f>
        <v>0</v>
      </c>
      <c r="O144" s="24">
        <f t="shared" si="1"/>
        <v>0</v>
      </c>
      <c r="P144" s="24">
        <f>TModelo[[#This Row],[IntCDT]]+TModelo[[#This Row],[IntCOLCAP]]+TModelo[[#This Row],[IntUSD]]</f>
        <v>0</v>
      </c>
      <c r="Q144" s="24">
        <f>TModelo[[#This Row],[InitialBalance]]+TModelo[[#This Row],[Interest]]+TModelo[[#This Row],[Outflow]]-TModelo[[#This Row],[Inflow]]</f>
        <v>0</v>
      </c>
      <c r="R144" s="24">
        <f>TModelo[[#This Row],[Act]]*IF(TModelo[[#This Row],[Rebal]]=1,PesoCDT*(X143+Y143+Z143),X143)</f>
        <v>0</v>
      </c>
      <c r="S144" s="24">
        <f>TModelo[[#This Row],[Act]]*IF(TModelo[[#This Row],[Rebal]]=1,PesoCOLCAP*(X143+Y143+Z143),Y143)</f>
        <v>0</v>
      </c>
      <c r="T144" s="24">
        <f>TModelo[[#This Row],[Act]]*IF(TModelo[[#This Row],[Rebal]]=1,PesoUSD*(X143+Y143+Z143),Z143)</f>
        <v>0</v>
      </c>
      <c r="U144" s="24">
        <f>TModelo[[#This Row],[IniCDT]]*TModelo[[#This Row],[RetCDT]]</f>
        <v>0</v>
      </c>
      <c r="V144" s="24">
        <f>TModelo[[#This Row],[IniCOLCAP]]*TModelo[[#This Row],[RetCOLCAP]]</f>
        <v>0</v>
      </c>
      <c r="W144" s="24">
        <f>TModelo[[#This Row],[IniUSD]]*TModelo[[#This Row],[RetUSD]]</f>
        <v>0</v>
      </c>
      <c r="X144" s="24">
        <f>TModelo[[#This Row],[Act]]*(TModelo[[#This Row],[IniCDT]]+TModelo[[#This Row],[IntCDT]]+PesoCDT*TModelo[[#This Row],[Outflow]])</f>
        <v>0</v>
      </c>
      <c r="Y144" s="24">
        <f>TModelo[[#This Row],[Act]]*(TModelo[[#This Row],[IniCOLCAP]]+TModelo[[#This Row],[IntCOLCAP]]+PesoCOLCAP*TModelo[[#This Row],[Outflow]])</f>
        <v>0</v>
      </c>
      <c r="Z144" s="24">
        <f>TModelo[[#This Row],[Act]]*(TModelo[[#This Row],[IniUSD]]+TModelo[[#This Row],[IntUSD]]+PesoUSD*TModelo[[#This Row],[Outflow]])</f>
        <v>0</v>
      </c>
      <c r="AA144" s="24">
        <f>TModelo[[#This Row],[BalCDT]]+TModelo[[#This Row],[BalCOLCAP]]+TModelo[[#This Row],[BalUSD]]</f>
        <v>0</v>
      </c>
      <c r="AB144" s="24">
        <f>IF(TModelo[[#This Row],[CumInfl]]&gt;0,TModelo[[#This Row],[TotalPreLiq]]/TModelo[[#This Row],[CumInfl]],0)</f>
        <v>0</v>
      </c>
      <c r="AC144" s="41">
        <f>(1+PerRate)^(-TModelo[[#This Row],[Period]])</f>
        <v>0.40182152806157789</v>
      </c>
      <c r="AD144" s="42">
        <f>TModelo[[#This Row],[NetCF]]*TModelo[[#This Row],[fd]]</f>
        <v>0</v>
      </c>
    </row>
    <row r="145" spans="2:30" ht="16.95" customHeight="1">
      <c r="B145" s="11">
        <v>118</v>
      </c>
      <c r="C145" s="25">
        <f>EDATE(FechaInicio,TModelo[[#This Row],[Period]])</f>
        <v>49885</v>
      </c>
      <c r="D145" s="11">
        <f>IF(AND(TModelo[[#This Row],[Period]]&gt;=1,TModelo[[#This Row],[Period]]&lt;=HorizonteMeses),1,0)</f>
        <v>0</v>
      </c>
      <c r="E145" s="40">
        <f>TModelo[[#This Row],[Act]]*(INFb+(INFpi0-INFb)*(1-INFa)^TModelo[[#This Row],[Period]])</f>
        <v>0</v>
      </c>
      <c r="F145" s="28">
        <f>IF(TModelo[[#This Row],[Period]]&lt;=HorizonteMeses,F144*(1+TModelo[[#This Row],[InflMes]]),0)</f>
        <v>0</v>
      </c>
      <c r="G145" s="21">
        <f>TModelo[[#This Row],[Act]]*(CDTb+(CDTx0-CDTb)*(1-CDTa)^TModelo[[#This Row],[Period]]+CDTspread)</f>
        <v>0</v>
      </c>
      <c r="H145" s="40">
        <f>TModelo[[#This Row],[Act]]*((1+TModelo[[#This Row],[TasaCDT]])^(1/12)-1)*(1-Retencion)</f>
        <v>0</v>
      </c>
      <c r="I145" s="40">
        <f>TModelo[[#This Row],[Act]]*(EXP(MuCOLCAP+SigmaCOLCAP^2/2)-1)</f>
        <v>0</v>
      </c>
      <c r="J145" s="40">
        <f>TModelo[[#This Row],[Act]]*(EXP(MuTRM+SigmaTRM^2/2)-1)</f>
        <v>0</v>
      </c>
      <c r="K145" s="11">
        <f>TModelo[[#This Row],[Act]]*IF(Rebalanceo="Mensual",1,IF(Rebalanceo="Anual",IF(MOD(TModelo[[#This Row],[Period]]-1,12)=0,1,0),0))</f>
        <v>0</v>
      </c>
      <c r="L145" s="24">
        <f>TModelo[[#This Row],[Act]]*AporteMensual*IF(CrecimientoAporte="Con IPC",F144,1)</f>
        <v>0</v>
      </c>
      <c r="M145" s="24">
        <f>IF(TModelo[[#This Row],[Period]]=HorizonteMeses,TModelo[[#This Row],[TotalPreLiq]],0)</f>
        <v>0</v>
      </c>
      <c r="N145" s="24">
        <f>TModelo[[#This Row],[Inflow]]-TModelo[[#This Row],[Outflow]]</f>
        <v>0</v>
      </c>
      <c r="O145" s="24">
        <f t="shared" si="1"/>
        <v>0</v>
      </c>
      <c r="P145" s="24">
        <f>TModelo[[#This Row],[IntCDT]]+TModelo[[#This Row],[IntCOLCAP]]+TModelo[[#This Row],[IntUSD]]</f>
        <v>0</v>
      </c>
      <c r="Q145" s="24">
        <f>TModelo[[#This Row],[InitialBalance]]+TModelo[[#This Row],[Interest]]+TModelo[[#This Row],[Outflow]]-TModelo[[#This Row],[Inflow]]</f>
        <v>0</v>
      </c>
      <c r="R145" s="24">
        <f>TModelo[[#This Row],[Act]]*IF(TModelo[[#This Row],[Rebal]]=1,PesoCDT*(X144+Y144+Z144),X144)</f>
        <v>0</v>
      </c>
      <c r="S145" s="24">
        <f>TModelo[[#This Row],[Act]]*IF(TModelo[[#This Row],[Rebal]]=1,PesoCOLCAP*(X144+Y144+Z144),Y144)</f>
        <v>0</v>
      </c>
      <c r="T145" s="24">
        <f>TModelo[[#This Row],[Act]]*IF(TModelo[[#This Row],[Rebal]]=1,PesoUSD*(X144+Y144+Z144),Z144)</f>
        <v>0</v>
      </c>
      <c r="U145" s="24">
        <f>TModelo[[#This Row],[IniCDT]]*TModelo[[#This Row],[RetCDT]]</f>
        <v>0</v>
      </c>
      <c r="V145" s="24">
        <f>TModelo[[#This Row],[IniCOLCAP]]*TModelo[[#This Row],[RetCOLCAP]]</f>
        <v>0</v>
      </c>
      <c r="W145" s="24">
        <f>TModelo[[#This Row],[IniUSD]]*TModelo[[#This Row],[RetUSD]]</f>
        <v>0</v>
      </c>
      <c r="X145" s="24">
        <f>TModelo[[#This Row],[Act]]*(TModelo[[#This Row],[IniCDT]]+TModelo[[#This Row],[IntCDT]]+PesoCDT*TModelo[[#This Row],[Outflow]])</f>
        <v>0</v>
      </c>
      <c r="Y145" s="24">
        <f>TModelo[[#This Row],[Act]]*(TModelo[[#This Row],[IniCOLCAP]]+TModelo[[#This Row],[IntCOLCAP]]+PesoCOLCAP*TModelo[[#This Row],[Outflow]])</f>
        <v>0</v>
      </c>
      <c r="Z145" s="24">
        <f>TModelo[[#This Row],[Act]]*(TModelo[[#This Row],[IniUSD]]+TModelo[[#This Row],[IntUSD]]+PesoUSD*TModelo[[#This Row],[Outflow]])</f>
        <v>0</v>
      </c>
      <c r="AA145" s="24">
        <f>TModelo[[#This Row],[BalCDT]]+TModelo[[#This Row],[BalCOLCAP]]+TModelo[[#This Row],[BalUSD]]</f>
        <v>0</v>
      </c>
      <c r="AB145" s="24">
        <f>IF(TModelo[[#This Row],[CumInfl]]&gt;0,TModelo[[#This Row],[TotalPreLiq]]/TModelo[[#This Row],[CumInfl]],0)</f>
        <v>0</v>
      </c>
      <c r="AC145" s="41">
        <f>(1+PerRate)^(-TModelo[[#This Row],[Period]])</f>
        <v>0.39870241775468368</v>
      </c>
      <c r="AD145" s="42">
        <f>TModelo[[#This Row],[NetCF]]*TModelo[[#This Row],[fd]]</f>
        <v>0</v>
      </c>
    </row>
    <row r="146" spans="2:30" ht="16.95" customHeight="1">
      <c r="B146" s="11">
        <v>119</v>
      </c>
      <c r="C146" s="25">
        <f>EDATE(FechaInicio,TModelo[[#This Row],[Period]])</f>
        <v>49916</v>
      </c>
      <c r="D146" s="11">
        <f>IF(AND(TModelo[[#This Row],[Period]]&gt;=1,TModelo[[#This Row],[Period]]&lt;=HorizonteMeses),1,0)</f>
        <v>0</v>
      </c>
      <c r="E146" s="40">
        <f>TModelo[[#This Row],[Act]]*(INFb+(INFpi0-INFb)*(1-INFa)^TModelo[[#This Row],[Period]])</f>
        <v>0</v>
      </c>
      <c r="F146" s="28">
        <f>IF(TModelo[[#This Row],[Period]]&lt;=HorizonteMeses,F145*(1+TModelo[[#This Row],[InflMes]]),0)</f>
        <v>0</v>
      </c>
      <c r="G146" s="21">
        <f>TModelo[[#This Row],[Act]]*(CDTb+(CDTx0-CDTb)*(1-CDTa)^TModelo[[#This Row],[Period]]+CDTspread)</f>
        <v>0</v>
      </c>
      <c r="H146" s="40">
        <f>TModelo[[#This Row],[Act]]*((1+TModelo[[#This Row],[TasaCDT]])^(1/12)-1)*(1-Retencion)</f>
        <v>0</v>
      </c>
      <c r="I146" s="40">
        <f>TModelo[[#This Row],[Act]]*(EXP(MuCOLCAP+SigmaCOLCAP^2/2)-1)</f>
        <v>0</v>
      </c>
      <c r="J146" s="40">
        <f>TModelo[[#This Row],[Act]]*(EXP(MuTRM+SigmaTRM^2/2)-1)</f>
        <v>0</v>
      </c>
      <c r="K146" s="11">
        <f>TModelo[[#This Row],[Act]]*IF(Rebalanceo="Mensual",1,IF(Rebalanceo="Anual",IF(MOD(TModelo[[#This Row],[Period]]-1,12)=0,1,0),0))</f>
        <v>0</v>
      </c>
      <c r="L146" s="24">
        <f>TModelo[[#This Row],[Act]]*AporteMensual*IF(CrecimientoAporte="Con IPC",F145,1)</f>
        <v>0</v>
      </c>
      <c r="M146" s="24">
        <f>IF(TModelo[[#This Row],[Period]]=HorizonteMeses,TModelo[[#This Row],[TotalPreLiq]],0)</f>
        <v>0</v>
      </c>
      <c r="N146" s="24">
        <f>TModelo[[#This Row],[Inflow]]-TModelo[[#This Row],[Outflow]]</f>
        <v>0</v>
      </c>
      <c r="O146" s="24">
        <f t="shared" si="1"/>
        <v>0</v>
      </c>
      <c r="P146" s="24">
        <f>TModelo[[#This Row],[IntCDT]]+TModelo[[#This Row],[IntCOLCAP]]+TModelo[[#This Row],[IntUSD]]</f>
        <v>0</v>
      </c>
      <c r="Q146" s="24">
        <f>TModelo[[#This Row],[InitialBalance]]+TModelo[[#This Row],[Interest]]+TModelo[[#This Row],[Outflow]]-TModelo[[#This Row],[Inflow]]</f>
        <v>0</v>
      </c>
      <c r="R146" s="24">
        <f>TModelo[[#This Row],[Act]]*IF(TModelo[[#This Row],[Rebal]]=1,PesoCDT*(X145+Y145+Z145),X145)</f>
        <v>0</v>
      </c>
      <c r="S146" s="24">
        <f>TModelo[[#This Row],[Act]]*IF(TModelo[[#This Row],[Rebal]]=1,PesoCOLCAP*(X145+Y145+Z145),Y145)</f>
        <v>0</v>
      </c>
      <c r="T146" s="24">
        <f>TModelo[[#This Row],[Act]]*IF(TModelo[[#This Row],[Rebal]]=1,PesoUSD*(X145+Y145+Z145),Z145)</f>
        <v>0</v>
      </c>
      <c r="U146" s="24">
        <f>TModelo[[#This Row],[IniCDT]]*TModelo[[#This Row],[RetCDT]]</f>
        <v>0</v>
      </c>
      <c r="V146" s="24">
        <f>TModelo[[#This Row],[IniCOLCAP]]*TModelo[[#This Row],[RetCOLCAP]]</f>
        <v>0</v>
      </c>
      <c r="W146" s="24">
        <f>TModelo[[#This Row],[IniUSD]]*TModelo[[#This Row],[RetUSD]]</f>
        <v>0</v>
      </c>
      <c r="X146" s="24">
        <f>TModelo[[#This Row],[Act]]*(TModelo[[#This Row],[IniCDT]]+TModelo[[#This Row],[IntCDT]]+PesoCDT*TModelo[[#This Row],[Outflow]])</f>
        <v>0</v>
      </c>
      <c r="Y146" s="24">
        <f>TModelo[[#This Row],[Act]]*(TModelo[[#This Row],[IniCOLCAP]]+TModelo[[#This Row],[IntCOLCAP]]+PesoCOLCAP*TModelo[[#This Row],[Outflow]])</f>
        <v>0</v>
      </c>
      <c r="Z146" s="24">
        <f>TModelo[[#This Row],[Act]]*(TModelo[[#This Row],[IniUSD]]+TModelo[[#This Row],[IntUSD]]+PesoUSD*TModelo[[#This Row],[Outflow]])</f>
        <v>0</v>
      </c>
      <c r="AA146" s="24">
        <f>TModelo[[#This Row],[BalCDT]]+TModelo[[#This Row],[BalCOLCAP]]+TModelo[[#This Row],[BalUSD]]</f>
        <v>0</v>
      </c>
      <c r="AB146" s="24">
        <f>IF(TModelo[[#This Row],[CumInfl]]&gt;0,TModelo[[#This Row],[TotalPreLiq]]/TModelo[[#This Row],[CumInfl]],0)</f>
        <v>0</v>
      </c>
      <c r="AC146" s="41">
        <f>(1+PerRate)^(-TModelo[[#This Row],[Period]])</f>
        <v>0.39560751931407112</v>
      </c>
      <c r="AD146" s="42">
        <f>TModelo[[#This Row],[NetCF]]*TModelo[[#This Row],[fd]]</f>
        <v>0</v>
      </c>
    </row>
    <row r="147" spans="2:30" ht="16.95" customHeight="1">
      <c r="B147" s="11">
        <v>120</v>
      </c>
      <c r="C147" s="25">
        <f>EDATE(FechaInicio,TModelo[[#This Row],[Period]])</f>
        <v>49947</v>
      </c>
      <c r="D147" s="11">
        <f>IF(AND(TModelo[[#This Row],[Period]]&gt;=1,TModelo[[#This Row],[Period]]&lt;=HorizonteMeses),1,0)</f>
        <v>0</v>
      </c>
      <c r="E147" s="40">
        <f>TModelo[[#This Row],[Act]]*(INFb+(INFpi0-INFb)*(1-INFa)^TModelo[[#This Row],[Period]])</f>
        <v>0</v>
      </c>
      <c r="F147" s="28">
        <f>IF(TModelo[[#This Row],[Period]]&lt;=HorizonteMeses,F146*(1+TModelo[[#This Row],[InflMes]]),0)</f>
        <v>0</v>
      </c>
      <c r="G147" s="21">
        <f>TModelo[[#This Row],[Act]]*(CDTb+(CDTx0-CDTb)*(1-CDTa)^TModelo[[#This Row],[Period]]+CDTspread)</f>
        <v>0</v>
      </c>
      <c r="H147" s="40">
        <f>TModelo[[#This Row],[Act]]*((1+TModelo[[#This Row],[TasaCDT]])^(1/12)-1)*(1-Retencion)</f>
        <v>0</v>
      </c>
      <c r="I147" s="40">
        <f>TModelo[[#This Row],[Act]]*(EXP(MuCOLCAP+SigmaCOLCAP^2/2)-1)</f>
        <v>0</v>
      </c>
      <c r="J147" s="40">
        <f>TModelo[[#This Row],[Act]]*(EXP(MuTRM+SigmaTRM^2/2)-1)</f>
        <v>0</v>
      </c>
      <c r="K147" s="11">
        <f>TModelo[[#This Row],[Act]]*IF(Rebalanceo="Mensual",1,IF(Rebalanceo="Anual",IF(MOD(TModelo[[#This Row],[Period]]-1,12)=0,1,0),0))</f>
        <v>0</v>
      </c>
      <c r="L147" s="24">
        <f>TModelo[[#This Row],[Act]]*AporteMensual*IF(CrecimientoAporte="Con IPC",F146,1)</f>
        <v>0</v>
      </c>
      <c r="M147" s="24">
        <f>IF(TModelo[[#This Row],[Period]]=HorizonteMeses,TModelo[[#This Row],[TotalPreLiq]],0)</f>
        <v>0</v>
      </c>
      <c r="N147" s="24">
        <f>TModelo[[#This Row],[Inflow]]-TModelo[[#This Row],[Outflow]]</f>
        <v>0</v>
      </c>
      <c r="O147" s="24">
        <f t="shared" si="1"/>
        <v>0</v>
      </c>
      <c r="P147" s="24">
        <f>TModelo[[#This Row],[IntCDT]]+TModelo[[#This Row],[IntCOLCAP]]+TModelo[[#This Row],[IntUSD]]</f>
        <v>0</v>
      </c>
      <c r="Q147" s="24">
        <f>TModelo[[#This Row],[InitialBalance]]+TModelo[[#This Row],[Interest]]+TModelo[[#This Row],[Outflow]]-TModelo[[#This Row],[Inflow]]</f>
        <v>0</v>
      </c>
      <c r="R147" s="24">
        <f>TModelo[[#This Row],[Act]]*IF(TModelo[[#This Row],[Rebal]]=1,PesoCDT*(X146+Y146+Z146),X146)</f>
        <v>0</v>
      </c>
      <c r="S147" s="24">
        <f>TModelo[[#This Row],[Act]]*IF(TModelo[[#This Row],[Rebal]]=1,PesoCOLCAP*(X146+Y146+Z146),Y146)</f>
        <v>0</v>
      </c>
      <c r="T147" s="24">
        <f>TModelo[[#This Row],[Act]]*IF(TModelo[[#This Row],[Rebal]]=1,PesoUSD*(X146+Y146+Z146),Z146)</f>
        <v>0</v>
      </c>
      <c r="U147" s="24">
        <f>TModelo[[#This Row],[IniCDT]]*TModelo[[#This Row],[RetCDT]]</f>
        <v>0</v>
      </c>
      <c r="V147" s="24">
        <f>TModelo[[#This Row],[IniCOLCAP]]*TModelo[[#This Row],[RetCOLCAP]]</f>
        <v>0</v>
      </c>
      <c r="W147" s="24">
        <f>TModelo[[#This Row],[IniUSD]]*TModelo[[#This Row],[RetUSD]]</f>
        <v>0</v>
      </c>
      <c r="X147" s="24">
        <f>TModelo[[#This Row],[Act]]*(TModelo[[#This Row],[IniCDT]]+TModelo[[#This Row],[IntCDT]]+PesoCDT*TModelo[[#This Row],[Outflow]])</f>
        <v>0</v>
      </c>
      <c r="Y147" s="24">
        <f>TModelo[[#This Row],[Act]]*(TModelo[[#This Row],[IniCOLCAP]]+TModelo[[#This Row],[IntCOLCAP]]+PesoCOLCAP*TModelo[[#This Row],[Outflow]])</f>
        <v>0</v>
      </c>
      <c r="Z147" s="24">
        <f>TModelo[[#This Row],[Act]]*(TModelo[[#This Row],[IniUSD]]+TModelo[[#This Row],[IntUSD]]+PesoUSD*TModelo[[#This Row],[Outflow]])</f>
        <v>0</v>
      </c>
      <c r="AA147" s="24">
        <f>TModelo[[#This Row],[BalCDT]]+TModelo[[#This Row],[BalCOLCAP]]+TModelo[[#This Row],[BalUSD]]</f>
        <v>0</v>
      </c>
      <c r="AB147" s="24">
        <f>IF(TModelo[[#This Row],[CumInfl]]&gt;0,TModelo[[#This Row],[TotalPreLiq]]/TModelo[[#This Row],[CumInfl]],0)</f>
        <v>0</v>
      </c>
      <c r="AC147" s="41">
        <f>(1+PerRate)^(-TModelo[[#This Row],[Period]])</f>
        <v>0.39253664479689415</v>
      </c>
      <c r="AD147" s="42">
        <f>TModelo[[#This Row],[NetCF]]*TModelo[[#This Row],[fd]]</f>
        <v>0</v>
      </c>
    </row>
    <row r="148" spans="2:30" ht="16.95" customHeight="1">
      <c r="B148" s="11">
        <v>121</v>
      </c>
      <c r="C148" s="25">
        <f>EDATE(FechaInicio,TModelo[[#This Row],[Period]])</f>
        <v>49977</v>
      </c>
      <c r="D148" s="11">
        <f>IF(AND(TModelo[[#This Row],[Period]]&gt;=1,TModelo[[#This Row],[Period]]&lt;=HorizonteMeses),1,0)</f>
        <v>0</v>
      </c>
      <c r="E148" s="40">
        <f>TModelo[[#This Row],[Act]]*(INFb+(INFpi0-INFb)*(1-INFa)^TModelo[[#This Row],[Period]])</f>
        <v>0</v>
      </c>
      <c r="F148" s="28">
        <f>IF(TModelo[[#This Row],[Period]]&lt;=HorizonteMeses,F147*(1+TModelo[[#This Row],[InflMes]]),0)</f>
        <v>0</v>
      </c>
      <c r="G148" s="21">
        <f>TModelo[[#This Row],[Act]]*(CDTb+(CDTx0-CDTb)*(1-CDTa)^TModelo[[#This Row],[Period]]+CDTspread)</f>
        <v>0</v>
      </c>
      <c r="H148" s="40">
        <f>TModelo[[#This Row],[Act]]*((1+TModelo[[#This Row],[TasaCDT]])^(1/12)-1)*(1-Retencion)</f>
        <v>0</v>
      </c>
      <c r="I148" s="40">
        <f>TModelo[[#This Row],[Act]]*(EXP(MuCOLCAP+SigmaCOLCAP^2/2)-1)</f>
        <v>0</v>
      </c>
      <c r="J148" s="40">
        <f>TModelo[[#This Row],[Act]]*(EXP(MuTRM+SigmaTRM^2/2)-1)</f>
        <v>0</v>
      </c>
      <c r="K148" s="11">
        <f>TModelo[[#This Row],[Act]]*IF(Rebalanceo="Mensual",1,IF(Rebalanceo="Anual",IF(MOD(TModelo[[#This Row],[Period]]-1,12)=0,1,0),0))</f>
        <v>0</v>
      </c>
      <c r="L148" s="24">
        <f>TModelo[[#This Row],[Act]]*AporteMensual*IF(CrecimientoAporte="Con IPC",F147,1)</f>
        <v>0</v>
      </c>
      <c r="M148" s="24">
        <f>IF(TModelo[[#This Row],[Period]]=HorizonteMeses,TModelo[[#This Row],[TotalPreLiq]],0)</f>
        <v>0</v>
      </c>
      <c r="N148" s="24">
        <f>TModelo[[#This Row],[Inflow]]-TModelo[[#This Row],[Outflow]]</f>
        <v>0</v>
      </c>
      <c r="O148" s="24">
        <f t="shared" si="1"/>
        <v>0</v>
      </c>
      <c r="P148" s="24">
        <f>TModelo[[#This Row],[IntCDT]]+TModelo[[#This Row],[IntCOLCAP]]+TModelo[[#This Row],[IntUSD]]</f>
        <v>0</v>
      </c>
      <c r="Q148" s="24">
        <f>TModelo[[#This Row],[InitialBalance]]+TModelo[[#This Row],[Interest]]+TModelo[[#This Row],[Outflow]]-TModelo[[#This Row],[Inflow]]</f>
        <v>0</v>
      </c>
      <c r="R148" s="24">
        <f>TModelo[[#This Row],[Act]]*IF(TModelo[[#This Row],[Rebal]]=1,PesoCDT*(X147+Y147+Z147),X147)</f>
        <v>0</v>
      </c>
      <c r="S148" s="24">
        <f>TModelo[[#This Row],[Act]]*IF(TModelo[[#This Row],[Rebal]]=1,PesoCOLCAP*(X147+Y147+Z147),Y147)</f>
        <v>0</v>
      </c>
      <c r="T148" s="24">
        <f>TModelo[[#This Row],[Act]]*IF(TModelo[[#This Row],[Rebal]]=1,PesoUSD*(X147+Y147+Z147),Z147)</f>
        <v>0</v>
      </c>
      <c r="U148" s="24">
        <f>TModelo[[#This Row],[IniCDT]]*TModelo[[#This Row],[RetCDT]]</f>
        <v>0</v>
      </c>
      <c r="V148" s="24">
        <f>TModelo[[#This Row],[IniCOLCAP]]*TModelo[[#This Row],[RetCOLCAP]]</f>
        <v>0</v>
      </c>
      <c r="W148" s="24">
        <f>TModelo[[#This Row],[IniUSD]]*TModelo[[#This Row],[RetUSD]]</f>
        <v>0</v>
      </c>
      <c r="X148" s="24">
        <f>TModelo[[#This Row],[Act]]*(TModelo[[#This Row],[IniCDT]]+TModelo[[#This Row],[IntCDT]]+PesoCDT*TModelo[[#This Row],[Outflow]])</f>
        <v>0</v>
      </c>
      <c r="Y148" s="24">
        <f>TModelo[[#This Row],[Act]]*(TModelo[[#This Row],[IniCOLCAP]]+TModelo[[#This Row],[IntCOLCAP]]+PesoCOLCAP*TModelo[[#This Row],[Outflow]])</f>
        <v>0</v>
      </c>
      <c r="Z148" s="24">
        <f>TModelo[[#This Row],[Act]]*(TModelo[[#This Row],[IniUSD]]+TModelo[[#This Row],[IntUSD]]+PesoUSD*TModelo[[#This Row],[Outflow]])</f>
        <v>0</v>
      </c>
      <c r="AA148" s="24">
        <f>TModelo[[#This Row],[BalCDT]]+TModelo[[#This Row],[BalCOLCAP]]+TModelo[[#This Row],[BalUSD]]</f>
        <v>0</v>
      </c>
      <c r="AB148" s="24">
        <f>IF(TModelo[[#This Row],[CumInfl]]&gt;0,TModelo[[#This Row],[TotalPreLiq]]/TModelo[[#This Row],[CumInfl]],0)</f>
        <v>0</v>
      </c>
      <c r="AC148" s="41">
        <f>(1+PerRate)^(-TModelo[[#This Row],[Period]])</f>
        <v>0.3894896077191991</v>
      </c>
      <c r="AD148" s="42">
        <f>TModelo[[#This Row],[NetCF]]*TModelo[[#This Row],[fd]]</f>
        <v>0</v>
      </c>
    </row>
    <row r="149" spans="2:30" ht="16.95" customHeight="1">
      <c r="B149" s="11">
        <v>122</v>
      </c>
      <c r="C149" s="25">
        <f>EDATE(FechaInicio,TModelo[[#This Row],[Period]])</f>
        <v>50008</v>
      </c>
      <c r="D149" s="11">
        <f>IF(AND(TModelo[[#This Row],[Period]]&gt;=1,TModelo[[#This Row],[Period]]&lt;=HorizonteMeses),1,0)</f>
        <v>0</v>
      </c>
      <c r="E149" s="40">
        <f>TModelo[[#This Row],[Act]]*(INFb+(INFpi0-INFb)*(1-INFa)^TModelo[[#This Row],[Period]])</f>
        <v>0</v>
      </c>
      <c r="F149" s="28">
        <f>IF(TModelo[[#This Row],[Period]]&lt;=HorizonteMeses,F148*(1+TModelo[[#This Row],[InflMes]]),0)</f>
        <v>0</v>
      </c>
      <c r="G149" s="21">
        <f>TModelo[[#This Row],[Act]]*(CDTb+(CDTx0-CDTb)*(1-CDTa)^TModelo[[#This Row],[Period]]+CDTspread)</f>
        <v>0</v>
      </c>
      <c r="H149" s="40">
        <f>TModelo[[#This Row],[Act]]*((1+TModelo[[#This Row],[TasaCDT]])^(1/12)-1)*(1-Retencion)</f>
        <v>0</v>
      </c>
      <c r="I149" s="40">
        <f>TModelo[[#This Row],[Act]]*(EXP(MuCOLCAP+SigmaCOLCAP^2/2)-1)</f>
        <v>0</v>
      </c>
      <c r="J149" s="40">
        <f>TModelo[[#This Row],[Act]]*(EXP(MuTRM+SigmaTRM^2/2)-1)</f>
        <v>0</v>
      </c>
      <c r="K149" s="11">
        <f>TModelo[[#This Row],[Act]]*IF(Rebalanceo="Mensual",1,IF(Rebalanceo="Anual",IF(MOD(TModelo[[#This Row],[Period]]-1,12)=0,1,0),0))</f>
        <v>0</v>
      </c>
      <c r="L149" s="24">
        <f>TModelo[[#This Row],[Act]]*AporteMensual*IF(CrecimientoAporte="Con IPC",F148,1)</f>
        <v>0</v>
      </c>
      <c r="M149" s="24">
        <f>IF(TModelo[[#This Row],[Period]]=HorizonteMeses,TModelo[[#This Row],[TotalPreLiq]],0)</f>
        <v>0</v>
      </c>
      <c r="N149" s="24">
        <f>TModelo[[#This Row],[Inflow]]-TModelo[[#This Row],[Outflow]]</f>
        <v>0</v>
      </c>
      <c r="O149" s="24">
        <f t="shared" si="1"/>
        <v>0</v>
      </c>
      <c r="P149" s="24">
        <f>TModelo[[#This Row],[IntCDT]]+TModelo[[#This Row],[IntCOLCAP]]+TModelo[[#This Row],[IntUSD]]</f>
        <v>0</v>
      </c>
      <c r="Q149" s="24">
        <f>TModelo[[#This Row],[InitialBalance]]+TModelo[[#This Row],[Interest]]+TModelo[[#This Row],[Outflow]]-TModelo[[#This Row],[Inflow]]</f>
        <v>0</v>
      </c>
      <c r="R149" s="24">
        <f>TModelo[[#This Row],[Act]]*IF(TModelo[[#This Row],[Rebal]]=1,PesoCDT*(X148+Y148+Z148),X148)</f>
        <v>0</v>
      </c>
      <c r="S149" s="24">
        <f>TModelo[[#This Row],[Act]]*IF(TModelo[[#This Row],[Rebal]]=1,PesoCOLCAP*(X148+Y148+Z148),Y148)</f>
        <v>0</v>
      </c>
      <c r="T149" s="24">
        <f>TModelo[[#This Row],[Act]]*IF(TModelo[[#This Row],[Rebal]]=1,PesoUSD*(X148+Y148+Z148),Z148)</f>
        <v>0</v>
      </c>
      <c r="U149" s="24">
        <f>TModelo[[#This Row],[IniCDT]]*TModelo[[#This Row],[RetCDT]]</f>
        <v>0</v>
      </c>
      <c r="V149" s="24">
        <f>TModelo[[#This Row],[IniCOLCAP]]*TModelo[[#This Row],[RetCOLCAP]]</f>
        <v>0</v>
      </c>
      <c r="W149" s="24">
        <f>TModelo[[#This Row],[IniUSD]]*TModelo[[#This Row],[RetUSD]]</f>
        <v>0</v>
      </c>
      <c r="X149" s="24">
        <f>TModelo[[#This Row],[Act]]*(TModelo[[#This Row],[IniCDT]]+TModelo[[#This Row],[IntCDT]]+PesoCDT*TModelo[[#This Row],[Outflow]])</f>
        <v>0</v>
      </c>
      <c r="Y149" s="24">
        <f>TModelo[[#This Row],[Act]]*(TModelo[[#This Row],[IniCOLCAP]]+TModelo[[#This Row],[IntCOLCAP]]+PesoCOLCAP*TModelo[[#This Row],[Outflow]])</f>
        <v>0</v>
      </c>
      <c r="Z149" s="24">
        <f>TModelo[[#This Row],[Act]]*(TModelo[[#This Row],[IniUSD]]+TModelo[[#This Row],[IntUSD]]+PesoUSD*TModelo[[#This Row],[Outflow]])</f>
        <v>0</v>
      </c>
      <c r="AA149" s="24">
        <f>TModelo[[#This Row],[BalCDT]]+TModelo[[#This Row],[BalCOLCAP]]+TModelo[[#This Row],[BalUSD]]</f>
        <v>0</v>
      </c>
      <c r="AB149" s="24">
        <f>IF(TModelo[[#This Row],[CumInfl]]&gt;0,TModelo[[#This Row],[TotalPreLiq]]/TModelo[[#This Row],[CumInfl]],0)</f>
        <v>0</v>
      </c>
      <c r="AC149" s="41">
        <f>(1+PerRate)^(-TModelo[[#This Row],[Period]])</f>
        <v>0.38646622304460049</v>
      </c>
      <c r="AD149" s="42">
        <f>TModelo[[#This Row],[NetCF]]*TModelo[[#This Row],[fd]]</f>
        <v>0</v>
      </c>
    </row>
    <row r="150" spans="2:30" ht="16.95" customHeight="1">
      <c r="B150" s="11">
        <v>123</v>
      </c>
      <c r="C150" s="25">
        <f>EDATE(FechaInicio,TModelo[[#This Row],[Period]])</f>
        <v>50038</v>
      </c>
      <c r="D150" s="11">
        <f>IF(AND(TModelo[[#This Row],[Period]]&gt;=1,TModelo[[#This Row],[Period]]&lt;=HorizonteMeses),1,0)</f>
        <v>0</v>
      </c>
      <c r="E150" s="40">
        <f>TModelo[[#This Row],[Act]]*(INFb+(INFpi0-INFb)*(1-INFa)^TModelo[[#This Row],[Period]])</f>
        <v>0</v>
      </c>
      <c r="F150" s="28">
        <f>IF(TModelo[[#This Row],[Period]]&lt;=HorizonteMeses,F149*(1+TModelo[[#This Row],[InflMes]]),0)</f>
        <v>0</v>
      </c>
      <c r="G150" s="21">
        <f>TModelo[[#This Row],[Act]]*(CDTb+(CDTx0-CDTb)*(1-CDTa)^TModelo[[#This Row],[Period]]+CDTspread)</f>
        <v>0</v>
      </c>
      <c r="H150" s="40">
        <f>TModelo[[#This Row],[Act]]*((1+TModelo[[#This Row],[TasaCDT]])^(1/12)-1)*(1-Retencion)</f>
        <v>0</v>
      </c>
      <c r="I150" s="40">
        <f>TModelo[[#This Row],[Act]]*(EXP(MuCOLCAP+SigmaCOLCAP^2/2)-1)</f>
        <v>0</v>
      </c>
      <c r="J150" s="40">
        <f>TModelo[[#This Row],[Act]]*(EXP(MuTRM+SigmaTRM^2/2)-1)</f>
        <v>0</v>
      </c>
      <c r="K150" s="11">
        <f>TModelo[[#This Row],[Act]]*IF(Rebalanceo="Mensual",1,IF(Rebalanceo="Anual",IF(MOD(TModelo[[#This Row],[Period]]-1,12)=0,1,0),0))</f>
        <v>0</v>
      </c>
      <c r="L150" s="24">
        <f>TModelo[[#This Row],[Act]]*AporteMensual*IF(CrecimientoAporte="Con IPC",F149,1)</f>
        <v>0</v>
      </c>
      <c r="M150" s="24">
        <f>IF(TModelo[[#This Row],[Period]]=HorizonteMeses,TModelo[[#This Row],[TotalPreLiq]],0)</f>
        <v>0</v>
      </c>
      <c r="N150" s="24">
        <f>TModelo[[#This Row],[Inflow]]-TModelo[[#This Row],[Outflow]]</f>
        <v>0</v>
      </c>
      <c r="O150" s="24">
        <f t="shared" si="1"/>
        <v>0</v>
      </c>
      <c r="P150" s="24">
        <f>TModelo[[#This Row],[IntCDT]]+TModelo[[#This Row],[IntCOLCAP]]+TModelo[[#This Row],[IntUSD]]</f>
        <v>0</v>
      </c>
      <c r="Q150" s="24">
        <f>TModelo[[#This Row],[InitialBalance]]+TModelo[[#This Row],[Interest]]+TModelo[[#This Row],[Outflow]]-TModelo[[#This Row],[Inflow]]</f>
        <v>0</v>
      </c>
      <c r="R150" s="24">
        <f>TModelo[[#This Row],[Act]]*IF(TModelo[[#This Row],[Rebal]]=1,PesoCDT*(X149+Y149+Z149),X149)</f>
        <v>0</v>
      </c>
      <c r="S150" s="24">
        <f>TModelo[[#This Row],[Act]]*IF(TModelo[[#This Row],[Rebal]]=1,PesoCOLCAP*(X149+Y149+Z149),Y149)</f>
        <v>0</v>
      </c>
      <c r="T150" s="24">
        <f>TModelo[[#This Row],[Act]]*IF(TModelo[[#This Row],[Rebal]]=1,PesoUSD*(X149+Y149+Z149),Z149)</f>
        <v>0</v>
      </c>
      <c r="U150" s="24">
        <f>TModelo[[#This Row],[IniCDT]]*TModelo[[#This Row],[RetCDT]]</f>
        <v>0</v>
      </c>
      <c r="V150" s="24">
        <f>TModelo[[#This Row],[IniCOLCAP]]*TModelo[[#This Row],[RetCOLCAP]]</f>
        <v>0</v>
      </c>
      <c r="W150" s="24">
        <f>TModelo[[#This Row],[IniUSD]]*TModelo[[#This Row],[RetUSD]]</f>
        <v>0</v>
      </c>
      <c r="X150" s="24">
        <f>TModelo[[#This Row],[Act]]*(TModelo[[#This Row],[IniCDT]]+TModelo[[#This Row],[IntCDT]]+PesoCDT*TModelo[[#This Row],[Outflow]])</f>
        <v>0</v>
      </c>
      <c r="Y150" s="24">
        <f>TModelo[[#This Row],[Act]]*(TModelo[[#This Row],[IniCOLCAP]]+TModelo[[#This Row],[IntCOLCAP]]+PesoCOLCAP*TModelo[[#This Row],[Outflow]])</f>
        <v>0</v>
      </c>
      <c r="Z150" s="24">
        <f>TModelo[[#This Row],[Act]]*(TModelo[[#This Row],[IniUSD]]+TModelo[[#This Row],[IntUSD]]+PesoUSD*TModelo[[#This Row],[Outflow]])</f>
        <v>0</v>
      </c>
      <c r="AA150" s="24">
        <f>TModelo[[#This Row],[BalCDT]]+TModelo[[#This Row],[BalCOLCAP]]+TModelo[[#This Row],[BalUSD]]</f>
        <v>0</v>
      </c>
      <c r="AB150" s="24">
        <f>IF(TModelo[[#This Row],[CumInfl]]&gt;0,TModelo[[#This Row],[TotalPreLiq]]/TModelo[[#This Row],[CumInfl]],0)</f>
        <v>0</v>
      </c>
      <c r="AC150" s="41">
        <f>(1+PerRate)^(-TModelo[[#This Row],[Period]])</f>
        <v>0.3834663071730442</v>
      </c>
      <c r="AD150" s="42">
        <f>TModelo[[#This Row],[NetCF]]*TModelo[[#This Row],[fd]]</f>
        <v>0</v>
      </c>
    </row>
    <row r="151" spans="2:30" ht="16.95" customHeight="1">
      <c r="B151" s="11">
        <v>124</v>
      </c>
      <c r="C151" s="25">
        <f>EDATE(FechaInicio,TModelo[[#This Row],[Period]])</f>
        <v>50069</v>
      </c>
      <c r="D151" s="11">
        <f>IF(AND(TModelo[[#This Row],[Period]]&gt;=1,TModelo[[#This Row],[Period]]&lt;=HorizonteMeses),1,0)</f>
        <v>0</v>
      </c>
      <c r="E151" s="40">
        <f>TModelo[[#This Row],[Act]]*(INFb+(INFpi0-INFb)*(1-INFa)^TModelo[[#This Row],[Period]])</f>
        <v>0</v>
      </c>
      <c r="F151" s="28">
        <f>IF(TModelo[[#This Row],[Period]]&lt;=HorizonteMeses,F150*(1+TModelo[[#This Row],[InflMes]]),0)</f>
        <v>0</v>
      </c>
      <c r="G151" s="21">
        <f>TModelo[[#This Row],[Act]]*(CDTb+(CDTx0-CDTb)*(1-CDTa)^TModelo[[#This Row],[Period]]+CDTspread)</f>
        <v>0</v>
      </c>
      <c r="H151" s="40">
        <f>TModelo[[#This Row],[Act]]*((1+TModelo[[#This Row],[TasaCDT]])^(1/12)-1)*(1-Retencion)</f>
        <v>0</v>
      </c>
      <c r="I151" s="40">
        <f>TModelo[[#This Row],[Act]]*(EXP(MuCOLCAP+SigmaCOLCAP^2/2)-1)</f>
        <v>0</v>
      </c>
      <c r="J151" s="40">
        <f>TModelo[[#This Row],[Act]]*(EXP(MuTRM+SigmaTRM^2/2)-1)</f>
        <v>0</v>
      </c>
      <c r="K151" s="11">
        <f>TModelo[[#This Row],[Act]]*IF(Rebalanceo="Mensual",1,IF(Rebalanceo="Anual",IF(MOD(TModelo[[#This Row],[Period]]-1,12)=0,1,0),0))</f>
        <v>0</v>
      </c>
      <c r="L151" s="24">
        <f>TModelo[[#This Row],[Act]]*AporteMensual*IF(CrecimientoAporte="Con IPC",F150,1)</f>
        <v>0</v>
      </c>
      <c r="M151" s="24">
        <f>IF(TModelo[[#This Row],[Period]]=HorizonteMeses,TModelo[[#This Row],[TotalPreLiq]],0)</f>
        <v>0</v>
      </c>
      <c r="N151" s="24">
        <f>TModelo[[#This Row],[Inflow]]-TModelo[[#This Row],[Outflow]]</f>
        <v>0</v>
      </c>
      <c r="O151" s="24">
        <f t="shared" si="1"/>
        <v>0</v>
      </c>
      <c r="P151" s="24">
        <f>TModelo[[#This Row],[IntCDT]]+TModelo[[#This Row],[IntCOLCAP]]+TModelo[[#This Row],[IntUSD]]</f>
        <v>0</v>
      </c>
      <c r="Q151" s="24">
        <f>TModelo[[#This Row],[InitialBalance]]+TModelo[[#This Row],[Interest]]+TModelo[[#This Row],[Outflow]]-TModelo[[#This Row],[Inflow]]</f>
        <v>0</v>
      </c>
      <c r="R151" s="24">
        <f>TModelo[[#This Row],[Act]]*IF(TModelo[[#This Row],[Rebal]]=1,PesoCDT*(X150+Y150+Z150),X150)</f>
        <v>0</v>
      </c>
      <c r="S151" s="24">
        <f>TModelo[[#This Row],[Act]]*IF(TModelo[[#This Row],[Rebal]]=1,PesoCOLCAP*(X150+Y150+Z150),Y150)</f>
        <v>0</v>
      </c>
      <c r="T151" s="24">
        <f>TModelo[[#This Row],[Act]]*IF(TModelo[[#This Row],[Rebal]]=1,PesoUSD*(X150+Y150+Z150),Z150)</f>
        <v>0</v>
      </c>
      <c r="U151" s="24">
        <f>TModelo[[#This Row],[IniCDT]]*TModelo[[#This Row],[RetCDT]]</f>
        <v>0</v>
      </c>
      <c r="V151" s="24">
        <f>TModelo[[#This Row],[IniCOLCAP]]*TModelo[[#This Row],[RetCOLCAP]]</f>
        <v>0</v>
      </c>
      <c r="W151" s="24">
        <f>TModelo[[#This Row],[IniUSD]]*TModelo[[#This Row],[RetUSD]]</f>
        <v>0</v>
      </c>
      <c r="X151" s="24">
        <f>TModelo[[#This Row],[Act]]*(TModelo[[#This Row],[IniCDT]]+TModelo[[#This Row],[IntCDT]]+PesoCDT*TModelo[[#This Row],[Outflow]])</f>
        <v>0</v>
      </c>
      <c r="Y151" s="24">
        <f>TModelo[[#This Row],[Act]]*(TModelo[[#This Row],[IniCOLCAP]]+TModelo[[#This Row],[IntCOLCAP]]+PesoCOLCAP*TModelo[[#This Row],[Outflow]])</f>
        <v>0</v>
      </c>
      <c r="Z151" s="24">
        <f>TModelo[[#This Row],[Act]]*(TModelo[[#This Row],[IniUSD]]+TModelo[[#This Row],[IntUSD]]+PesoUSD*TModelo[[#This Row],[Outflow]])</f>
        <v>0</v>
      </c>
      <c r="AA151" s="24">
        <f>TModelo[[#This Row],[BalCDT]]+TModelo[[#This Row],[BalCOLCAP]]+TModelo[[#This Row],[BalUSD]]</f>
        <v>0</v>
      </c>
      <c r="AB151" s="24">
        <f>IF(TModelo[[#This Row],[CumInfl]]&gt;0,TModelo[[#This Row],[TotalPreLiq]]/TModelo[[#This Row],[CumInfl]],0)</f>
        <v>0</v>
      </c>
      <c r="AC151" s="41">
        <f>(1+PerRate)^(-TModelo[[#This Row],[Period]])</f>
        <v>0.38048967792965827</v>
      </c>
      <c r="AD151" s="42">
        <f>TModelo[[#This Row],[NetCF]]*TModelo[[#This Row],[fd]]</f>
        <v>0</v>
      </c>
    </row>
    <row r="152" spans="2:30" ht="16.95" customHeight="1">
      <c r="B152" s="11">
        <v>125</v>
      </c>
      <c r="C152" s="25">
        <f>EDATE(FechaInicio,TModelo[[#This Row],[Period]])</f>
        <v>50099</v>
      </c>
      <c r="D152" s="11">
        <f>IF(AND(TModelo[[#This Row],[Period]]&gt;=1,TModelo[[#This Row],[Period]]&lt;=HorizonteMeses),1,0)</f>
        <v>0</v>
      </c>
      <c r="E152" s="40">
        <f>TModelo[[#This Row],[Act]]*(INFb+(INFpi0-INFb)*(1-INFa)^TModelo[[#This Row],[Period]])</f>
        <v>0</v>
      </c>
      <c r="F152" s="28">
        <f>IF(TModelo[[#This Row],[Period]]&lt;=HorizonteMeses,F151*(1+TModelo[[#This Row],[InflMes]]),0)</f>
        <v>0</v>
      </c>
      <c r="G152" s="21">
        <f>TModelo[[#This Row],[Act]]*(CDTb+(CDTx0-CDTb)*(1-CDTa)^TModelo[[#This Row],[Period]]+CDTspread)</f>
        <v>0</v>
      </c>
      <c r="H152" s="40">
        <f>TModelo[[#This Row],[Act]]*((1+TModelo[[#This Row],[TasaCDT]])^(1/12)-1)*(1-Retencion)</f>
        <v>0</v>
      </c>
      <c r="I152" s="40">
        <f>TModelo[[#This Row],[Act]]*(EXP(MuCOLCAP+SigmaCOLCAP^2/2)-1)</f>
        <v>0</v>
      </c>
      <c r="J152" s="40">
        <f>TModelo[[#This Row],[Act]]*(EXP(MuTRM+SigmaTRM^2/2)-1)</f>
        <v>0</v>
      </c>
      <c r="K152" s="11">
        <f>TModelo[[#This Row],[Act]]*IF(Rebalanceo="Mensual",1,IF(Rebalanceo="Anual",IF(MOD(TModelo[[#This Row],[Period]]-1,12)=0,1,0),0))</f>
        <v>0</v>
      </c>
      <c r="L152" s="24">
        <f>TModelo[[#This Row],[Act]]*AporteMensual*IF(CrecimientoAporte="Con IPC",F151,1)</f>
        <v>0</v>
      </c>
      <c r="M152" s="24">
        <f>IF(TModelo[[#This Row],[Period]]=HorizonteMeses,TModelo[[#This Row],[TotalPreLiq]],0)</f>
        <v>0</v>
      </c>
      <c r="N152" s="24">
        <f>TModelo[[#This Row],[Inflow]]-TModelo[[#This Row],[Outflow]]</f>
        <v>0</v>
      </c>
      <c r="O152" s="24">
        <f t="shared" si="1"/>
        <v>0</v>
      </c>
      <c r="P152" s="24">
        <f>TModelo[[#This Row],[IntCDT]]+TModelo[[#This Row],[IntCOLCAP]]+TModelo[[#This Row],[IntUSD]]</f>
        <v>0</v>
      </c>
      <c r="Q152" s="24">
        <f>TModelo[[#This Row],[InitialBalance]]+TModelo[[#This Row],[Interest]]+TModelo[[#This Row],[Outflow]]-TModelo[[#This Row],[Inflow]]</f>
        <v>0</v>
      </c>
      <c r="R152" s="24">
        <f>TModelo[[#This Row],[Act]]*IF(TModelo[[#This Row],[Rebal]]=1,PesoCDT*(X151+Y151+Z151),X151)</f>
        <v>0</v>
      </c>
      <c r="S152" s="24">
        <f>TModelo[[#This Row],[Act]]*IF(TModelo[[#This Row],[Rebal]]=1,PesoCOLCAP*(X151+Y151+Z151),Y151)</f>
        <v>0</v>
      </c>
      <c r="T152" s="24">
        <f>TModelo[[#This Row],[Act]]*IF(TModelo[[#This Row],[Rebal]]=1,PesoUSD*(X151+Y151+Z151),Z151)</f>
        <v>0</v>
      </c>
      <c r="U152" s="24">
        <f>TModelo[[#This Row],[IniCDT]]*TModelo[[#This Row],[RetCDT]]</f>
        <v>0</v>
      </c>
      <c r="V152" s="24">
        <f>TModelo[[#This Row],[IniCOLCAP]]*TModelo[[#This Row],[RetCOLCAP]]</f>
        <v>0</v>
      </c>
      <c r="W152" s="24">
        <f>TModelo[[#This Row],[IniUSD]]*TModelo[[#This Row],[RetUSD]]</f>
        <v>0</v>
      </c>
      <c r="X152" s="24">
        <f>TModelo[[#This Row],[Act]]*(TModelo[[#This Row],[IniCDT]]+TModelo[[#This Row],[IntCDT]]+PesoCDT*TModelo[[#This Row],[Outflow]])</f>
        <v>0</v>
      </c>
      <c r="Y152" s="24">
        <f>TModelo[[#This Row],[Act]]*(TModelo[[#This Row],[IniCOLCAP]]+TModelo[[#This Row],[IntCOLCAP]]+PesoCOLCAP*TModelo[[#This Row],[Outflow]])</f>
        <v>0</v>
      </c>
      <c r="Z152" s="24">
        <f>TModelo[[#This Row],[Act]]*(TModelo[[#This Row],[IniUSD]]+TModelo[[#This Row],[IntUSD]]+PesoUSD*TModelo[[#This Row],[Outflow]])</f>
        <v>0</v>
      </c>
      <c r="AA152" s="24">
        <f>TModelo[[#This Row],[BalCDT]]+TModelo[[#This Row],[BalCOLCAP]]+TModelo[[#This Row],[BalUSD]]</f>
        <v>0</v>
      </c>
      <c r="AB152" s="24">
        <f>IF(TModelo[[#This Row],[CumInfl]]&gt;0,TModelo[[#This Row],[TotalPreLiq]]/TModelo[[#This Row],[CumInfl]],0)</f>
        <v>0</v>
      </c>
      <c r="AC152" s="41">
        <f>(1+PerRate)^(-TModelo[[#This Row],[Period]])</f>
        <v>0.37753615455368972</v>
      </c>
      <c r="AD152" s="42">
        <f>TModelo[[#This Row],[NetCF]]*TModelo[[#This Row],[fd]]</f>
        <v>0</v>
      </c>
    </row>
    <row r="153" spans="2:30" ht="16.95" customHeight="1">
      <c r="B153" s="11">
        <v>126</v>
      </c>
      <c r="C153" s="25">
        <f>EDATE(FechaInicio,TModelo[[#This Row],[Period]])</f>
        <v>50128</v>
      </c>
      <c r="D153" s="11">
        <f>IF(AND(TModelo[[#This Row],[Period]]&gt;=1,TModelo[[#This Row],[Period]]&lt;=HorizonteMeses),1,0)</f>
        <v>0</v>
      </c>
      <c r="E153" s="40">
        <f>TModelo[[#This Row],[Act]]*(INFb+(INFpi0-INFb)*(1-INFa)^TModelo[[#This Row],[Period]])</f>
        <v>0</v>
      </c>
      <c r="F153" s="28">
        <f>IF(TModelo[[#This Row],[Period]]&lt;=HorizonteMeses,F152*(1+TModelo[[#This Row],[InflMes]]),0)</f>
        <v>0</v>
      </c>
      <c r="G153" s="21">
        <f>TModelo[[#This Row],[Act]]*(CDTb+(CDTx0-CDTb)*(1-CDTa)^TModelo[[#This Row],[Period]]+CDTspread)</f>
        <v>0</v>
      </c>
      <c r="H153" s="40">
        <f>TModelo[[#This Row],[Act]]*((1+TModelo[[#This Row],[TasaCDT]])^(1/12)-1)*(1-Retencion)</f>
        <v>0</v>
      </c>
      <c r="I153" s="40">
        <f>TModelo[[#This Row],[Act]]*(EXP(MuCOLCAP+SigmaCOLCAP^2/2)-1)</f>
        <v>0</v>
      </c>
      <c r="J153" s="40">
        <f>TModelo[[#This Row],[Act]]*(EXP(MuTRM+SigmaTRM^2/2)-1)</f>
        <v>0</v>
      </c>
      <c r="K153" s="11">
        <f>TModelo[[#This Row],[Act]]*IF(Rebalanceo="Mensual",1,IF(Rebalanceo="Anual",IF(MOD(TModelo[[#This Row],[Period]]-1,12)=0,1,0),0))</f>
        <v>0</v>
      </c>
      <c r="L153" s="24">
        <f>TModelo[[#This Row],[Act]]*AporteMensual*IF(CrecimientoAporte="Con IPC",F152,1)</f>
        <v>0</v>
      </c>
      <c r="M153" s="24">
        <f>IF(TModelo[[#This Row],[Period]]=HorizonteMeses,TModelo[[#This Row],[TotalPreLiq]],0)</f>
        <v>0</v>
      </c>
      <c r="N153" s="24">
        <f>TModelo[[#This Row],[Inflow]]-TModelo[[#This Row],[Outflow]]</f>
        <v>0</v>
      </c>
      <c r="O153" s="24">
        <f t="shared" si="1"/>
        <v>0</v>
      </c>
      <c r="P153" s="24">
        <f>TModelo[[#This Row],[IntCDT]]+TModelo[[#This Row],[IntCOLCAP]]+TModelo[[#This Row],[IntUSD]]</f>
        <v>0</v>
      </c>
      <c r="Q153" s="24">
        <f>TModelo[[#This Row],[InitialBalance]]+TModelo[[#This Row],[Interest]]+TModelo[[#This Row],[Outflow]]-TModelo[[#This Row],[Inflow]]</f>
        <v>0</v>
      </c>
      <c r="R153" s="24">
        <f>TModelo[[#This Row],[Act]]*IF(TModelo[[#This Row],[Rebal]]=1,PesoCDT*(X152+Y152+Z152),X152)</f>
        <v>0</v>
      </c>
      <c r="S153" s="24">
        <f>TModelo[[#This Row],[Act]]*IF(TModelo[[#This Row],[Rebal]]=1,PesoCOLCAP*(X152+Y152+Z152),Y152)</f>
        <v>0</v>
      </c>
      <c r="T153" s="24">
        <f>TModelo[[#This Row],[Act]]*IF(TModelo[[#This Row],[Rebal]]=1,PesoUSD*(X152+Y152+Z152),Z152)</f>
        <v>0</v>
      </c>
      <c r="U153" s="24">
        <f>TModelo[[#This Row],[IniCDT]]*TModelo[[#This Row],[RetCDT]]</f>
        <v>0</v>
      </c>
      <c r="V153" s="24">
        <f>TModelo[[#This Row],[IniCOLCAP]]*TModelo[[#This Row],[RetCOLCAP]]</f>
        <v>0</v>
      </c>
      <c r="W153" s="24">
        <f>TModelo[[#This Row],[IniUSD]]*TModelo[[#This Row],[RetUSD]]</f>
        <v>0</v>
      </c>
      <c r="X153" s="24">
        <f>TModelo[[#This Row],[Act]]*(TModelo[[#This Row],[IniCDT]]+TModelo[[#This Row],[IntCDT]]+PesoCDT*TModelo[[#This Row],[Outflow]])</f>
        <v>0</v>
      </c>
      <c r="Y153" s="24">
        <f>TModelo[[#This Row],[Act]]*(TModelo[[#This Row],[IniCOLCAP]]+TModelo[[#This Row],[IntCOLCAP]]+PesoCOLCAP*TModelo[[#This Row],[Outflow]])</f>
        <v>0</v>
      </c>
      <c r="Z153" s="24">
        <f>TModelo[[#This Row],[Act]]*(TModelo[[#This Row],[IniUSD]]+TModelo[[#This Row],[IntUSD]]+PesoUSD*TModelo[[#This Row],[Outflow]])</f>
        <v>0</v>
      </c>
      <c r="AA153" s="24">
        <f>TModelo[[#This Row],[BalCDT]]+TModelo[[#This Row],[BalCOLCAP]]+TModelo[[#This Row],[BalUSD]]</f>
        <v>0</v>
      </c>
      <c r="AB153" s="24">
        <f>IF(TModelo[[#This Row],[CumInfl]]&gt;0,TModelo[[#This Row],[TotalPreLiq]]/TModelo[[#This Row],[CumInfl]],0)</f>
        <v>0</v>
      </c>
      <c r="AC153" s="41">
        <f>(1+PerRate)^(-TModelo[[#This Row],[Period]])</f>
        <v>0.37460555768752779</v>
      </c>
      <c r="AD153" s="42">
        <f>TModelo[[#This Row],[NetCF]]*TModelo[[#This Row],[fd]]</f>
        <v>0</v>
      </c>
    </row>
    <row r="154" spans="2:30" ht="16.95" customHeight="1">
      <c r="B154" s="11">
        <v>127</v>
      </c>
      <c r="C154" s="25">
        <f>EDATE(FechaInicio,TModelo[[#This Row],[Period]])</f>
        <v>50159</v>
      </c>
      <c r="D154" s="11">
        <f>IF(AND(TModelo[[#This Row],[Period]]&gt;=1,TModelo[[#This Row],[Period]]&lt;=HorizonteMeses),1,0)</f>
        <v>0</v>
      </c>
      <c r="E154" s="40">
        <f>TModelo[[#This Row],[Act]]*(INFb+(INFpi0-INFb)*(1-INFa)^TModelo[[#This Row],[Period]])</f>
        <v>0</v>
      </c>
      <c r="F154" s="28">
        <f>IF(TModelo[[#This Row],[Period]]&lt;=HorizonteMeses,F153*(1+TModelo[[#This Row],[InflMes]]),0)</f>
        <v>0</v>
      </c>
      <c r="G154" s="21">
        <f>TModelo[[#This Row],[Act]]*(CDTb+(CDTx0-CDTb)*(1-CDTa)^TModelo[[#This Row],[Period]]+CDTspread)</f>
        <v>0</v>
      </c>
      <c r="H154" s="40">
        <f>TModelo[[#This Row],[Act]]*((1+TModelo[[#This Row],[TasaCDT]])^(1/12)-1)*(1-Retencion)</f>
        <v>0</v>
      </c>
      <c r="I154" s="40">
        <f>TModelo[[#This Row],[Act]]*(EXP(MuCOLCAP+SigmaCOLCAP^2/2)-1)</f>
        <v>0</v>
      </c>
      <c r="J154" s="40">
        <f>TModelo[[#This Row],[Act]]*(EXP(MuTRM+SigmaTRM^2/2)-1)</f>
        <v>0</v>
      </c>
      <c r="K154" s="11">
        <f>TModelo[[#This Row],[Act]]*IF(Rebalanceo="Mensual",1,IF(Rebalanceo="Anual",IF(MOD(TModelo[[#This Row],[Period]]-1,12)=0,1,0),0))</f>
        <v>0</v>
      </c>
      <c r="L154" s="24">
        <f>TModelo[[#This Row],[Act]]*AporteMensual*IF(CrecimientoAporte="Con IPC",F153,1)</f>
        <v>0</v>
      </c>
      <c r="M154" s="24">
        <f>IF(TModelo[[#This Row],[Period]]=HorizonteMeses,TModelo[[#This Row],[TotalPreLiq]],0)</f>
        <v>0</v>
      </c>
      <c r="N154" s="24">
        <f>TModelo[[#This Row],[Inflow]]-TModelo[[#This Row],[Outflow]]</f>
        <v>0</v>
      </c>
      <c r="O154" s="24">
        <f t="shared" si="1"/>
        <v>0</v>
      </c>
      <c r="P154" s="24">
        <f>TModelo[[#This Row],[IntCDT]]+TModelo[[#This Row],[IntCOLCAP]]+TModelo[[#This Row],[IntUSD]]</f>
        <v>0</v>
      </c>
      <c r="Q154" s="24">
        <f>TModelo[[#This Row],[InitialBalance]]+TModelo[[#This Row],[Interest]]+TModelo[[#This Row],[Outflow]]-TModelo[[#This Row],[Inflow]]</f>
        <v>0</v>
      </c>
      <c r="R154" s="24">
        <f>TModelo[[#This Row],[Act]]*IF(TModelo[[#This Row],[Rebal]]=1,PesoCDT*(X153+Y153+Z153),X153)</f>
        <v>0</v>
      </c>
      <c r="S154" s="24">
        <f>TModelo[[#This Row],[Act]]*IF(TModelo[[#This Row],[Rebal]]=1,PesoCOLCAP*(X153+Y153+Z153),Y153)</f>
        <v>0</v>
      </c>
      <c r="T154" s="24">
        <f>TModelo[[#This Row],[Act]]*IF(TModelo[[#This Row],[Rebal]]=1,PesoUSD*(X153+Y153+Z153),Z153)</f>
        <v>0</v>
      </c>
      <c r="U154" s="24">
        <f>TModelo[[#This Row],[IniCDT]]*TModelo[[#This Row],[RetCDT]]</f>
        <v>0</v>
      </c>
      <c r="V154" s="24">
        <f>TModelo[[#This Row],[IniCOLCAP]]*TModelo[[#This Row],[RetCOLCAP]]</f>
        <v>0</v>
      </c>
      <c r="W154" s="24">
        <f>TModelo[[#This Row],[IniUSD]]*TModelo[[#This Row],[RetUSD]]</f>
        <v>0</v>
      </c>
      <c r="X154" s="24">
        <f>TModelo[[#This Row],[Act]]*(TModelo[[#This Row],[IniCDT]]+TModelo[[#This Row],[IntCDT]]+PesoCDT*TModelo[[#This Row],[Outflow]])</f>
        <v>0</v>
      </c>
      <c r="Y154" s="24">
        <f>TModelo[[#This Row],[Act]]*(TModelo[[#This Row],[IniCOLCAP]]+TModelo[[#This Row],[IntCOLCAP]]+PesoCOLCAP*TModelo[[#This Row],[Outflow]])</f>
        <v>0</v>
      </c>
      <c r="Z154" s="24">
        <f>TModelo[[#This Row],[Act]]*(TModelo[[#This Row],[IniUSD]]+TModelo[[#This Row],[IntUSD]]+PesoUSD*TModelo[[#This Row],[Outflow]])</f>
        <v>0</v>
      </c>
      <c r="AA154" s="24">
        <f>TModelo[[#This Row],[BalCDT]]+TModelo[[#This Row],[BalCOLCAP]]+TModelo[[#This Row],[BalUSD]]</f>
        <v>0</v>
      </c>
      <c r="AB154" s="24">
        <f>IF(TModelo[[#This Row],[CumInfl]]&gt;0,TModelo[[#This Row],[TotalPreLiq]]/TModelo[[#This Row],[CumInfl]],0)</f>
        <v>0</v>
      </c>
      <c r="AC154" s="41">
        <f>(1+PerRate)^(-TModelo[[#This Row],[Period]])</f>
        <v>0.37169770936581215</v>
      </c>
      <c r="AD154" s="42">
        <f>TModelo[[#This Row],[NetCF]]*TModelo[[#This Row],[fd]]</f>
        <v>0</v>
      </c>
    </row>
    <row r="155" spans="2:30" ht="16.95" customHeight="1">
      <c r="B155" s="11">
        <v>128</v>
      </c>
      <c r="C155" s="25">
        <f>EDATE(FechaInicio,TModelo[[#This Row],[Period]])</f>
        <v>50189</v>
      </c>
      <c r="D155" s="11">
        <f>IF(AND(TModelo[[#This Row],[Period]]&gt;=1,TModelo[[#This Row],[Period]]&lt;=HorizonteMeses),1,0)</f>
        <v>0</v>
      </c>
      <c r="E155" s="40">
        <f>TModelo[[#This Row],[Act]]*(INFb+(INFpi0-INFb)*(1-INFa)^TModelo[[#This Row],[Period]])</f>
        <v>0</v>
      </c>
      <c r="F155" s="28">
        <f>IF(TModelo[[#This Row],[Period]]&lt;=HorizonteMeses,F154*(1+TModelo[[#This Row],[InflMes]]),0)</f>
        <v>0</v>
      </c>
      <c r="G155" s="21">
        <f>TModelo[[#This Row],[Act]]*(CDTb+(CDTx0-CDTb)*(1-CDTa)^TModelo[[#This Row],[Period]]+CDTspread)</f>
        <v>0</v>
      </c>
      <c r="H155" s="40">
        <f>TModelo[[#This Row],[Act]]*((1+TModelo[[#This Row],[TasaCDT]])^(1/12)-1)*(1-Retencion)</f>
        <v>0</v>
      </c>
      <c r="I155" s="40">
        <f>TModelo[[#This Row],[Act]]*(EXP(MuCOLCAP+SigmaCOLCAP^2/2)-1)</f>
        <v>0</v>
      </c>
      <c r="J155" s="40">
        <f>TModelo[[#This Row],[Act]]*(EXP(MuTRM+SigmaTRM^2/2)-1)</f>
        <v>0</v>
      </c>
      <c r="K155" s="11">
        <f>TModelo[[#This Row],[Act]]*IF(Rebalanceo="Mensual",1,IF(Rebalanceo="Anual",IF(MOD(TModelo[[#This Row],[Period]]-1,12)=0,1,0),0))</f>
        <v>0</v>
      </c>
      <c r="L155" s="24">
        <f>TModelo[[#This Row],[Act]]*AporteMensual*IF(CrecimientoAporte="Con IPC",F154,1)</f>
        <v>0</v>
      </c>
      <c r="M155" s="24">
        <f>IF(TModelo[[#This Row],[Period]]=HorizonteMeses,TModelo[[#This Row],[TotalPreLiq]],0)</f>
        <v>0</v>
      </c>
      <c r="N155" s="24">
        <f>TModelo[[#This Row],[Inflow]]-TModelo[[#This Row],[Outflow]]</f>
        <v>0</v>
      </c>
      <c r="O155" s="24">
        <f t="shared" si="1"/>
        <v>0</v>
      </c>
      <c r="P155" s="24">
        <f>TModelo[[#This Row],[IntCDT]]+TModelo[[#This Row],[IntCOLCAP]]+TModelo[[#This Row],[IntUSD]]</f>
        <v>0</v>
      </c>
      <c r="Q155" s="24">
        <f>TModelo[[#This Row],[InitialBalance]]+TModelo[[#This Row],[Interest]]+TModelo[[#This Row],[Outflow]]-TModelo[[#This Row],[Inflow]]</f>
        <v>0</v>
      </c>
      <c r="R155" s="24">
        <f>TModelo[[#This Row],[Act]]*IF(TModelo[[#This Row],[Rebal]]=1,PesoCDT*(X154+Y154+Z154),X154)</f>
        <v>0</v>
      </c>
      <c r="S155" s="24">
        <f>TModelo[[#This Row],[Act]]*IF(TModelo[[#This Row],[Rebal]]=1,PesoCOLCAP*(X154+Y154+Z154),Y154)</f>
        <v>0</v>
      </c>
      <c r="T155" s="24">
        <f>TModelo[[#This Row],[Act]]*IF(TModelo[[#This Row],[Rebal]]=1,PesoUSD*(X154+Y154+Z154),Z154)</f>
        <v>0</v>
      </c>
      <c r="U155" s="24">
        <f>TModelo[[#This Row],[IniCDT]]*TModelo[[#This Row],[RetCDT]]</f>
        <v>0</v>
      </c>
      <c r="V155" s="24">
        <f>TModelo[[#This Row],[IniCOLCAP]]*TModelo[[#This Row],[RetCOLCAP]]</f>
        <v>0</v>
      </c>
      <c r="W155" s="24">
        <f>TModelo[[#This Row],[IniUSD]]*TModelo[[#This Row],[RetUSD]]</f>
        <v>0</v>
      </c>
      <c r="X155" s="24">
        <f>TModelo[[#This Row],[Act]]*(TModelo[[#This Row],[IniCDT]]+TModelo[[#This Row],[IntCDT]]+PesoCDT*TModelo[[#This Row],[Outflow]])</f>
        <v>0</v>
      </c>
      <c r="Y155" s="24">
        <f>TModelo[[#This Row],[Act]]*(TModelo[[#This Row],[IniCOLCAP]]+TModelo[[#This Row],[IntCOLCAP]]+PesoCOLCAP*TModelo[[#This Row],[Outflow]])</f>
        <v>0</v>
      </c>
      <c r="Z155" s="24">
        <f>TModelo[[#This Row],[Act]]*(TModelo[[#This Row],[IniUSD]]+TModelo[[#This Row],[IntUSD]]+PesoUSD*TModelo[[#This Row],[Outflow]])</f>
        <v>0</v>
      </c>
      <c r="AA155" s="24">
        <f>TModelo[[#This Row],[BalCDT]]+TModelo[[#This Row],[BalCOLCAP]]+TModelo[[#This Row],[BalUSD]]</f>
        <v>0</v>
      </c>
      <c r="AB155" s="24">
        <f>IF(TModelo[[#This Row],[CumInfl]]&gt;0,TModelo[[#This Row],[TotalPreLiq]]/TModelo[[#This Row],[CumInfl]],0)</f>
        <v>0</v>
      </c>
      <c r="AC155" s="41">
        <f>(1+PerRate)^(-TModelo[[#This Row],[Period]])</f>
        <v>0.36881243300462568</v>
      </c>
      <c r="AD155" s="42">
        <f>TModelo[[#This Row],[NetCF]]*TModelo[[#This Row],[fd]]</f>
        <v>0</v>
      </c>
    </row>
    <row r="156" spans="2:30" ht="16.95" customHeight="1">
      <c r="B156" s="11">
        <v>129</v>
      </c>
      <c r="C156" s="25">
        <f>EDATE(FechaInicio,TModelo[[#This Row],[Period]])</f>
        <v>50220</v>
      </c>
      <c r="D156" s="11">
        <f>IF(AND(TModelo[[#This Row],[Period]]&gt;=1,TModelo[[#This Row],[Period]]&lt;=HorizonteMeses),1,0)</f>
        <v>0</v>
      </c>
      <c r="E156" s="40">
        <f>TModelo[[#This Row],[Act]]*(INFb+(INFpi0-INFb)*(1-INFa)^TModelo[[#This Row],[Period]])</f>
        <v>0</v>
      </c>
      <c r="F156" s="28">
        <f>IF(TModelo[[#This Row],[Period]]&lt;=HorizonteMeses,F155*(1+TModelo[[#This Row],[InflMes]]),0)</f>
        <v>0</v>
      </c>
      <c r="G156" s="21">
        <f>TModelo[[#This Row],[Act]]*(CDTb+(CDTx0-CDTb)*(1-CDTa)^TModelo[[#This Row],[Period]]+CDTspread)</f>
        <v>0</v>
      </c>
      <c r="H156" s="40">
        <f>TModelo[[#This Row],[Act]]*((1+TModelo[[#This Row],[TasaCDT]])^(1/12)-1)*(1-Retencion)</f>
        <v>0</v>
      </c>
      <c r="I156" s="40">
        <f>TModelo[[#This Row],[Act]]*(EXP(MuCOLCAP+SigmaCOLCAP^2/2)-1)</f>
        <v>0</v>
      </c>
      <c r="J156" s="40">
        <f>TModelo[[#This Row],[Act]]*(EXP(MuTRM+SigmaTRM^2/2)-1)</f>
        <v>0</v>
      </c>
      <c r="K156" s="11">
        <f>TModelo[[#This Row],[Act]]*IF(Rebalanceo="Mensual",1,IF(Rebalanceo="Anual",IF(MOD(TModelo[[#This Row],[Period]]-1,12)=0,1,0),0))</f>
        <v>0</v>
      </c>
      <c r="L156" s="24">
        <f>TModelo[[#This Row],[Act]]*AporteMensual*IF(CrecimientoAporte="Con IPC",F155,1)</f>
        <v>0</v>
      </c>
      <c r="M156" s="24">
        <f>IF(TModelo[[#This Row],[Period]]=HorizonteMeses,TModelo[[#This Row],[TotalPreLiq]],0)</f>
        <v>0</v>
      </c>
      <c r="N156" s="24">
        <f>TModelo[[#This Row],[Inflow]]-TModelo[[#This Row],[Outflow]]</f>
        <v>0</v>
      </c>
      <c r="O156" s="24">
        <f t="shared" ref="O156:O219" si="2">Q155</f>
        <v>0</v>
      </c>
      <c r="P156" s="24">
        <f>TModelo[[#This Row],[IntCDT]]+TModelo[[#This Row],[IntCOLCAP]]+TModelo[[#This Row],[IntUSD]]</f>
        <v>0</v>
      </c>
      <c r="Q156" s="24">
        <f>TModelo[[#This Row],[InitialBalance]]+TModelo[[#This Row],[Interest]]+TModelo[[#This Row],[Outflow]]-TModelo[[#This Row],[Inflow]]</f>
        <v>0</v>
      </c>
      <c r="R156" s="24">
        <f>TModelo[[#This Row],[Act]]*IF(TModelo[[#This Row],[Rebal]]=1,PesoCDT*(X155+Y155+Z155),X155)</f>
        <v>0</v>
      </c>
      <c r="S156" s="24">
        <f>TModelo[[#This Row],[Act]]*IF(TModelo[[#This Row],[Rebal]]=1,PesoCOLCAP*(X155+Y155+Z155),Y155)</f>
        <v>0</v>
      </c>
      <c r="T156" s="24">
        <f>TModelo[[#This Row],[Act]]*IF(TModelo[[#This Row],[Rebal]]=1,PesoUSD*(X155+Y155+Z155),Z155)</f>
        <v>0</v>
      </c>
      <c r="U156" s="24">
        <f>TModelo[[#This Row],[IniCDT]]*TModelo[[#This Row],[RetCDT]]</f>
        <v>0</v>
      </c>
      <c r="V156" s="24">
        <f>TModelo[[#This Row],[IniCOLCAP]]*TModelo[[#This Row],[RetCOLCAP]]</f>
        <v>0</v>
      </c>
      <c r="W156" s="24">
        <f>TModelo[[#This Row],[IniUSD]]*TModelo[[#This Row],[RetUSD]]</f>
        <v>0</v>
      </c>
      <c r="X156" s="24">
        <f>TModelo[[#This Row],[Act]]*(TModelo[[#This Row],[IniCDT]]+TModelo[[#This Row],[IntCDT]]+PesoCDT*TModelo[[#This Row],[Outflow]])</f>
        <v>0</v>
      </c>
      <c r="Y156" s="24">
        <f>TModelo[[#This Row],[Act]]*(TModelo[[#This Row],[IniCOLCAP]]+TModelo[[#This Row],[IntCOLCAP]]+PesoCOLCAP*TModelo[[#This Row],[Outflow]])</f>
        <v>0</v>
      </c>
      <c r="Z156" s="24">
        <f>TModelo[[#This Row],[Act]]*(TModelo[[#This Row],[IniUSD]]+TModelo[[#This Row],[IntUSD]]+PesoUSD*TModelo[[#This Row],[Outflow]])</f>
        <v>0</v>
      </c>
      <c r="AA156" s="24">
        <f>TModelo[[#This Row],[BalCDT]]+TModelo[[#This Row],[BalCOLCAP]]+TModelo[[#This Row],[BalUSD]]</f>
        <v>0</v>
      </c>
      <c r="AB156" s="24">
        <f>IF(TModelo[[#This Row],[CumInfl]]&gt;0,TModelo[[#This Row],[TotalPreLiq]]/TModelo[[#This Row],[CumInfl]],0)</f>
        <v>0</v>
      </c>
      <c r="AC156" s="41">
        <f>(1+PerRate)^(-TModelo[[#This Row],[Period]])</f>
        <v>0.36594955339077084</v>
      </c>
      <c r="AD156" s="42">
        <f>TModelo[[#This Row],[NetCF]]*TModelo[[#This Row],[fd]]</f>
        <v>0</v>
      </c>
    </row>
    <row r="157" spans="2:30" ht="16.95" customHeight="1">
      <c r="B157" s="11">
        <v>130</v>
      </c>
      <c r="C157" s="25">
        <f>EDATE(FechaInicio,TModelo[[#This Row],[Period]])</f>
        <v>50250</v>
      </c>
      <c r="D157" s="11">
        <f>IF(AND(TModelo[[#This Row],[Period]]&gt;=1,TModelo[[#This Row],[Period]]&lt;=HorizonteMeses),1,0)</f>
        <v>0</v>
      </c>
      <c r="E157" s="40">
        <f>TModelo[[#This Row],[Act]]*(INFb+(INFpi0-INFb)*(1-INFa)^TModelo[[#This Row],[Period]])</f>
        <v>0</v>
      </c>
      <c r="F157" s="28">
        <f>IF(TModelo[[#This Row],[Period]]&lt;=HorizonteMeses,F156*(1+TModelo[[#This Row],[InflMes]]),0)</f>
        <v>0</v>
      </c>
      <c r="G157" s="21">
        <f>TModelo[[#This Row],[Act]]*(CDTb+(CDTx0-CDTb)*(1-CDTa)^TModelo[[#This Row],[Period]]+CDTspread)</f>
        <v>0</v>
      </c>
      <c r="H157" s="40">
        <f>TModelo[[#This Row],[Act]]*((1+TModelo[[#This Row],[TasaCDT]])^(1/12)-1)*(1-Retencion)</f>
        <v>0</v>
      </c>
      <c r="I157" s="40">
        <f>TModelo[[#This Row],[Act]]*(EXP(MuCOLCAP+SigmaCOLCAP^2/2)-1)</f>
        <v>0</v>
      </c>
      <c r="J157" s="40">
        <f>TModelo[[#This Row],[Act]]*(EXP(MuTRM+SigmaTRM^2/2)-1)</f>
        <v>0</v>
      </c>
      <c r="K157" s="11">
        <f>TModelo[[#This Row],[Act]]*IF(Rebalanceo="Mensual",1,IF(Rebalanceo="Anual",IF(MOD(TModelo[[#This Row],[Period]]-1,12)=0,1,0),0))</f>
        <v>0</v>
      </c>
      <c r="L157" s="24">
        <f>TModelo[[#This Row],[Act]]*AporteMensual*IF(CrecimientoAporte="Con IPC",F156,1)</f>
        <v>0</v>
      </c>
      <c r="M157" s="24">
        <f>IF(TModelo[[#This Row],[Period]]=HorizonteMeses,TModelo[[#This Row],[TotalPreLiq]],0)</f>
        <v>0</v>
      </c>
      <c r="N157" s="24">
        <f>TModelo[[#This Row],[Inflow]]-TModelo[[#This Row],[Outflow]]</f>
        <v>0</v>
      </c>
      <c r="O157" s="24">
        <f t="shared" si="2"/>
        <v>0</v>
      </c>
      <c r="P157" s="24">
        <f>TModelo[[#This Row],[IntCDT]]+TModelo[[#This Row],[IntCOLCAP]]+TModelo[[#This Row],[IntUSD]]</f>
        <v>0</v>
      </c>
      <c r="Q157" s="24">
        <f>TModelo[[#This Row],[InitialBalance]]+TModelo[[#This Row],[Interest]]+TModelo[[#This Row],[Outflow]]-TModelo[[#This Row],[Inflow]]</f>
        <v>0</v>
      </c>
      <c r="R157" s="24">
        <f>TModelo[[#This Row],[Act]]*IF(TModelo[[#This Row],[Rebal]]=1,PesoCDT*(X156+Y156+Z156),X156)</f>
        <v>0</v>
      </c>
      <c r="S157" s="24">
        <f>TModelo[[#This Row],[Act]]*IF(TModelo[[#This Row],[Rebal]]=1,PesoCOLCAP*(X156+Y156+Z156),Y156)</f>
        <v>0</v>
      </c>
      <c r="T157" s="24">
        <f>TModelo[[#This Row],[Act]]*IF(TModelo[[#This Row],[Rebal]]=1,PesoUSD*(X156+Y156+Z156),Z156)</f>
        <v>0</v>
      </c>
      <c r="U157" s="24">
        <f>TModelo[[#This Row],[IniCDT]]*TModelo[[#This Row],[RetCDT]]</f>
        <v>0</v>
      </c>
      <c r="V157" s="24">
        <f>TModelo[[#This Row],[IniCOLCAP]]*TModelo[[#This Row],[RetCOLCAP]]</f>
        <v>0</v>
      </c>
      <c r="W157" s="24">
        <f>TModelo[[#This Row],[IniUSD]]*TModelo[[#This Row],[RetUSD]]</f>
        <v>0</v>
      </c>
      <c r="X157" s="24">
        <f>TModelo[[#This Row],[Act]]*(TModelo[[#This Row],[IniCDT]]+TModelo[[#This Row],[IntCDT]]+PesoCDT*TModelo[[#This Row],[Outflow]])</f>
        <v>0</v>
      </c>
      <c r="Y157" s="24">
        <f>TModelo[[#This Row],[Act]]*(TModelo[[#This Row],[IniCOLCAP]]+TModelo[[#This Row],[IntCOLCAP]]+PesoCOLCAP*TModelo[[#This Row],[Outflow]])</f>
        <v>0</v>
      </c>
      <c r="Z157" s="24">
        <f>TModelo[[#This Row],[Act]]*(TModelo[[#This Row],[IniUSD]]+TModelo[[#This Row],[IntUSD]]+PesoUSD*TModelo[[#This Row],[Outflow]])</f>
        <v>0</v>
      </c>
      <c r="AA157" s="24">
        <f>TModelo[[#This Row],[BalCDT]]+TModelo[[#This Row],[BalCOLCAP]]+TModelo[[#This Row],[BalUSD]]</f>
        <v>0</v>
      </c>
      <c r="AB157" s="24">
        <f>IF(TModelo[[#This Row],[CumInfl]]&gt;0,TModelo[[#This Row],[TotalPreLiq]]/TModelo[[#This Row],[CumInfl]],0)</f>
        <v>0</v>
      </c>
      <c r="AC157" s="41">
        <f>(1+PerRate)^(-TModelo[[#This Row],[Period]])</f>
        <v>0.36310889667112989</v>
      </c>
      <c r="AD157" s="42">
        <f>TModelo[[#This Row],[NetCF]]*TModelo[[#This Row],[fd]]</f>
        <v>0</v>
      </c>
    </row>
    <row r="158" spans="2:30" ht="16.95" customHeight="1">
      <c r="B158" s="11">
        <v>131</v>
      </c>
      <c r="C158" s="25">
        <f>EDATE(FechaInicio,TModelo[[#This Row],[Period]])</f>
        <v>50281</v>
      </c>
      <c r="D158" s="11">
        <f>IF(AND(TModelo[[#This Row],[Period]]&gt;=1,TModelo[[#This Row],[Period]]&lt;=HorizonteMeses),1,0)</f>
        <v>0</v>
      </c>
      <c r="E158" s="40">
        <f>TModelo[[#This Row],[Act]]*(INFb+(INFpi0-INFb)*(1-INFa)^TModelo[[#This Row],[Period]])</f>
        <v>0</v>
      </c>
      <c r="F158" s="28">
        <f>IF(TModelo[[#This Row],[Period]]&lt;=HorizonteMeses,F157*(1+TModelo[[#This Row],[InflMes]]),0)</f>
        <v>0</v>
      </c>
      <c r="G158" s="21">
        <f>TModelo[[#This Row],[Act]]*(CDTb+(CDTx0-CDTb)*(1-CDTa)^TModelo[[#This Row],[Period]]+CDTspread)</f>
        <v>0</v>
      </c>
      <c r="H158" s="40">
        <f>TModelo[[#This Row],[Act]]*((1+TModelo[[#This Row],[TasaCDT]])^(1/12)-1)*(1-Retencion)</f>
        <v>0</v>
      </c>
      <c r="I158" s="40">
        <f>TModelo[[#This Row],[Act]]*(EXP(MuCOLCAP+SigmaCOLCAP^2/2)-1)</f>
        <v>0</v>
      </c>
      <c r="J158" s="40">
        <f>TModelo[[#This Row],[Act]]*(EXP(MuTRM+SigmaTRM^2/2)-1)</f>
        <v>0</v>
      </c>
      <c r="K158" s="11">
        <f>TModelo[[#This Row],[Act]]*IF(Rebalanceo="Mensual",1,IF(Rebalanceo="Anual",IF(MOD(TModelo[[#This Row],[Period]]-1,12)=0,1,0),0))</f>
        <v>0</v>
      </c>
      <c r="L158" s="24">
        <f>TModelo[[#This Row],[Act]]*AporteMensual*IF(CrecimientoAporte="Con IPC",F157,1)</f>
        <v>0</v>
      </c>
      <c r="M158" s="24">
        <f>IF(TModelo[[#This Row],[Period]]=HorizonteMeses,TModelo[[#This Row],[TotalPreLiq]],0)</f>
        <v>0</v>
      </c>
      <c r="N158" s="24">
        <f>TModelo[[#This Row],[Inflow]]-TModelo[[#This Row],[Outflow]]</f>
        <v>0</v>
      </c>
      <c r="O158" s="24">
        <f t="shared" si="2"/>
        <v>0</v>
      </c>
      <c r="P158" s="24">
        <f>TModelo[[#This Row],[IntCDT]]+TModelo[[#This Row],[IntCOLCAP]]+TModelo[[#This Row],[IntUSD]]</f>
        <v>0</v>
      </c>
      <c r="Q158" s="24">
        <f>TModelo[[#This Row],[InitialBalance]]+TModelo[[#This Row],[Interest]]+TModelo[[#This Row],[Outflow]]-TModelo[[#This Row],[Inflow]]</f>
        <v>0</v>
      </c>
      <c r="R158" s="24">
        <f>TModelo[[#This Row],[Act]]*IF(TModelo[[#This Row],[Rebal]]=1,PesoCDT*(X157+Y157+Z157),X157)</f>
        <v>0</v>
      </c>
      <c r="S158" s="24">
        <f>TModelo[[#This Row],[Act]]*IF(TModelo[[#This Row],[Rebal]]=1,PesoCOLCAP*(X157+Y157+Z157),Y157)</f>
        <v>0</v>
      </c>
      <c r="T158" s="24">
        <f>TModelo[[#This Row],[Act]]*IF(TModelo[[#This Row],[Rebal]]=1,PesoUSD*(X157+Y157+Z157),Z157)</f>
        <v>0</v>
      </c>
      <c r="U158" s="24">
        <f>TModelo[[#This Row],[IniCDT]]*TModelo[[#This Row],[RetCDT]]</f>
        <v>0</v>
      </c>
      <c r="V158" s="24">
        <f>TModelo[[#This Row],[IniCOLCAP]]*TModelo[[#This Row],[RetCOLCAP]]</f>
        <v>0</v>
      </c>
      <c r="W158" s="24">
        <f>TModelo[[#This Row],[IniUSD]]*TModelo[[#This Row],[RetUSD]]</f>
        <v>0</v>
      </c>
      <c r="X158" s="24">
        <f>TModelo[[#This Row],[Act]]*(TModelo[[#This Row],[IniCDT]]+TModelo[[#This Row],[IntCDT]]+PesoCDT*TModelo[[#This Row],[Outflow]])</f>
        <v>0</v>
      </c>
      <c r="Y158" s="24">
        <f>TModelo[[#This Row],[Act]]*(TModelo[[#This Row],[IniCOLCAP]]+TModelo[[#This Row],[IntCOLCAP]]+PesoCOLCAP*TModelo[[#This Row],[Outflow]])</f>
        <v>0</v>
      </c>
      <c r="Z158" s="24">
        <f>TModelo[[#This Row],[Act]]*(TModelo[[#This Row],[IniUSD]]+TModelo[[#This Row],[IntUSD]]+PesoUSD*TModelo[[#This Row],[Outflow]])</f>
        <v>0</v>
      </c>
      <c r="AA158" s="24">
        <f>TModelo[[#This Row],[BalCDT]]+TModelo[[#This Row],[BalCOLCAP]]+TModelo[[#This Row],[BalUSD]]</f>
        <v>0</v>
      </c>
      <c r="AB158" s="24">
        <f>IF(TModelo[[#This Row],[CumInfl]]&gt;0,TModelo[[#This Row],[TotalPreLiq]]/TModelo[[#This Row],[CumInfl]],0)</f>
        <v>0</v>
      </c>
      <c r="AC158" s="41">
        <f>(1+PerRate)^(-TModelo[[#This Row],[Period]])</f>
        <v>0.36029029034210719</v>
      </c>
      <c r="AD158" s="42">
        <f>TModelo[[#This Row],[NetCF]]*TModelo[[#This Row],[fd]]</f>
        <v>0</v>
      </c>
    </row>
    <row r="159" spans="2:30" ht="16.95" customHeight="1">
      <c r="B159" s="11">
        <v>132</v>
      </c>
      <c r="C159" s="25">
        <f>EDATE(FechaInicio,TModelo[[#This Row],[Period]])</f>
        <v>50312</v>
      </c>
      <c r="D159" s="11">
        <f>IF(AND(TModelo[[#This Row],[Period]]&gt;=1,TModelo[[#This Row],[Period]]&lt;=HorizonteMeses),1,0)</f>
        <v>0</v>
      </c>
      <c r="E159" s="40">
        <f>TModelo[[#This Row],[Act]]*(INFb+(INFpi0-INFb)*(1-INFa)^TModelo[[#This Row],[Period]])</f>
        <v>0</v>
      </c>
      <c r="F159" s="28">
        <f>IF(TModelo[[#This Row],[Period]]&lt;=HorizonteMeses,F158*(1+TModelo[[#This Row],[InflMes]]),0)</f>
        <v>0</v>
      </c>
      <c r="G159" s="21">
        <f>TModelo[[#This Row],[Act]]*(CDTb+(CDTx0-CDTb)*(1-CDTa)^TModelo[[#This Row],[Period]]+CDTspread)</f>
        <v>0</v>
      </c>
      <c r="H159" s="40">
        <f>TModelo[[#This Row],[Act]]*((1+TModelo[[#This Row],[TasaCDT]])^(1/12)-1)*(1-Retencion)</f>
        <v>0</v>
      </c>
      <c r="I159" s="40">
        <f>TModelo[[#This Row],[Act]]*(EXP(MuCOLCAP+SigmaCOLCAP^2/2)-1)</f>
        <v>0</v>
      </c>
      <c r="J159" s="40">
        <f>TModelo[[#This Row],[Act]]*(EXP(MuTRM+SigmaTRM^2/2)-1)</f>
        <v>0</v>
      </c>
      <c r="K159" s="11">
        <f>TModelo[[#This Row],[Act]]*IF(Rebalanceo="Mensual",1,IF(Rebalanceo="Anual",IF(MOD(TModelo[[#This Row],[Period]]-1,12)=0,1,0),0))</f>
        <v>0</v>
      </c>
      <c r="L159" s="24">
        <f>TModelo[[#This Row],[Act]]*AporteMensual*IF(CrecimientoAporte="Con IPC",F158,1)</f>
        <v>0</v>
      </c>
      <c r="M159" s="24">
        <f>IF(TModelo[[#This Row],[Period]]=HorizonteMeses,TModelo[[#This Row],[TotalPreLiq]],0)</f>
        <v>0</v>
      </c>
      <c r="N159" s="24">
        <f>TModelo[[#This Row],[Inflow]]-TModelo[[#This Row],[Outflow]]</f>
        <v>0</v>
      </c>
      <c r="O159" s="24">
        <f t="shared" si="2"/>
        <v>0</v>
      </c>
      <c r="P159" s="24">
        <f>TModelo[[#This Row],[IntCDT]]+TModelo[[#This Row],[IntCOLCAP]]+TModelo[[#This Row],[IntUSD]]</f>
        <v>0</v>
      </c>
      <c r="Q159" s="24">
        <f>TModelo[[#This Row],[InitialBalance]]+TModelo[[#This Row],[Interest]]+TModelo[[#This Row],[Outflow]]-TModelo[[#This Row],[Inflow]]</f>
        <v>0</v>
      </c>
      <c r="R159" s="24">
        <f>TModelo[[#This Row],[Act]]*IF(TModelo[[#This Row],[Rebal]]=1,PesoCDT*(X158+Y158+Z158),X158)</f>
        <v>0</v>
      </c>
      <c r="S159" s="24">
        <f>TModelo[[#This Row],[Act]]*IF(TModelo[[#This Row],[Rebal]]=1,PesoCOLCAP*(X158+Y158+Z158),Y158)</f>
        <v>0</v>
      </c>
      <c r="T159" s="24">
        <f>TModelo[[#This Row],[Act]]*IF(TModelo[[#This Row],[Rebal]]=1,PesoUSD*(X158+Y158+Z158),Z158)</f>
        <v>0</v>
      </c>
      <c r="U159" s="24">
        <f>TModelo[[#This Row],[IniCDT]]*TModelo[[#This Row],[RetCDT]]</f>
        <v>0</v>
      </c>
      <c r="V159" s="24">
        <f>TModelo[[#This Row],[IniCOLCAP]]*TModelo[[#This Row],[RetCOLCAP]]</f>
        <v>0</v>
      </c>
      <c r="W159" s="24">
        <f>TModelo[[#This Row],[IniUSD]]*TModelo[[#This Row],[RetUSD]]</f>
        <v>0</v>
      </c>
      <c r="X159" s="24">
        <f>TModelo[[#This Row],[Act]]*(TModelo[[#This Row],[IniCDT]]+TModelo[[#This Row],[IntCDT]]+PesoCDT*TModelo[[#This Row],[Outflow]])</f>
        <v>0</v>
      </c>
      <c r="Y159" s="24">
        <f>TModelo[[#This Row],[Act]]*(TModelo[[#This Row],[IniCOLCAP]]+TModelo[[#This Row],[IntCOLCAP]]+PesoCOLCAP*TModelo[[#This Row],[Outflow]])</f>
        <v>0</v>
      </c>
      <c r="Z159" s="24">
        <f>TModelo[[#This Row],[Act]]*(TModelo[[#This Row],[IniUSD]]+TModelo[[#This Row],[IntUSD]]+PesoUSD*TModelo[[#This Row],[Outflow]])</f>
        <v>0</v>
      </c>
      <c r="AA159" s="24">
        <f>TModelo[[#This Row],[BalCDT]]+TModelo[[#This Row],[BalCOLCAP]]+TModelo[[#This Row],[BalUSD]]</f>
        <v>0</v>
      </c>
      <c r="AB159" s="24">
        <f>IF(TModelo[[#This Row],[CumInfl]]&gt;0,TModelo[[#This Row],[TotalPreLiq]]/TModelo[[#This Row],[CumInfl]],0)</f>
        <v>0</v>
      </c>
      <c r="AC159" s="41">
        <f>(1+PerRate)^(-TModelo[[#This Row],[Period]])</f>
        <v>0.35749356323915366</v>
      </c>
      <c r="AD159" s="42">
        <f>TModelo[[#This Row],[NetCF]]*TModelo[[#This Row],[fd]]</f>
        <v>0</v>
      </c>
    </row>
    <row r="160" spans="2:30" ht="16.95" customHeight="1">
      <c r="B160" s="11">
        <v>133</v>
      </c>
      <c r="C160" s="25">
        <f>EDATE(FechaInicio,TModelo[[#This Row],[Period]])</f>
        <v>50342</v>
      </c>
      <c r="D160" s="11">
        <f>IF(AND(TModelo[[#This Row],[Period]]&gt;=1,TModelo[[#This Row],[Period]]&lt;=HorizonteMeses),1,0)</f>
        <v>0</v>
      </c>
      <c r="E160" s="40">
        <f>TModelo[[#This Row],[Act]]*(INFb+(INFpi0-INFb)*(1-INFa)^TModelo[[#This Row],[Period]])</f>
        <v>0</v>
      </c>
      <c r="F160" s="28">
        <f>IF(TModelo[[#This Row],[Period]]&lt;=HorizonteMeses,F159*(1+TModelo[[#This Row],[InflMes]]),0)</f>
        <v>0</v>
      </c>
      <c r="G160" s="21">
        <f>TModelo[[#This Row],[Act]]*(CDTb+(CDTx0-CDTb)*(1-CDTa)^TModelo[[#This Row],[Period]]+CDTspread)</f>
        <v>0</v>
      </c>
      <c r="H160" s="40">
        <f>TModelo[[#This Row],[Act]]*((1+TModelo[[#This Row],[TasaCDT]])^(1/12)-1)*(1-Retencion)</f>
        <v>0</v>
      </c>
      <c r="I160" s="40">
        <f>TModelo[[#This Row],[Act]]*(EXP(MuCOLCAP+SigmaCOLCAP^2/2)-1)</f>
        <v>0</v>
      </c>
      <c r="J160" s="40">
        <f>TModelo[[#This Row],[Act]]*(EXP(MuTRM+SigmaTRM^2/2)-1)</f>
        <v>0</v>
      </c>
      <c r="K160" s="11">
        <f>TModelo[[#This Row],[Act]]*IF(Rebalanceo="Mensual",1,IF(Rebalanceo="Anual",IF(MOD(TModelo[[#This Row],[Period]]-1,12)=0,1,0),0))</f>
        <v>0</v>
      </c>
      <c r="L160" s="24">
        <f>TModelo[[#This Row],[Act]]*AporteMensual*IF(CrecimientoAporte="Con IPC",F159,1)</f>
        <v>0</v>
      </c>
      <c r="M160" s="24">
        <f>IF(TModelo[[#This Row],[Period]]=HorizonteMeses,TModelo[[#This Row],[TotalPreLiq]],0)</f>
        <v>0</v>
      </c>
      <c r="N160" s="24">
        <f>TModelo[[#This Row],[Inflow]]-TModelo[[#This Row],[Outflow]]</f>
        <v>0</v>
      </c>
      <c r="O160" s="24">
        <f t="shared" si="2"/>
        <v>0</v>
      </c>
      <c r="P160" s="24">
        <f>TModelo[[#This Row],[IntCDT]]+TModelo[[#This Row],[IntCOLCAP]]+TModelo[[#This Row],[IntUSD]]</f>
        <v>0</v>
      </c>
      <c r="Q160" s="24">
        <f>TModelo[[#This Row],[InitialBalance]]+TModelo[[#This Row],[Interest]]+TModelo[[#This Row],[Outflow]]-TModelo[[#This Row],[Inflow]]</f>
        <v>0</v>
      </c>
      <c r="R160" s="24">
        <f>TModelo[[#This Row],[Act]]*IF(TModelo[[#This Row],[Rebal]]=1,PesoCDT*(X159+Y159+Z159),X159)</f>
        <v>0</v>
      </c>
      <c r="S160" s="24">
        <f>TModelo[[#This Row],[Act]]*IF(TModelo[[#This Row],[Rebal]]=1,PesoCOLCAP*(X159+Y159+Z159),Y159)</f>
        <v>0</v>
      </c>
      <c r="T160" s="24">
        <f>TModelo[[#This Row],[Act]]*IF(TModelo[[#This Row],[Rebal]]=1,PesoUSD*(X159+Y159+Z159),Z159)</f>
        <v>0</v>
      </c>
      <c r="U160" s="24">
        <f>TModelo[[#This Row],[IniCDT]]*TModelo[[#This Row],[RetCDT]]</f>
        <v>0</v>
      </c>
      <c r="V160" s="24">
        <f>TModelo[[#This Row],[IniCOLCAP]]*TModelo[[#This Row],[RetCOLCAP]]</f>
        <v>0</v>
      </c>
      <c r="W160" s="24">
        <f>TModelo[[#This Row],[IniUSD]]*TModelo[[#This Row],[RetUSD]]</f>
        <v>0</v>
      </c>
      <c r="X160" s="24">
        <f>TModelo[[#This Row],[Act]]*(TModelo[[#This Row],[IniCDT]]+TModelo[[#This Row],[IntCDT]]+PesoCDT*TModelo[[#This Row],[Outflow]])</f>
        <v>0</v>
      </c>
      <c r="Y160" s="24">
        <f>TModelo[[#This Row],[Act]]*(TModelo[[#This Row],[IniCOLCAP]]+TModelo[[#This Row],[IntCOLCAP]]+PesoCOLCAP*TModelo[[#This Row],[Outflow]])</f>
        <v>0</v>
      </c>
      <c r="Z160" s="24">
        <f>TModelo[[#This Row],[Act]]*(TModelo[[#This Row],[IniUSD]]+TModelo[[#This Row],[IntUSD]]+PesoUSD*TModelo[[#This Row],[Outflow]])</f>
        <v>0</v>
      </c>
      <c r="AA160" s="24">
        <f>TModelo[[#This Row],[BalCDT]]+TModelo[[#This Row],[BalCOLCAP]]+TModelo[[#This Row],[BalUSD]]</f>
        <v>0</v>
      </c>
      <c r="AB160" s="24">
        <f>IF(TModelo[[#This Row],[CumInfl]]&gt;0,TModelo[[#This Row],[TotalPreLiq]]/TModelo[[#This Row],[CumInfl]],0)</f>
        <v>0</v>
      </c>
      <c r="AC160" s="41">
        <f>(1+PerRate)^(-TModelo[[#This Row],[Period]])</f>
        <v>0.35471854552637266</v>
      </c>
      <c r="AD160" s="42">
        <f>TModelo[[#This Row],[NetCF]]*TModelo[[#This Row],[fd]]</f>
        <v>0</v>
      </c>
    </row>
    <row r="161" spans="2:30" ht="16.95" customHeight="1">
      <c r="B161" s="11">
        <v>134</v>
      </c>
      <c r="C161" s="25">
        <f>EDATE(FechaInicio,TModelo[[#This Row],[Period]])</f>
        <v>50373</v>
      </c>
      <c r="D161" s="11">
        <f>IF(AND(TModelo[[#This Row],[Period]]&gt;=1,TModelo[[#This Row],[Period]]&lt;=HorizonteMeses),1,0)</f>
        <v>0</v>
      </c>
      <c r="E161" s="40">
        <f>TModelo[[#This Row],[Act]]*(INFb+(INFpi0-INFb)*(1-INFa)^TModelo[[#This Row],[Period]])</f>
        <v>0</v>
      </c>
      <c r="F161" s="28">
        <f>IF(TModelo[[#This Row],[Period]]&lt;=HorizonteMeses,F160*(1+TModelo[[#This Row],[InflMes]]),0)</f>
        <v>0</v>
      </c>
      <c r="G161" s="21">
        <f>TModelo[[#This Row],[Act]]*(CDTb+(CDTx0-CDTb)*(1-CDTa)^TModelo[[#This Row],[Period]]+CDTspread)</f>
        <v>0</v>
      </c>
      <c r="H161" s="40">
        <f>TModelo[[#This Row],[Act]]*((1+TModelo[[#This Row],[TasaCDT]])^(1/12)-1)*(1-Retencion)</f>
        <v>0</v>
      </c>
      <c r="I161" s="40">
        <f>TModelo[[#This Row],[Act]]*(EXP(MuCOLCAP+SigmaCOLCAP^2/2)-1)</f>
        <v>0</v>
      </c>
      <c r="J161" s="40">
        <f>TModelo[[#This Row],[Act]]*(EXP(MuTRM+SigmaTRM^2/2)-1)</f>
        <v>0</v>
      </c>
      <c r="K161" s="11">
        <f>TModelo[[#This Row],[Act]]*IF(Rebalanceo="Mensual",1,IF(Rebalanceo="Anual",IF(MOD(TModelo[[#This Row],[Period]]-1,12)=0,1,0),0))</f>
        <v>0</v>
      </c>
      <c r="L161" s="24">
        <f>TModelo[[#This Row],[Act]]*AporteMensual*IF(CrecimientoAporte="Con IPC",F160,1)</f>
        <v>0</v>
      </c>
      <c r="M161" s="24">
        <f>IF(TModelo[[#This Row],[Period]]=HorizonteMeses,TModelo[[#This Row],[TotalPreLiq]],0)</f>
        <v>0</v>
      </c>
      <c r="N161" s="24">
        <f>TModelo[[#This Row],[Inflow]]-TModelo[[#This Row],[Outflow]]</f>
        <v>0</v>
      </c>
      <c r="O161" s="24">
        <f t="shared" si="2"/>
        <v>0</v>
      </c>
      <c r="P161" s="24">
        <f>TModelo[[#This Row],[IntCDT]]+TModelo[[#This Row],[IntCOLCAP]]+TModelo[[#This Row],[IntUSD]]</f>
        <v>0</v>
      </c>
      <c r="Q161" s="24">
        <f>TModelo[[#This Row],[InitialBalance]]+TModelo[[#This Row],[Interest]]+TModelo[[#This Row],[Outflow]]-TModelo[[#This Row],[Inflow]]</f>
        <v>0</v>
      </c>
      <c r="R161" s="24">
        <f>TModelo[[#This Row],[Act]]*IF(TModelo[[#This Row],[Rebal]]=1,PesoCDT*(X160+Y160+Z160),X160)</f>
        <v>0</v>
      </c>
      <c r="S161" s="24">
        <f>TModelo[[#This Row],[Act]]*IF(TModelo[[#This Row],[Rebal]]=1,PesoCOLCAP*(X160+Y160+Z160),Y160)</f>
        <v>0</v>
      </c>
      <c r="T161" s="24">
        <f>TModelo[[#This Row],[Act]]*IF(TModelo[[#This Row],[Rebal]]=1,PesoUSD*(X160+Y160+Z160),Z160)</f>
        <v>0</v>
      </c>
      <c r="U161" s="24">
        <f>TModelo[[#This Row],[IniCDT]]*TModelo[[#This Row],[RetCDT]]</f>
        <v>0</v>
      </c>
      <c r="V161" s="24">
        <f>TModelo[[#This Row],[IniCOLCAP]]*TModelo[[#This Row],[RetCOLCAP]]</f>
        <v>0</v>
      </c>
      <c r="W161" s="24">
        <f>TModelo[[#This Row],[IniUSD]]*TModelo[[#This Row],[RetUSD]]</f>
        <v>0</v>
      </c>
      <c r="X161" s="24">
        <f>TModelo[[#This Row],[Act]]*(TModelo[[#This Row],[IniCDT]]+TModelo[[#This Row],[IntCDT]]+PesoCDT*TModelo[[#This Row],[Outflow]])</f>
        <v>0</v>
      </c>
      <c r="Y161" s="24">
        <f>TModelo[[#This Row],[Act]]*(TModelo[[#This Row],[IniCOLCAP]]+TModelo[[#This Row],[IntCOLCAP]]+PesoCOLCAP*TModelo[[#This Row],[Outflow]])</f>
        <v>0</v>
      </c>
      <c r="Z161" s="24">
        <f>TModelo[[#This Row],[Act]]*(TModelo[[#This Row],[IniUSD]]+TModelo[[#This Row],[IntUSD]]+PesoUSD*TModelo[[#This Row],[Outflow]])</f>
        <v>0</v>
      </c>
      <c r="AA161" s="24">
        <f>TModelo[[#This Row],[BalCDT]]+TModelo[[#This Row],[BalCOLCAP]]+TModelo[[#This Row],[BalUSD]]</f>
        <v>0</v>
      </c>
      <c r="AB161" s="24">
        <f>IF(TModelo[[#This Row],[CumInfl]]&gt;0,TModelo[[#This Row],[TotalPreLiq]]/TModelo[[#This Row],[CumInfl]],0)</f>
        <v>0</v>
      </c>
      <c r="AC161" s="41">
        <f>(1+PerRate)^(-TModelo[[#This Row],[Period]])</f>
        <v>0.3519650686862062</v>
      </c>
      <c r="AD161" s="42">
        <f>TModelo[[#This Row],[NetCF]]*TModelo[[#This Row],[fd]]</f>
        <v>0</v>
      </c>
    </row>
    <row r="162" spans="2:30" ht="16.95" customHeight="1">
      <c r="B162" s="11">
        <v>135</v>
      </c>
      <c r="C162" s="25">
        <f>EDATE(FechaInicio,TModelo[[#This Row],[Period]])</f>
        <v>50403</v>
      </c>
      <c r="D162" s="11">
        <f>IF(AND(TModelo[[#This Row],[Period]]&gt;=1,TModelo[[#This Row],[Period]]&lt;=HorizonteMeses),1,0)</f>
        <v>0</v>
      </c>
      <c r="E162" s="40">
        <f>TModelo[[#This Row],[Act]]*(INFb+(INFpi0-INFb)*(1-INFa)^TModelo[[#This Row],[Period]])</f>
        <v>0</v>
      </c>
      <c r="F162" s="28">
        <f>IF(TModelo[[#This Row],[Period]]&lt;=HorizonteMeses,F161*(1+TModelo[[#This Row],[InflMes]]),0)</f>
        <v>0</v>
      </c>
      <c r="G162" s="21">
        <f>TModelo[[#This Row],[Act]]*(CDTb+(CDTx0-CDTb)*(1-CDTa)^TModelo[[#This Row],[Period]]+CDTspread)</f>
        <v>0</v>
      </c>
      <c r="H162" s="40">
        <f>TModelo[[#This Row],[Act]]*((1+TModelo[[#This Row],[TasaCDT]])^(1/12)-1)*(1-Retencion)</f>
        <v>0</v>
      </c>
      <c r="I162" s="40">
        <f>TModelo[[#This Row],[Act]]*(EXP(MuCOLCAP+SigmaCOLCAP^2/2)-1)</f>
        <v>0</v>
      </c>
      <c r="J162" s="40">
        <f>TModelo[[#This Row],[Act]]*(EXP(MuTRM+SigmaTRM^2/2)-1)</f>
        <v>0</v>
      </c>
      <c r="K162" s="11">
        <f>TModelo[[#This Row],[Act]]*IF(Rebalanceo="Mensual",1,IF(Rebalanceo="Anual",IF(MOD(TModelo[[#This Row],[Period]]-1,12)=0,1,0),0))</f>
        <v>0</v>
      </c>
      <c r="L162" s="24">
        <f>TModelo[[#This Row],[Act]]*AporteMensual*IF(CrecimientoAporte="Con IPC",F161,1)</f>
        <v>0</v>
      </c>
      <c r="M162" s="24">
        <f>IF(TModelo[[#This Row],[Period]]=HorizonteMeses,TModelo[[#This Row],[TotalPreLiq]],0)</f>
        <v>0</v>
      </c>
      <c r="N162" s="24">
        <f>TModelo[[#This Row],[Inflow]]-TModelo[[#This Row],[Outflow]]</f>
        <v>0</v>
      </c>
      <c r="O162" s="24">
        <f t="shared" si="2"/>
        <v>0</v>
      </c>
      <c r="P162" s="24">
        <f>TModelo[[#This Row],[IntCDT]]+TModelo[[#This Row],[IntCOLCAP]]+TModelo[[#This Row],[IntUSD]]</f>
        <v>0</v>
      </c>
      <c r="Q162" s="24">
        <f>TModelo[[#This Row],[InitialBalance]]+TModelo[[#This Row],[Interest]]+TModelo[[#This Row],[Outflow]]-TModelo[[#This Row],[Inflow]]</f>
        <v>0</v>
      </c>
      <c r="R162" s="24">
        <f>TModelo[[#This Row],[Act]]*IF(TModelo[[#This Row],[Rebal]]=1,PesoCDT*(X161+Y161+Z161),X161)</f>
        <v>0</v>
      </c>
      <c r="S162" s="24">
        <f>TModelo[[#This Row],[Act]]*IF(TModelo[[#This Row],[Rebal]]=1,PesoCOLCAP*(X161+Y161+Z161),Y161)</f>
        <v>0</v>
      </c>
      <c r="T162" s="24">
        <f>TModelo[[#This Row],[Act]]*IF(TModelo[[#This Row],[Rebal]]=1,PesoUSD*(X161+Y161+Z161),Z161)</f>
        <v>0</v>
      </c>
      <c r="U162" s="24">
        <f>TModelo[[#This Row],[IniCDT]]*TModelo[[#This Row],[RetCDT]]</f>
        <v>0</v>
      </c>
      <c r="V162" s="24">
        <f>TModelo[[#This Row],[IniCOLCAP]]*TModelo[[#This Row],[RetCOLCAP]]</f>
        <v>0</v>
      </c>
      <c r="W162" s="24">
        <f>TModelo[[#This Row],[IniUSD]]*TModelo[[#This Row],[RetUSD]]</f>
        <v>0</v>
      </c>
      <c r="X162" s="24">
        <f>TModelo[[#This Row],[Act]]*(TModelo[[#This Row],[IniCDT]]+TModelo[[#This Row],[IntCDT]]+PesoCDT*TModelo[[#This Row],[Outflow]])</f>
        <v>0</v>
      </c>
      <c r="Y162" s="24">
        <f>TModelo[[#This Row],[Act]]*(TModelo[[#This Row],[IniCOLCAP]]+TModelo[[#This Row],[IntCOLCAP]]+PesoCOLCAP*TModelo[[#This Row],[Outflow]])</f>
        <v>0</v>
      </c>
      <c r="Z162" s="24">
        <f>TModelo[[#This Row],[Act]]*(TModelo[[#This Row],[IniUSD]]+TModelo[[#This Row],[IntUSD]]+PesoUSD*TModelo[[#This Row],[Outflow]])</f>
        <v>0</v>
      </c>
      <c r="AA162" s="24">
        <f>TModelo[[#This Row],[BalCDT]]+TModelo[[#This Row],[BalCOLCAP]]+TModelo[[#This Row],[BalUSD]]</f>
        <v>0</v>
      </c>
      <c r="AB162" s="24">
        <f>IF(TModelo[[#This Row],[CumInfl]]&gt;0,TModelo[[#This Row],[TotalPreLiq]]/TModelo[[#This Row],[CumInfl]],0)</f>
        <v>0</v>
      </c>
      <c r="AC162" s="41">
        <f>(1+PerRate)^(-TModelo[[#This Row],[Period]])</f>
        <v>0.34923296550920152</v>
      </c>
      <c r="AD162" s="42">
        <f>TModelo[[#This Row],[NetCF]]*TModelo[[#This Row],[fd]]</f>
        <v>0</v>
      </c>
    </row>
    <row r="163" spans="2:30" ht="16.95" customHeight="1">
      <c r="B163" s="11">
        <v>136</v>
      </c>
      <c r="C163" s="25">
        <f>EDATE(FechaInicio,TModelo[[#This Row],[Period]])</f>
        <v>50434</v>
      </c>
      <c r="D163" s="11">
        <f>IF(AND(TModelo[[#This Row],[Period]]&gt;=1,TModelo[[#This Row],[Period]]&lt;=HorizonteMeses),1,0)</f>
        <v>0</v>
      </c>
      <c r="E163" s="40">
        <f>TModelo[[#This Row],[Act]]*(INFb+(INFpi0-INFb)*(1-INFa)^TModelo[[#This Row],[Period]])</f>
        <v>0</v>
      </c>
      <c r="F163" s="28">
        <f>IF(TModelo[[#This Row],[Period]]&lt;=HorizonteMeses,F162*(1+TModelo[[#This Row],[InflMes]]),0)</f>
        <v>0</v>
      </c>
      <c r="G163" s="21">
        <f>TModelo[[#This Row],[Act]]*(CDTb+(CDTx0-CDTb)*(1-CDTa)^TModelo[[#This Row],[Period]]+CDTspread)</f>
        <v>0</v>
      </c>
      <c r="H163" s="40">
        <f>TModelo[[#This Row],[Act]]*((1+TModelo[[#This Row],[TasaCDT]])^(1/12)-1)*(1-Retencion)</f>
        <v>0</v>
      </c>
      <c r="I163" s="40">
        <f>TModelo[[#This Row],[Act]]*(EXP(MuCOLCAP+SigmaCOLCAP^2/2)-1)</f>
        <v>0</v>
      </c>
      <c r="J163" s="40">
        <f>TModelo[[#This Row],[Act]]*(EXP(MuTRM+SigmaTRM^2/2)-1)</f>
        <v>0</v>
      </c>
      <c r="K163" s="11">
        <f>TModelo[[#This Row],[Act]]*IF(Rebalanceo="Mensual",1,IF(Rebalanceo="Anual",IF(MOD(TModelo[[#This Row],[Period]]-1,12)=0,1,0),0))</f>
        <v>0</v>
      </c>
      <c r="L163" s="24">
        <f>TModelo[[#This Row],[Act]]*AporteMensual*IF(CrecimientoAporte="Con IPC",F162,1)</f>
        <v>0</v>
      </c>
      <c r="M163" s="24">
        <f>IF(TModelo[[#This Row],[Period]]=HorizonteMeses,TModelo[[#This Row],[TotalPreLiq]],0)</f>
        <v>0</v>
      </c>
      <c r="N163" s="24">
        <f>TModelo[[#This Row],[Inflow]]-TModelo[[#This Row],[Outflow]]</f>
        <v>0</v>
      </c>
      <c r="O163" s="24">
        <f t="shared" si="2"/>
        <v>0</v>
      </c>
      <c r="P163" s="24">
        <f>TModelo[[#This Row],[IntCDT]]+TModelo[[#This Row],[IntCOLCAP]]+TModelo[[#This Row],[IntUSD]]</f>
        <v>0</v>
      </c>
      <c r="Q163" s="24">
        <f>TModelo[[#This Row],[InitialBalance]]+TModelo[[#This Row],[Interest]]+TModelo[[#This Row],[Outflow]]-TModelo[[#This Row],[Inflow]]</f>
        <v>0</v>
      </c>
      <c r="R163" s="24">
        <f>TModelo[[#This Row],[Act]]*IF(TModelo[[#This Row],[Rebal]]=1,PesoCDT*(X162+Y162+Z162),X162)</f>
        <v>0</v>
      </c>
      <c r="S163" s="24">
        <f>TModelo[[#This Row],[Act]]*IF(TModelo[[#This Row],[Rebal]]=1,PesoCOLCAP*(X162+Y162+Z162),Y162)</f>
        <v>0</v>
      </c>
      <c r="T163" s="24">
        <f>TModelo[[#This Row],[Act]]*IF(TModelo[[#This Row],[Rebal]]=1,PesoUSD*(X162+Y162+Z162),Z162)</f>
        <v>0</v>
      </c>
      <c r="U163" s="24">
        <f>TModelo[[#This Row],[IniCDT]]*TModelo[[#This Row],[RetCDT]]</f>
        <v>0</v>
      </c>
      <c r="V163" s="24">
        <f>TModelo[[#This Row],[IniCOLCAP]]*TModelo[[#This Row],[RetCOLCAP]]</f>
        <v>0</v>
      </c>
      <c r="W163" s="24">
        <f>TModelo[[#This Row],[IniUSD]]*TModelo[[#This Row],[RetUSD]]</f>
        <v>0</v>
      </c>
      <c r="X163" s="24">
        <f>TModelo[[#This Row],[Act]]*(TModelo[[#This Row],[IniCDT]]+TModelo[[#This Row],[IntCDT]]+PesoCDT*TModelo[[#This Row],[Outflow]])</f>
        <v>0</v>
      </c>
      <c r="Y163" s="24">
        <f>TModelo[[#This Row],[Act]]*(TModelo[[#This Row],[IniCOLCAP]]+TModelo[[#This Row],[IntCOLCAP]]+PesoCOLCAP*TModelo[[#This Row],[Outflow]])</f>
        <v>0</v>
      </c>
      <c r="Z163" s="24">
        <f>TModelo[[#This Row],[Act]]*(TModelo[[#This Row],[IniUSD]]+TModelo[[#This Row],[IntUSD]]+PesoUSD*TModelo[[#This Row],[Outflow]])</f>
        <v>0</v>
      </c>
      <c r="AA163" s="24">
        <f>TModelo[[#This Row],[BalCDT]]+TModelo[[#This Row],[BalCOLCAP]]+TModelo[[#This Row],[BalUSD]]</f>
        <v>0</v>
      </c>
      <c r="AB163" s="24">
        <f>IF(TModelo[[#This Row],[CumInfl]]&gt;0,TModelo[[#This Row],[TotalPreLiq]]/TModelo[[#This Row],[CumInfl]],0)</f>
        <v>0</v>
      </c>
      <c r="AC163" s="41">
        <f>(1+PerRate)^(-TModelo[[#This Row],[Period]])</f>
        <v>0.34652207008385721</v>
      </c>
      <c r="AD163" s="42">
        <f>TModelo[[#This Row],[NetCF]]*TModelo[[#This Row],[fd]]</f>
        <v>0</v>
      </c>
    </row>
    <row r="164" spans="2:30" ht="16.95" customHeight="1">
      <c r="B164" s="11">
        <v>137</v>
      </c>
      <c r="C164" s="25">
        <f>EDATE(FechaInicio,TModelo[[#This Row],[Period]])</f>
        <v>50464</v>
      </c>
      <c r="D164" s="11">
        <f>IF(AND(TModelo[[#This Row],[Period]]&gt;=1,TModelo[[#This Row],[Period]]&lt;=HorizonteMeses),1,0)</f>
        <v>0</v>
      </c>
      <c r="E164" s="40">
        <f>TModelo[[#This Row],[Act]]*(INFb+(INFpi0-INFb)*(1-INFa)^TModelo[[#This Row],[Period]])</f>
        <v>0</v>
      </c>
      <c r="F164" s="28">
        <f>IF(TModelo[[#This Row],[Period]]&lt;=HorizonteMeses,F163*(1+TModelo[[#This Row],[InflMes]]),0)</f>
        <v>0</v>
      </c>
      <c r="G164" s="21">
        <f>TModelo[[#This Row],[Act]]*(CDTb+(CDTx0-CDTb)*(1-CDTa)^TModelo[[#This Row],[Period]]+CDTspread)</f>
        <v>0</v>
      </c>
      <c r="H164" s="40">
        <f>TModelo[[#This Row],[Act]]*((1+TModelo[[#This Row],[TasaCDT]])^(1/12)-1)*(1-Retencion)</f>
        <v>0</v>
      </c>
      <c r="I164" s="40">
        <f>TModelo[[#This Row],[Act]]*(EXP(MuCOLCAP+SigmaCOLCAP^2/2)-1)</f>
        <v>0</v>
      </c>
      <c r="J164" s="40">
        <f>TModelo[[#This Row],[Act]]*(EXP(MuTRM+SigmaTRM^2/2)-1)</f>
        <v>0</v>
      </c>
      <c r="K164" s="11">
        <f>TModelo[[#This Row],[Act]]*IF(Rebalanceo="Mensual",1,IF(Rebalanceo="Anual",IF(MOD(TModelo[[#This Row],[Period]]-1,12)=0,1,0),0))</f>
        <v>0</v>
      </c>
      <c r="L164" s="24">
        <f>TModelo[[#This Row],[Act]]*AporteMensual*IF(CrecimientoAporte="Con IPC",F163,1)</f>
        <v>0</v>
      </c>
      <c r="M164" s="24">
        <f>IF(TModelo[[#This Row],[Period]]=HorizonteMeses,TModelo[[#This Row],[TotalPreLiq]],0)</f>
        <v>0</v>
      </c>
      <c r="N164" s="24">
        <f>TModelo[[#This Row],[Inflow]]-TModelo[[#This Row],[Outflow]]</f>
        <v>0</v>
      </c>
      <c r="O164" s="24">
        <f t="shared" si="2"/>
        <v>0</v>
      </c>
      <c r="P164" s="24">
        <f>TModelo[[#This Row],[IntCDT]]+TModelo[[#This Row],[IntCOLCAP]]+TModelo[[#This Row],[IntUSD]]</f>
        <v>0</v>
      </c>
      <c r="Q164" s="24">
        <f>TModelo[[#This Row],[InitialBalance]]+TModelo[[#This Row],[Interest]]+TModelo[[#This Row],[Outflow]]-TModelo[[#This Row],[Inflow]]</f>
        <v>0</v>
      </c>
      <c r="R164" s="24">
        <f>TModelo[[#This Row],[Act]]*IF(TModelo[[#This Row],[Rebal]]=1,PesoCDT*(X163+Y163+Z163),X163)</f>
        <v>0</v>
      </c>
      <c r="S164" s="24">
        <f>TModelo[[#This Row],[Act]]*IF(TModelo[[#This Row],[Rebal]]=1,PesoCOLCAP*(X163+Y163+Z163),Y163)</f>
        <v>0</v>
      </c>
      <c r="T164" s="24">
        <f>TModelo[[#This Row],[Act]]*IF(TModelo[[#This Row],[Rebal]]=1,PesoUSD*(X163+Y163+Z163),Z163)</f>
        <v>0</v>
      </c>
      <c r="U164" s="24">
        <f>TModelo[[#This Row],[IniCDT]]*TModelo[[#This Row],[RetCDT]]</f>
        <v>0</v>
      </c>
      <c r="V164" s="24">
        <f>TModelo[[#This Row],[IniCOLCAP]]*TModelo[[#This Row],[RetCOLCAP]]</f>
        <v>0</v>
      </c>
      <c r="W164" s="24">
        <f>TModelo[[#This Row],[IniUSD]]*TModelo[[#This Row],[RetUSD]]</f>
        <v>0</v>
      </c>
      <c r="X164" s="24">
        <f>TModelo[[#This Row],[Act]]*(TModelo[[#This Row],[IniCDT]]+TModelo[[#This Row],[IntCDT]]+PesoCDT*TModelo[[#This Row],[Outflow]])</f>
        <v>0</v>
      </c>
      <c r="Y164" s="24">
        <f>TModelo[[#This Row],[Act]]*(TModelo[[#This Row],[IniCOLCAP]]+TModelo[[#This Row],[IntCOLCAP]]+PesoCOLCAP*TModelo[[#This Row],[Outflow]])</f>
        <v>0</v>
      </c>
      <c r="Z164" s="24">
        <f>TModelo[[#This Row],[Act]]*(TModelo[[#This Row],[IniUSD]]+TModelo[[#This Row],[IntUSD]]+PesoUSD*TModelo[[#This Row],[Outflow]])</f>
        <v>0</v>
      </c>
      <c r="AA164" s="24">
        <f>TModelo[[#This Row],[BalCDT]]+TModelo[[#This Row],[BalCOLCAP]]+TModelo[[#This Row],[BalUSD]]</f>
        <v>0</v>
      </c>
      <c r="AB164" s="24">
        <f>IF(TModelo[[#This Row],[CumInfl]]&gt;0,TModelo[[#This Row],[TotalPreLiq]]/TModelo[[#This Row],[CumInfl]],0)</f>
        <v>0</v>
      </c>
      <c r="AC164" s="41">
        <f>(1+PerRate)^(-TModelo[[#This Row],[Period]])</f>
        <v>0.3438322177865476</v>
      </c>
      <c r="AD164" s="42">
        <f>TModelo[[#This Row],[NetCF]]*TModelo[[#This Row],[fd]]</f>
        <v>0</v>
      </c>
    </row>
    <row r="165" spans="2:30" ht="16.95" customHeight="1">
      <c r="B165" s="11">
        <v>138</v>
      </c>
      <c r="C165" s="25">
        <f>EDATE(FechaInicio,TModelo[[#This Row],[Period]])</f>
        <v>50493</v>
      </c>
      <c r="D165" s="11">
        <f>IF(AND(TModelo[[#This Row],[Period]]&gt;=1,TModelo[[#This Row],[Period]]&lt;=HorizonteMeses),1,0)</f>
        <v>0</v>
      </c>
      <c r="E165" s="40">
        <f>TModelo[[#This Row],[Act]]*(INFb+(INFpi0-INFb)*(1-INFa)^TModelo[[#This Row],[Period]])</f>
        <v>0</v>
      </c>
      <c r="F165" s="28">
        <f>IF(TModelo[[#This Row],[Period]]&lt;=HorizonteMeses,F164*(1+TModelo[[#This Row],[InflMes]]),0)</f>
        <v>0</v>
      </c>
      <c r="G165" s="21">
        <f>TModelo[[#This Row],[Act]]*(CDTb+(CDTx0-CDTb)*(1-CDTa)^TModelo[[#This Row],[Period]]+CDTspread)</f>
        <v>0</v>
      </c>
      <c r="H165" s="40">
        <f>TModelo[[#This Row],[Act]]*((1+TModelo[[#This Row],[TasaCDT]])^(1/12)-1)*(1-Retencion)</f>
        <v>0</v>
      </c>
      <c r="I165" s="40">
        <f>TModelo[[#This Row],[Act]]*(EXP(MuCOLCAP+SigmaCOLCAP^2/2)-1)</f>
        <v>0</v>
      </c>
      <c r="J165" s="40">
        <f>TModelo[[#This Row],[Act]]*(EXP(MuTRM+SigmaTRM^2/2)-1)</f>
        <v>0</v>
      </c>
      <c r="K165" s="11">
        <f>TModelo[[#This Row],[Act]]*IF(Rebalanceo="Mensual",1,IF(Rebalanceo="Anual",IF(MOD(TModelo[[#This Row],[Period]]-1,12)=0,1,0),0))</f>
        <v>0</v>
      </c>
      <c r="L165" s="24">
        <f>TModelo[[#This Row],[Act]]*AporteMensual*IF(CrecimientoAporte="Con IPC",F164,1)</f>
        <v>0</v>
      </c>
      <c r="M165" s="24">
        <f>IF(TModelo[[#This Row],[Period]]=HorizonteMeses,TModelo[[#This Row],[TotalPreLiq]],0)</f>
        <v>0</v>
      </c>
      <c r="N165" s="24">
        <f>TModelo[[#This Row],[Inflow]]-TModelo[[#This Row],[Outflow]]</f>
        <v>0</v>
      </c>
      <c r="O165" s="24">
        <f t="shared" si="2"/>
        <v>0</v>
      </c>
      <c r="P165" s="24">
        <f>TModelo[[#This Row],[IntCDT]]+TModelo[[#This Row],[IntCOLCAP]]+TModelo[[#This Row],[IntUSD]]</f>
        <v>0</v>
      </c>
      <c r="Q165" s="24">
        <f>TModelo[[#This Row],[InitialBalance]]+TModelo[[#This Row],[Interest]]+TModelo[[#This Row],[Outflow]]-TModelo[[#This Row],[Inflow]]</f>
        <v>0</v>
      </c>
      <c r="R165" s="24">
        <f>TModelo[[#This Row],[Act]]*IF(TModelo[[#This Row],[Rebal]]=1,PesoCDT*(X164+Y164+Z164),X164)</f>
        <v>0</v>
      </c>
      <c r="S165" s="24">
        <f>TModelo[[#This Row],[Act]]*IF(TModelo[[#This Row],[Rebal]]=1,PesoCOLCAP*(X164+Y164+Z164),Y164)</f>
        <v>0</v>
      </c>
      <c r="T165" s="24">
        <f>TModelo[[#This Row],[Act]]*IF(TModelo[[#This Row],[Rebal]]=1,PesoUSD*(X164+Y164+Z164),Z164)</f>
        <v>0</v>
      </c>
      <c r="U165" s="24">
        <f>TModelo[[#This Row],[IniCDT]]*TModelo[[#This Row],[RetCDT]]</f>
        <v>0</v>
      </c>
      <c r="V165" s="24">
        <f>TModelo[[#This Row],[IniCOLCAP]]*TModelo[[#This Row],[RetCOLCAP]]</f>
        <v>0</v>
      </c>
      <c r="W165" s="24">
        <f>TModelo[[#This Row],[IniUSD]]*TModelo[[#This Row],[RetUSD]]</f>
        <v>0</v>
      </c>
      <c r="X165" s="24">
        <f>TModelo[[#This Row],[Act]]*(TModelo[[#This Row],[IniCDT]]+TModelo[[#This Row],[IntCDT]]+PesoCDT*TModelo[[#This Row],[Outflow]])</f>
        <v>0</v>
      </c>
      <c r="Y165" s="24">
        <f>TModelo[[#This Row],[Act]]*(TModelo[[#This Row],[IniCOLCAP]]+TModelo[[#This Row],[IntCOLCAP]]+PesoCOLCAP*TModelo[[#This Row],[Outflow]])</f>
        <v>0</v>
      </c>
      <c r="Z165" s="24">
        <f>TModelo[[#This Row],[Act]]*(TModelo[[#This Row],[IniUSD]]+TModelo[[#This Row],[IntUSD]]+PesoUSD*TModelo[[#This Row],[Outflow]])</f>
        <v>0</v>
      </c>
      <c r="AA165" s="24">
        <f>TModelo[[#This Row],[BalCDT]]+TModelo[[#This Row],[BalCOLCAP]]+TModelo[[#This Row],[BalUSD]]</f>
        <v>0</v>
      </c>
      <c r="AB165" s="24">
        <f>IF(TModelo[[#This Row],[CumInfl]]&gt;0,TModelo[[#This Row],[TotalPreLiq]]/TModelo[[#This Row],[CumInfl]],0)</f>
        <v>0</v>
      </c>
      <c r="AC165" s="41">
        <f>(1+PerRate)^(-TModelo[[#This Row],[Period]])</f>
        <v>0.34116324527152586</v>
      </c>
      <c r="AD165" s="42">
        <f>TModelo[[#This Row],[NetCF]]*TModelo[[#This Row],[fd]]</f>
        <v>0</v>
      </c>
    </row>
    <row r="166" spans="2:30" ht="16.95" customHeight="1">
      <c r="B166" s="11">
        <v>139</v>
      </c>
      <c r="C166" s="25">
        <f>EDATE(FechaInicio,TModelo[[#This Row],[Period]])</f>
        <v>50524</v>
      </c>
      <c r="D166" s="11">
        <f>IF(AND(TModelo[[#This Row],[Period]]&gt;=1,TModelo[[#This Row],[Period]]&lt;=HorizonteMeses),1,0)</f>
        <v>0</v>
      </c>
      <c r="E166" s="40">
        <f>TModelo[[#This Row],[Act]]*(INFb+(INFpi0-INFb)*(1-INFa)^TModelo[[#This Row],[Period]])</f>
        <v>0</v>
      </c>
      <c r="F166" s="28">
        <f>IF(TModelo[[#This Row],[Period]]&lt;=HorizonteMeses,F165*(1+TModelo[[#This Row],[InflMes]]),0)</f>
        <v>0</v>
      </c>
      <c r="G166" s="21">
        <f>TModelo[[#This Row],[Act]]*(CDTb+(CDTx0-CDTb)*(1-CDTa)^TModelo[[#This Row],[Period]]+CDTspread)</f>
        <v>0</v>
      </c>
      <c r="H166" s="40">
        <f>TModelo[[#This Row],[Act]]*((1+TModelo[[#This Row],[TasaCDT]])^(1/12)-1)*(1-Retencion)</f>
        <v>0</v>
      </c>
      <c r="I166" s="40">
        <f>TModelo[[#This Row],[Act]]*(EXP(MuCOLCAP+SigmaCOLCAP^2/2)-1)</f>
        <v>0</v>
      </c>
      <c r="J166" s="40">
        <f>TModelo[[#This Row],[Act]]*(EXP(MuTRM+SigmaTRM^2/2)-1)</f>
        <v>0</v>
      </c>
      <c r="K166" s="11">
        <f>TModelo[[#This Row],[Act]]*IF(Rebalanceo="Mensual",1,IF(Rebalanceo="Anual",IF(MOD(TModelo[[#This Row],[Period]]-1,12)=0,1,0),0))</f>
        <v>0</v>
      </c>
      <c r="L166" s="24">
        <f>TModelo[[#This Row],[Act]]*AporteMensual*IF(CrecimientoAporte="Con IPC",F165,1)</f>
        <v>0</v>
      </c>
      <c r="M166" s="24">
        <f>IF(TModelo[[#This Row],[Period]]=HorizonteMeses,TModelo[[#This Row],[TotalPreLiq]],0)</f>
        <v>0</v>
      </c>
      <c r="N166" s="24">
        <f>TModelo[[#This Row],[Inflow]]-TModelo[[#This Row],[Outflow]]</f>
        <v>0</v>
      </c>
      <c r="O166" s="24">
        <f t="shared" si="2"/>
        <v>0</v>
      </c>
      <c r="P166" s="24">
        <f>TModelo[[#This Row],[IntCDT]]+TModelo[[#This Row],[IntCOLCAP]]+TModelo[[#This Row],[IntUSD]]</f>
        <v>0</v>
      </c>
      <c r="Q166" s="24">
        <f>TModelo[[#This Row],[InitialBalance]]+TModelo[[#This Row],[Interest]]+TModelo[[#This Row],[Outflow]]-TModelo[[#This Row],[Inflow]]</f>
        <v>0</v>
      </c>
      <c r="R166" s="24">
        <f>TModelo[[#This Row],[Act]]*IF(TModelo[[#This Row],[Rebal]]=1,PesoCDT*(X165+Y165+Z165),X165)</f>
        <v>0</v>
      </c>
      <c r="S166" s="24">
        <f>TModelo[[#This Row],[Act]]*IF(TModelo[[#This Row],[Rebal]]=1,PesoCOLCAP*(X165+Y165+Z165),Y165)</f>
        <v>0</v>
      </c>
      <c r="T166" s="24">
        <f>TModelo[[#This Row],[Act]]*IF(TModelo[[#This Row],[Rebal]]=1,PesoUSD*(X165+Y165+Z165),Z165)</f>
        <v>0</v>
      </c>
      <c r="U166" s="24">
        <f>TModelo[[#This Row],[IniCDT]]*TModelo[[#This Row],[RetCDT]]</f>
        <v>0</v>
      </c>
      <c r="V166" s="24">
        <f>TModelo[[#This Row],[IniCOLCAP]]*TModelo[[#This Row],[RetCOLCAP]]</f>
        <v>0</v>
      </c>
      <c r="W166" s="24">
        <f>TModelo[[#This Row],[IniUSD]]*TModelo[[#This Row],[RetUSD]]</f>
        <v>0</v>
      </c>
      <c r="X166" s="24">
        <f>TModelo[[#This Row],[Act]]*(TModelo[[#This Row],[IniCDT]]+TModelo[[#This Row],[IntCDT]]+PesoCDT*TModelo[[#This Row],[Outflow]])</f>
        <v>0</v>
      </c>
      <c r="Y166" s="24">
        <f>TModelo[[#This Row],[Act]]*(TModelo[[#This Row],[IniCOLCAP]]+TModelo[[#This Row],[IntCOLCAP]]+PesoCOLCAP*TModelo[[#This Row],[Outflow]])</f>
        <v>0</v>
      </c>
      <c r="Z166" s="24">
        <f>TModelo[[#This Row],[Act]]*(TModelo[[#This Row],[IniUSD]]+TModelo[[#This Row],[IntUSD]]+PesoUSD*TModelo[[#This Row],[Outflow]])</f>
        <v>0</v>
      </c>
      <c r="AA166" s="24">
        <f>TModelo[[#This Row],[BalCDT]]+TModelo[[#This Row],[BalCOLCAP]]+TModelo[[#This Row],[BalUSD]]</f>
        <v>0</v>
      </c>
      <c r="AB166" s="24">
        <f>IF(TModelo[[#This Row],[CumInfl]]&gt;0,TModelo[[#This Row],[TotalPreLiq]]/TModelo[[#This Row],[CumInfl]],0)</f>
        <v>0</v>
      </c>
      <c r="AC166" s="41">
        <f>(1+PerRate)^(-TModelo[[#This Row],[Period]])</f>
        <v>0.33851499046100497</v>
      </c>
      <c r="AD166" s="42">
        <f>TModelo[[#This Row],[NetCF]]*TModelo[[#This Row],[fd]]</f>
        <v>0</v>
      </c>
    </row>
    <row r="167" spans="2:30" ht="16.95" customHeight="1">
      <c r="B167" s="11">
        <v>140</v>
      </c>
      <c r="C167" s="25">
        <f>EDATE(FechaInicio,TModelo[[#This Row],[Period]])</f>
        <v>50554</v>
      </c>
      <c r="D167" s="11">
        <f>IF(AND(TModelo[[#This Row],[Period]]&gt;=1,TModelo[[#This Row],[Period]]&lt;=HorizonteMeses),1,0)</f>
        <v>0</v>
      </c>
      <c r="E167" s="40">
        <f>TModelo[[#This Row],[Act]]*(INFb+(INFpi0-INFb)*(1-INFa)^TModelo[[#This Row],[Period]])</f>
        <v>0</v>
      </c>
      <c r="F167" s="28">
        <f>IF(TModelo[[#This Row],[Period]]&lt;=HorizonteMeses,F166*(1+TModelo[[#This Row],[InflMes]]),0)</f>
        <v>0</v>
      </c>
      <c r="G167" s="21">
        <f>TModelo[[#This Row],[Act]]*(CDTb+(CDTx0-CDTb)*(1-CDTa)^TModelo[[#This Row],[Period]]+CDTspread)</f>
        <v>0</v>
      </c>
      <c r="H167" s="40">
        <f>TModelo[[#This Row],[Act]]*((1+TModelo[[#This Row],[TasaCDT]])^(1/12)-1)*(1-Retencion)</f>
        <v>0</v>
      </c>
      <c r="I167" s="40">
        <f>TModelo[[#This Row],[Act]]*(EXP(MuCOLCAP+SigmaCOLCAP^2/2)-1)</f>
        <v>0</v>
      </c>
      <c r="J167" s="40">
        <f>TModelo[[#This Row],[Act]]*(EXP(MuTRM+SigmaTRM^2/2)-1)</f>
        <v>0</v>
      </c>
      <c r="K167" s="11">
        <f>TModelo[[#This Row],[Act]]*IF(Rebalanceo="Mensual",1,IF(Rebalanceo="Anual",IF(MOD(TModelo[[#This Row],[Period]]-1,12)=0,1,0),0))</f>
        <v>0</v>
      </c>
      <c r="L167" s="24">
        <f>TModelo[[#This Row],[Act]]*AporteMensual*IF(CrecimientoAporte="Con IPC",F166,1)</f>
        <v>0</v>
      </c>
      <c r="M167" s="24">
        <f>IF(TModelo[[#This Row],[Period]]=HorizonteMeses,TModelo[[#This Row],[TotalPreLiq]],0)</f>
        <v>0</v>
      </c>
      <c r="N167" s="24">
        <f>TModelo[[#This Row],[Inflow]]-TModelo[[#This Row],[Outflow]]</f>
        <v>0</v>
      </c>
      <c r="O167" s="24">
        <f t="shared" si="2"/>
        <v>0</v>
      </c>
      <c r="P167" s="24">
        <f>TModelo[[#This Row],[IntCDT]]+TModelo[[#This Row],[IntCOLCAP]]+TModelo[[#This Row],[IntUSD]]</f>
        <v>0</v>
      </c>
      <c r="Q167" s="24">
        <f>TModelo[[#This Row],[InitialBalance]]+TModelo[[#This Row],[Interest]]+TModelo[[#This Row],[Outflow]]-TModelo[[#This Row],[Inflow]]</f>
        <v>0</v>
      </c>
      <c r="R167" s="24">
        <f>TModelo[[#This Row],[Act]]*IF(TModelo[[#This Row],[Rebal]]=1,PesoCDT*(X166+Y166+Z166),X166)</f>
        <v>0</v>
      </c>
      <c r="S167" s="24">
        <f>TModelo[[#This Row],[Act]]*IF(TModelo[[#This Row],[Rebal]]=1,PesoCOLCAP*(X166+Y166+Z166),Y166)</f>
        <v>0</v>
      </c>
      <c r="T167" s="24">
        <f>TModelo[[#This Row],[Act]]*IF(TModelo[[#This Row],[Rebal]]=1,PesoUSD*(X166+Y166+Z166),Z166)</f>
        <v>0</v>
      </c>
      <c r="U167" s="24">
        <f>TModelo[[#This Row],[IniCDT]]*TModelo[[#This Row],[RetCDT]]</f>
        <v>0</v>
      </c>
      <c r="V167" s="24">
        <f>TModelo[[#This Row],[IniCOLCAP]]*TModelo[[#This Row],[RetCOLCAP]]</f>
        <v>0</v>
      </c>
      <c r="W167" s="24">
        <f>TModelo[[#This Row],[IniUSD]]*TModelo[[#This Row],[RetUSD]]</f>
        <v>0</v>
      </c>
      <c r="X167" s="24">
        <f>TModelo[[#This Row],[Act]]*(TModelo[[#This Row],[IniCDT]]+TModelo[[#This Row],[IntCDT]]+PesoCDT*TModelo[[#This Row],[Outflow]])</f>
        <v>0</v>
      </c>
      <c r="Y167" s="24">
        <f>TModelo[[#This Row],[Act]]*(TModelo[[#This Row],[IniCOLCAP]]+TModelo[[#This Row],[IntCOLCAP]]+PesoCOLCAP*TModelo[[#This Row],[Outflow]])</f>
        <v>0</v>
      </c>
      <c r="Z167" s="24">
        <f>TModelo[[#This Row],[Act]]*(TModelo[[#This Row],[IniUSD]]+TModelo[[#This Row],[IntUSD]]+PesoUSD*TModelo[[#This Row],[Outflow]])</f>
        <v>0</v>
      </c>
      <c r="AA167" s="24">
        <f>TModelo[[#This Row],[BalCDT]]+TModelo[[#This Row],[BalCOLCAP]]+TModelo[[#This Row],[BalUSD]]</f>
        <v>0</v>
      </c>
      <c r="AB167" s="24">
        <f>IF(TModelo[[#This Row],[CumInfl]]&gt;0,TModelo[[#This Row],[TotalPreLiq]]/TModelo[[#This Row],[CumInfl]],0)</f>
        <v>0</v>
      </c>
      <c r="AC167" s="41">
        <f>(1+PerRate)^(-TModelo[[#This Row],[Period]])</f>
        <v>0.33588729253531469</v>
      </c>
      <c r="AD167" s="42">
        <f>TModelo[[#This Row],[NetCF]]*TModelo[[#This Row],[fd]]</f>
        <v>0</v>
      </c>
    </row>
    <row r="168" spans="2:30" ht="16.95" customHeight="1">
      <c r="B168" s="11">
        <v>141</v>
      </c>
      <c r="C168" s="25">
        <f>EDATE(FechaInicio,TModelo[[#This Row],[Period]])</f>
        <v>50585</v>
      </c>
      <c r="D168" s="11">
        <f>IF(AND(TModelo[[#This Row],[Period]]&gt;=1,TModelo[[#This Row],[Period]]&lt;=HorizonteMeses),1,0)</f>
        <v>0</v>
      </c>
      <c r="E168" s="40">
        <f>TModelo[[#This Row],[Act]]*(INFb+(INFpi0-INFb)*(1-INFa)^TModelo[[#This Row],[Period]])</f>
        <v>0</v>
      </c>
      <c r="F168" s="28">
        <f>IF(TModelo[[#This Row],[Period]]&lt;=HorizonteMeses,F167*(1+TModelo[[#This Row],[InflMes]]),0)</f>
        <v>0</v>
      </c>
      <c r="G168" s="21">
        <f>TModelo[[#This Row],[Act]]*(CDTb+(CDTx0-CDTb)*(1-CDTa)^TModelo[[#This Row],[Period]]+CDTspread)</f>
        <v>0</v>
      </c>
      <c r="H168" s="40">
        <f>TModelo[[#This Row],[Act]]*((1+TModelo[[#This Row],[TasaCDT]])^(1/12)-1)*(1-Retencion)</f>
        <v>0</v>
      </c>
      <c r="I168" s="40">
        <f>TModelo[[#This Row],[Act]]*(EXP(MuCOLCAP+SigmaCOLCAP^2/2)-1)</f>
        <v>0</v>
      </c>
      <c r="J168" s="40">
        <f>TModelo[[#This Row],[Act]]*(EXP(MuTRM+SigmaTRM^2/2)-1)</f>
        <v>0</v>
      </c>
      <c r="K168" s="11">
        <f>TModelo[[#This Row],[Act]]*IF(Rebalanceo="Mensual",1,IF(Rebalanceo="Anual",IF(MOD(TModelo[[#This Row],[Period]]-1,12)=0,1,0),0))</f>
        <v>0</v>
      </c>
      <c r="L168" s="24">
        <f>TModelo[[#This Row],[Act]]*AporteMensual*IF(CrecimientoAporte="Con IPC",F167,1)</f>
        <v>0</v>
      </c>
      <c r="M168" s="24">
        <f>IF(TModelo[[#This Row],[Period]]=HorizonteMeses,TModelo[[#This Row],[TotalPreLiq]],0)</f>
        <v>0</v>
      </c>
      <c r="N168" s="24">
        <f>TModelo[[#This Row],[Inflow]]-TModelo[[#This Row],[Outflow]]</f>
        <v>0</v>
      </c>
      <c r="O168" s="24">
        <f t="shared" si="2"/>
        <v>0</v>
      </c>
      <c r="P168" s="24">
        <f>TModelo[[#This Row],[IntCDT]]+TModelo[[#This Row],[IntCOLCAP]]+TModelo[[#This Row],[IntUSD]]</f>
        <v>0</v>
      </c>
      <c r="Q168" s="24">
        <f>TModelo[[#This Row],[InitialBalance]]+TModelo[[#This Row],[Interest]]+TModelo[[#This Row],[Outflow]]-TModelo[[#This Row],[Inflow]]</f>
        <v>0</v>
      </c>
      <c r="R168" s="24">
        <f>TModelo[[#This Row],[Act]]*IF(TModelo[[#This Row],[Rebal]]=1,PesoCDT*(X167+Y167+Z167),X167)</f>
        <v>0</v>
      </c>
      <c r="S168" s="24">
        <f>TModelo[[#This Row],[Act]]*IF(TModelo[[#This Row],[Rebal]]=1,PesoCOLCAP*(X167+Y167+Z167),Y167)</f>
        <v>0</v>
      </c>
      <c r="T168" s="24">
        <f>TModelo[[#This Row],[Act]]*IF(TModelo[[#This Row],[Rebal]]=1,PesoUSD*(X167+Y167+Z167),Z167)</f>
        <v>0</v>
      </c>
      <c r="U168" s="24">
        <f>TModelo[[#This Row],[IniCDT]]*TModelo[[#This Row],[RetCDT]]</f>
        <v>0</v>
      </c>
      <c r="V168" s="24">
        <f>TModelo[[#This Row],[IniCOLCAP]]*TModelo[[#This Row],[RetCOLCAP]]</f>
        <v>0</v>
      </c>
      <c r="W168" s="24">
        <f>TModelo[[#This Row],[IniUSD]]*TModelo[[#This Row],[RetUSD]]</f>
        <v>0</v>
      </c>
      <c r="X168" s="24">
        <f>TModelo[[#This Row],[Act]]*(TModelo[[#This Row],[IniCDT]]+TModelo[[#This Row],[IntCDT]]+PesoCDT*TModelo[[#This Row],[Outflow]])</f>
        <v>0</v>
      </c>
      <c r="Y168" s="24">
        <f>TModelo[[#This Row],[Act]]*(TModelo[[#This Row],[IniCOLCAP]]+TModelo[[#This Row],[IntCOLCAP]]+PesoCOLCAP*TModelo[[#This Row],[Outflow]])</f>
        <v>0</v>
      </c>
      <c r="Z168" s="24">
        <f>TModelo[[#This Row],[Act]]*(TModelo[[#This Row],[IniUSD]]+TModelo[[#This Row],[IntUSD]]+PesoUSD*TModelo[[#This Row],[Outflow]])</f>
        <v>0</v>
      </c>
      <c r="AA168" s="24">
        <f>TModelo[[#This Row],[BalCDT]]+TModelo[[#This Row],[BalCOLCAP]]+TModelo[[#This Row],[BalUSD]]</f>
        <v>0</v>
      </c>
      <c r="AB168" s="24">
        <f>IF(TModelo[[#This Row],[CumInfl]]&gt;0,TModelo[[#This Row],[TotalPreLiq]]/TModelo[[#This Row],[CumInfl]],0)</f>
        <v>0</v>
      </c>
      <c r="AC168" s="41">
        <f>(1+PerRate)^(-TModelo[[#This Row],[Period]])</f>
        <v>0.33327999192313545</v>
      </c>
      <c r="AD168" s="42">
        <f>TModelo[[#This Row],[NetCF]]*TModelo[[#This Row],[fd]]</f>
        <v>0</v>
      </c>
    </row>
    <row r="169" spans="2:30" ht="16.95" customHeight="1">
      <c r="B169" s="11">
        <v>142</v>
      </c>
      <c r="C169" s="25">
        <f>EDATE(FechaInicio,TModelo[[#This Row],[Period]])</f>
        <v>50615</v>
      </c>
      <c r="D169" s="11">
        <f>IF(AND(TModelo[[#This Row],[Period]]&gt;=1,TModelo[[#This Row],[Period]]&lt;=HorizonteMeses),1,0)</f>
        <v>0</v>
      </c>
      <c r="E169" s="40">
        <f>TModelo[[#This Row],[Act]]*(INFb+(INFpi0-INFb)*(1-INFa)^TModelo[[#This Row],[Period]])</f>
        <v>0</v>
      </c>
      <c r="F169" s="28">
        <f>IF(TModelo[[#This Row],[Period]]&lt;=HorizonteMeses,F168*(1+TModelo[[#This Row],[InflMes]]),0)</f>
        <v>0</v>
      </c>
      <c r="G169" s="21">
        <f>TModelo[[#This Row],[Act]]*(CDTb+(CDTx0-CDTb)*(1-CDTa)^TModelo[[#This Row],[Period]]+CDTspread)</f>
        <v>0</v>
      </c>
      <c r="H169" s="40">
        <f>TModelo[[#This Row],[Act]]*((1+TModelo[[#This Row],[TasaCDT]])^(1/12)-1)*(1-Retencion)</f>
        <v>0</v>
      </c>
      <c r="I169" s="40">
        <f>TModelo[[#This Row],[Act]]*(EXP(MuCOLCAP+SigmaCOLCAP^2/2)-1)</f>
        <v>0</v>
      </c>
      <c r="J169" s="40">
        <f>TModelo[[#This Row],[Act]]*(EXP(MuTRM+SigmaTRM^2/2)-1)</f>
        <v>0</v>
      </c>
      <c r="K169" s="11">
        <f>TModelo[[#This Row],[Act]]*IF(Rebalanceo="Mensual",1,IF(Rebalanceo="Anual",IF(MOD(TModelo[[#This Row],[Period]]-1,12)=0,1,0),0))</f>
        <v>0</v>
      </c>
      <c r="L169" s="24">
        <f>TModelo[[#This Row],[Act]]*AporteMensual*IF(CrecimientoAporte="Con IPC",F168,1)</f>
        <v>0</v>
      </c>
      <c r="M169" s="24">
        <f>IF(TModelo[[#This Row],[Period]]=HorizonteMeses,TModelo[[#This Row],[TotalPreLiq]],0)</f>
        <v>0</v>
      </c>
      <c r="N169" s="24">
        <f>TModelo[[#This Row],[Inflow]]-TModelo[[#This Row],[Outflow]]</f>
        <v>0</v>
      </c>
      <c r="O169" s="24">
        <f t="shared" si="2"/>
        <v>0</v>
      </c>
      <c r="P169" s="24">
        <f>TModelo[[#This Row],[IntCDT]]+TModelo[[#This Row],[IntCOLCAP]]+TModelo[[#This Row],[IntUSD]]</f>
        <v>0</v>
      </c>
      <c r="Q169" s="24">
        <f>TModelo[[#This Row],[InitialBalance]]+TModelo[[#This Row],[Interest]]+TModelo[[#This Row],[Outflow]]-TModelo[[#This Row],[Inflow]]</f>
        <v>0</v>
      </c>
      <c r="R169" s="24">
        <f>TModelo[[#This Row],[Act]]*IF(TModelo[[#This Row],[Rebal]]=1,PesoCDT*(X168+Y168+Z168),X168)</f>
        <v>0</v>
      </c>
      <c r="S169" s="24">
        <f>TModelo[[#This Row],[Act]]*IF(TModelo[[#This Row],[Rebal]]=1,PesoCOLCAP*(X168+Y168+Z168),Y168)</f>
        <v>0</v>
      </c>
      <c r="T169" s="24">
        <f>TModelo[[#This Row],[Act]]*IF(TModelo[[#This Row],[Rebal]]=1,PesoUSD*(X168+Y168+Z168),Z168)</f>
        <v>0</v>
      </c>
      <c r="U169" s="24">
        <f>TModelo[[#This Row],[IniCDT]]*TModelo[[#This Row],[RetCDT]]</f>
        <v>0</v>
      </c>
      <c r="V169" s="24">
        <f>TModelo[[#This Row],[IniCOLCAP]]*TModelo[[#This Row],[RetCOLCAP]]</f>
        <v>0</v>
      </c>
      <c r="W169" s="24">
        <f>TModelo[[#This Row],[IniUSD]]*TModelo[[#This Row],[RetUSD]]</f>
        <v>0</v>
      </c>
      <c r="X169" s="24">
        <f>TModelo[[#This Row],[Act]]*(TModelo[[#This Row],[IniCDT]]+TModelo[[#This Row],[IntCDT]]+PesoCDT*TModelo[[#This Row],[Outflow]])</f>
        <v>0</v>
      </c>
      <c r="Y169" s="24">
        <f>TModelo[[#This Row],[Act]]*(TModelo[[#This Row],[IniCOLCAP]]+TModelo[[#This Row],[IntCOLCAP]]+PesoCOLCAP*TModelo[[#This Row],[Outflow]])</f>
        <v>0</v>
      </c>
      <c r="Z169" s="24">
        <f>TModelo[[#This Row],[Act]]*(TModelo[[#This Row],[IniUSD]]+TModelo[[#This Row],[IntUSD]]+PesoUSD*TModelo[[#This Row],[Outflow]])</f>
        <v>0</v>
      </c>
      <c r="AA169" s="24">
        <f>TModelo[[#This Row],[BalCDT]]+TModelo[[#This Row],[BalCOLCAP]]+TModelo[[#This Row],[BalUSD]]</f>
        <v>0</v>
      </c>
      <c r="AB169" s="24">
        <f>IF(TModelo[[#This Row],[CumInfl]]&gt;0,TModelo[[#This Row],[TotalPreLiq]]/TModelo[[#This Row],[CumInfl]],0)</f>
        <v>0</v>
      </c>
      <c r="AC169" s="41">
        <f>(1+PerRate)^(-TModelo[[#This Row],[Period]])</f>
        <v>0.33069293029180902</v>
      </c>
      <c r="AD169" s="42">
        <f>TModelo[[#This Row],[NetCF]]*TModelo[[#This Row],[fd]]</f>
        <v>0</v>
      </c>
    </row>
    <row r="170" spans="2:30" ht="16.95" customHeight="1">
      <c r="B170" s="11">
        <v>143</v>
      </c>
      <c r="C170" s="25">
        <f>EDATE(FechaInicio,TModelo[[#This Row],[Period]])</f>
        <v>50646</v>
      </c>
      <c r="D170" s="11">
        <f>IF(AND(TModelo[[#This Row],[Period]]&gt;=1,TModelo[[#This Row],[Period]]&lt;=HorizonteMeses),1,0)</f>
        <v>0</v>
      </c>
      <c r="E170" s="40">
        <f>TModelo[[#This Row],[Act]]*(INFb+(INFpi0-INFb)*(1-INFa)^TModelo[[#This Row],[Period]])</f>
        <v>0</v>
      </c>
      <c r="F170" s="28">
        <f>IF(TModelo[[#This Row],[Period]]&lt;=HorizonteMeses,F169*(1+TModelo[[#This Row],[InflMes]]),0)</f>
        <v>0</v>
      </c>
      <c r="G170" s="21">
        <f>TModelo[[#This Row],[Act]]*(CDTb+(CDTx0-CDTb)*(1-CDTa)^TModelo[[#This Row],[Period]]+CDTspread)</f>
        <v>0</v>
      </c>
      <c r="H170" s="40">
        <f>TModelo[[#This Row],[Act]]*((1+TModelo[[#This Row],[TasaCDT]])^(1/12)-1)*(1-Retencion)</f>
        <v>0</v>
      </c>
      <c r="I170" s="40">
        <f>TModelo[[#This Row],[Act]]*(EXP(MuCOLCAP+SigmaCOLCAP^2/2)-1)</f>
        <v>0</v>
      </c>
      <c r="J170" s="40">
        <f>TModelo[[#This Row],[Act]]*(EXP(MuTRM+SigmaTRM^2/2)-1)</f>
        <v>0</v>
      </c>
      <c r="K170" s="11">
        <f>TModelo[[#This Row],[Act]]*IF(Rebalanceo="Mensual",1,IF(Rebalanceo="Anual",IF(MOD(TModelo[[#This Row],[Period]]-1,12)=0,1,0),0))</f>
        <v>0</v>
      </c>
      <c r="L170" s="24">
        <f>TModelo[[#This Row],[Act]]*AporteMensual*IF(CrecimientoAporte="Con IPC",F169,1)</f>
        <v>0</v>
      </c>
      <c r="M170" s="24">
        <f>IF(TModelo[[#This Row],[Period]]=HorizonteMeses,TModelo[[#This Row],[TotalPreLiq]],0)</f>
        <v>0</v>
      </c>
      <c r="N170" s="24">
        <f>TModelo[[#This Row],[Inflow]]-TModelo[[#This Row],[Outflow]]</f>
        <v>0</v>
      </c>
      <c r="O170" s="24">
        <f t="shared" si="2"/>
        <v>0</v>
      </c>
      <c r="P170" s="24">
        <f>TModelo[[#This Row],[IntCDT]]+TModelo[[#This Row],[IntCOLCAP]]+TModelo[[#This Row],[IntUSD]]</f>
        <v>0</v>
      </c>
      <c r="Q170" s="24">
        <f>TModelo[[#This Row],[InitialBalance]]+TModelo[[#This Row],[Interest]]+TModelo[[#This Row],[Outflow]]-TModelo[[#This Row],[Inflow]]</f>
        <v>0</v>
      </c>
      <c r="R170" s="24">
        <f>TModelo[[#This Row],[Act]]*IF(TModelo[[#This Row],[Rebal]]=1,PesoCDT*(X169+Y169+Z169),X169)</f>
        <v>0</v>
      </c>
      <c r="S170" s="24">
        <f>TModelo[[#This Row],[Act]]*IF(TModelo[[#This Row],[Rebal]]=1,PesoCOLCAP*(X169+Y169+Z169),Y169)</f>
        <v>0</v>
      </c>
      <c r="T170" s="24">
        <f>TModelo[[#This Row],[Act]]*IF(TModelo[[#This Row],[Rebal]]=1,PesoUSD*(X169+Y169+Z169),Z169)</f>
        <v>0</v>
      </c>
      <c r="U170" s="24">
        <f>TModelo[[#This Row],[IniCDT]]*TModelo[[#This Row],[RetCDT]]</f>
        <v>0</v>
      </c>
      <c r="V170" s="24">
        <f>TModelo[[#This Row],[IniCOLCAP]]*TModelo[[#This Row],[RetCOLCAP]]</f>
        <v>0</v>
      </c>
      <c r="W170" s="24">
        <f>TModelo[[#This Row],[IniUSD]]*TModelo[[#This Row],[RetUSD]]</f>
        <v>0</v>
      </c>
      <c r="X170" s="24">
        <f>TModelo[[#This Row],[Act]]*(TModelo[[#This Row],[IniCDT]]+TModelo[[#This Row],[IntCDT]]+PesoCDT*TModelo[[#This Row],[Outflow]])</f>
        <v>0</v>
      </c>
      <c r="Y170" s="24">
        <f>TModelo[[#This Row],[Act]]*(TModelo[[#This Row],[IniCOLCAP]]+TModelo[[#This Row],[IntCOLCAP]]+PesoCOLCAP*TModelo[[#This Row],[Outflow]])</f>
        <v>0</v>
      </c>
      <c r="Z170" s="24">
        <f>TModelo[[#This Row],[Act]]*(TModelo[[#This Row],[IniUSD]]+TModelo[[#This Row],[IntUSD]]+PesoUSD*TModelo[[#This Row],[Outflow]])</f>
        <v>0</v>
      </c>
      <c r="AA170" s="24">
        <f>TModelo[[#This Row],[BalCDT]]+TModelo[[#This Row],[BalCOLCAP]]+TModelo[[#This Row],[BalUSD]]</f>
        <v>0</v>
      </c>
      <c r="AB170" s="24">
        <f>IF(TModelo[[#This Row],[CumInfl]]&gt;0,TModelo[[#This Row],[TotalPreLiq]]/TModelo[[#This Row],[CumInfl]],0)</f>
        <v>0</v>
      </c>
      <c r="AC170" s="41">
        <f>(1+PerRate)^(-TModelo[[#This Row],[Period]])</f>
        <v>0.32812595053772226</v>
      </c>
      <c r="AD170" s="42">
        <f>TModelo[[#This Row],[NetCF]]*TModelo[[#This Row],[fd]]</f>
        <v>0</v>
      </c>
    </row>
    <row r="171" spans="2:30" ht="16.95" customHeight="1">
      <c r="B171" s="11">
        <v>144</v>
      </c>
      <c r="C171" s="25">
        <f>EDATE(FechaInicio,TModelo[[#This Row],[Period]])</f>
        <v>50677</v>
      </c>
      <c r="D171" s="11">
        <f>IF(AND(TModelo[[#This Row],[Period]]&gt;=1,TModelo[[#This Row],[Period]]&lt;=HorizonteMeses),1,0)</f>
        <v>0</v>
      </c>
      <c r="E171" s="40">
        <f>TModelo[[#This Row],[Act]]*(INFb+(INFpi0-INFb)*(1-INFa)^TModelo[[#This Row],[Period]])</f>
        <v>0</v>
      </c>
      <c r="F171" s="28">
        <f>IF(TModelo[[#This Row],[Period]]&lt;=HorizonteMeses,F170*(1+TModelo[[#This Row],[InflMes]]),0)</f>
        <v>0</v>
      </c>
      <c r="G171" s="21">
        <f>TModelo[[#This Row],[Act]]*(CDTb+(CDTx0-CDTb)*(1-CDTa)^TModelo[[#This Row],[Period]]+CDTspread)</f>
        <v>0</v>
      </c>
      <c r="H171" s="40">
        <f>TModelo[[#This Row],[Act]]*((1+TModelo[[#This Row],[TasaCDT]])^(1/12)-1)*(1-Retencion)</f>
        <v>0</v>
      </c>
      <c r="I171" s="40">
        <f>TModelo[[#This Row],[Act]]*(EXP(MuCOLCAP+SigmaCOLCAP^2/2)-1)</f>
        <v>0</v>
      </c>
      <c r="J171" s="40">
        <f>TModelo[[#This Row],[Act]]*(EXP(MuTRM+SigmaTRM^2/2)-1)</f>
        <v>0</v>
      </c>
      <c r="K171" s="11">
        <f>TModelo[[#This Row],[Act]]*IF(Rebalanceo="Mensual",1,IF(Rebalanceo="Anual",IF(MOD(TModelo[[#This Row],[Period]]-1,12)=0,1,0),0))</f>
        <v>0</v>
      </c>
      <c r="L171" s="24">
        <f>TModelo[[#This Row],[Act]]*AporteMensual*IF(CrecimientoAporte="Con IPC",F170,1)</f>
        <v>0</v>
      </c>
      <c r="M171" s="24">
        <f>IF(TModelo[[#This Row],[Period]]=HorizonteMeses,TModelo[[#This Row],[TotalPreLiq]],0)</f>
        <v>0</v>
      </c>
      <c r="N171" s="24">
        <f>TModelo[[#This Row],[Inflow]]-TModelo[[#This Row],[Outflow]]</f>
        <v>0</v>
      </c>
      <c r="O171" s="24">
        <f t="shared" si="2"/>
        <v>0</v>
      </c>
      <c r="P171" s="24">
        <f>TModelo[[#This Row],[IntCDT]]+TModelo[[#This Row],[IntCOLCAP]]+TModelo[[#This Row],[IntUSD]]</f>
        <v>0</v>
      </c>
      <c r="Q171" s="24">
        <f>TModelo[[#This Row],[InitialBalance]]+TModelo[[#This Row],[Interest]]+TModelo[[#This Row],[Outflow]]-TModelo[[#This Row],[Inflow]]</f>
        <v>0</v>
      </c>
      <c r="R171" s="24">
        <f>TModelo[[#This Row],[Act]]*IF(TModelo[[#This Row],[Rebal]]=1,PesoCDT*(X170+Y170+Z170),X170)</f>
        <v>0</v>
      </c>
      <c r="S171" s="24">
        <f>TModelo[[#This Row],[Act]]*IF(TModelo[[#This Row],[Rebal]]=1,PesoCOLCAP*(X170+Y170+Z170),Y170)</f>
        <v>0</v>
      </c>
      <c r="T171" s="24">
        <f>TModelo[[#This Row],[Act]]*IF(TModelo[[#This Row],[Rebal]]=1,PesoUSD*(X170+Y170+Z170),Z170)</f>
        <v>0</v>
      </c>
      <c r="U171" s="24">
        <f>TModelo[[#This Row],[IniCDT]]*TModelo[[#This Row],[RetCDT]]</f>
        <v>0</v>
      </c>
      <c r="V171" s="24">
        <f>TModelo[[#This Row],[IniCOLCAP]]*TModelo[[#This Row],[RetCOLCAP]]</f>
        <v>0</v>
      </c>
      <c r="W171" s="24">
        <f>TModelo[[#This Row],[IniUSD]]*TModelo[[#This Row],[RetUSD]]</f>
        <v>0</v>
      </c>
      <c r="X171" s="24">
        <f>TModelo[[#This Row],[Act]]*(TModelo[[#This Row],[IniCDT]]+TModelo[[#This Row],[IntCDT]]+PesoCDT*TModelo[[#This Row],[Outflow]])</f>
        <v>0</v>
      </c>
      <c r="Y171" s="24">
        <f>TModelo[[#This Row],[Act]]*(TModelo[[#This Row],[IniCOLCAP]]+TModelo[[#This Row],[IntCOLCAP]]+PesoCOLCAP*TModelo[[#This Row],[Outflow]])</f>
        <v>0</v>
      </c>
      <c r="Z171" s="24">
        <f>TModelo[[#This Row],[Act]]*(TModelo[[#This Row],[IniUSD]]+TModelo[[#This Row],[IntUSD]]+PesoUSD*TModelo[[#This Row],[Outflow]])</f>
        <v>0</v>
      </c>
      <c r="AA171" s="24">
        <f>TModelo[[#This Row],[BalCDT]]+TModelo[[#This Row],[BalCOLCAP]]+TModelo[[#This Row],[BalUSD]]</f>
        <v>0</v>
      </c>
      <c r="AB171" s="24">
        <f>IF(TModelo[[#This Row],[CumInfl]]&gt;0,TModelo[[#This Row],[TotalPreLiq]]/TModelo[[#This Row],[CumInfl]],0)</f>
        <v>0</v>
      </c>
      <c r="AC171" s="41">
        <f>(1+PerRate)^(-TModelo[[#This Row],[Period]])</f>
        <v>0.32557889677676782</v>
      </c>
      <c r="AD171" s="42">
        <f>TModelo[[#This Row],[NetCF]]*TModelo[[#This Row],[fd]]</f>
        <v>0</v>
      </c>
    </row>
    <row r="172" spans="2:30" ht="16.95" customHeight="1">
      <c r="B172" s="11">
        <v>145</v>
      </c>
      <c r="C172" s="25">
        <f>EDATE(FechaInicio,TModelo[[#This Row],[Period]])</f>
        <v>50707</v>
      </c>
      <c r="D172" s="11">
        <f>IF(AND(TModelo[[#This Row],[Period]]&gt;=1,TModelo[[#This Row],[Period]]&lt;=HorizonteMeses),1,0)</f>
        <v>0</v>
      </c>
      <c r="E172" s="40">
        <f>TModelo[[#This Row],[Act]]*(INFb+(INFpi0-INFb)*(1-INFa)^TModelo[[#This Row],[Period]])</f>
        <v>0</v>
      </c>
      <c r="F172" s="28">
        <f>IF(TModelo[[#This Row],[Period]]&lt;=HorizonteMeses,F171*(1+TModelo[[#This Row],[InflMes]]),0)</f>
        <v>0</v>
      </c>
      <c r="G172" s="21">
        <f>TModelo[[#This Row],[Act]]*(CDTb+(CDTx0-CDTb)*(1-CDTa)^TModelo[[#This Row],[Period]]+CDTspread)</f>
        <v>0</v>
      </c>
      <c r="H172" s="40">
        <f>TModelo[[#This Row],[Act]]*((1+TModelo[[#This Row],[TasaCDT]])^(1/12)-1)*(1-Retencion)</f>
        <v>0</v>
      </c>
      <c r="I172" s="40">
        <f>TModelo[[#This Row],[Act]]*(EXP(MuCOLCAP+SigmaCOLCAP^2/2)-1)</f>
        <v>0</v>
      </c>
      <c r="J172" s="40">
        <f>TModelo[[#This Row],[Act]]*(EXP(MuTRM+SigmaTRM^2/2)-1)</f>
        <v>0</v>
      </c>
      <c r="K172" s="11">
        <f>TModelo[[#This Row],[Act]]*IF(Rebalanceo="Mensual",1,IF(Rebalanceo="Anual",IF(MOD(TModelo[[#This Row],[Period]]-1,12)=0,1,0),0))</f>
        <v>0</v>
      </c>
      <c r="L172" s="24">
        <f>TModelo[[#This Row],[Act]]*AporteMensual*IF(CrecimientoAporte="Con IPC",F171,1)</f>
        <v>0</v>
      </c>
      <c r="M172" s="24">
        <f>IF(TModelo[[#This Row],[Period]]=HorizonteMeses,TModelo[[#This Row],[TotalPreLiq]],0)</f>
        <v>0</v>
      </c>
      <c r="N172" s="24">
        <f>TModelo[[#This Row],[Inflow]]-TModelo[[#This Row],[Outflow]]</f>
        <v>0</v>
      </c>
      <c r="O172" s="24">
        <f t="shared" si="2"/>
        <v>0</v>
      </c>
      <c r="P172" s="24">
        <f>TModelo[[#This Row],[IntCDT]]+TModelo[[#This Row],[IntCOLCAP]]+TModelo[[#This Row],[IntUSD]]</f>
        <v>0</v>
      </c>
      <c r="Q172" s="24">
        <f>TModelo[[#This Row],[InitialBalance]]+TModelo[[#This Row],[Interest]]+TModelo[[#This Row],[Outflow]]-TModelo[[#This Row],[Inflow]]</f>
        <v>0</v>
      </c>
      <c r="R172" s="24">
        <f>TModelo[[#This Row],[Act]]*IF(TModelo[[#This Row],[Rebal]]=1,PesoCDT*(X171+Y171+Z171),X171)</f>
        <v>0</v>
      </c>
      <c r="S172" s="24">
        <f>TModelo[[#This Row],[Act]]*IF(TModelo[[#This Row],[Rebal]]=1,PesoCOLCAP*(X171+Y171+Z171),Y171)</f>
        <v>0</v>
      </c>
      <c r="T172" s="24">
        <f>TModelo[[#This Row],[Act]]*IF(TModelo[[#This Row],[Rebal]]=1,PesoUSD*(X171+Y171+Z171),Z171)</f>
        <v>0</v>
      </c>
      <c r="U172" s="24">
        <f>TModelo[[#This Row],[IniCDT]]*TModelo[[#This Row],[RetCDT]]</f>
        <v>0</v>
      </c>
      <c r="V172" s="24">
        <f>TModelo[[#This Row],[IniCOLCAP]]*TModelo[[#This Row],[RetCOLCAP]]</f>
        <v>0</v>
      </c>
      <c r="W172" s="24">
        <f>TModelo[[#This Row],[IniUSD]]*TModelo[[#This Row],[RetUSD]]</f>
        <v>0</v>
      </c>
      <c r="X172" s="24">
        <f>TModelo[[#This Row],[Act]]*(TModelo[[#This Row],[IniCDT]]+TModelo[[#This Row],[IntCDT]]+PesoCDT*TModelo[[#This Row],[Outflow]])</f>
        <v>0</v>
      </c>
      <c r="Y172" s="24">
        <f>TModelo[[#This Row],[Act]]*(TModelo[[#This Row],[IniCOLCAP]]+TModelo[[#This Row],[IntCOLCAP]]+PesoCOLCAP*TModelo[[#This Row],[Outflow]])</f>
        <v>0</v>
      </c>
      <c r="Z172" s="24">
        <f>TModelo[[#This Row],[Act]]*(TModelo[[#This Row],[IniUSD]]+TModelo[[#This Row],[IntUSD]]+PesoUSD*TModelo[[#This Row],[Outflow]])</f>
        <v>0</v>
      </c>
      <c r="AA172" s="24">
        <f>TModelo[[#This Row],[BalCDT]]+TModelo[[#This Row],[BalCOLCAP]]+TModelo[[#This Row],[BalUSD]]</f>
        <v>0</v>
      </c>
      <c r="AB172" s="24">
        <f>IF(TModelo[[#This Row],[CumInfl]]&gt;0,TModelo[[#This Row],[TotalPreLiq]]/TModelo[[#This Row],[CumInfl]],0)</f>
        <v>0</v>
      </c>
      <c r="AC172" s="41">
        <f>(1+PerRate)^(-TModelo[[#This Row],[Period]])</f>
        <v>0.32305161433487717</v>
      </c>
      <c r="AD172" s="42">
        <f>TModelo[[#This Row],[NetCF]]*TModelo[[#This Row],[fd]]</f>
        <v>0</v>
      </c>
    </row>
    <row r="173" spans="2:30" ht="16.95" customHeight="1">
      <c r="B173" s="11">
        <v>146</v>
      </c>
      <c r="C173" s="25">
        <f>EDATE(FechaInicio,TModelo[[#This Row],[Period]])</f>
        <v>50738</v>
      </c>
      <c r="D173" s="11">
        <f>IF(AND(TModelo[[#This Row],[Period]]&gt;=1,TModelo[[#This Row],[Period]]&lt;=HorizonteMeses),1,0)</f>
        <v>0</v>
      </c>
      <c r="E173" s="40">
        <f>TModelo[[#This Row],[Act]]*(INFb+(INFpi0-INFb)*(1-INFa)^TModelo[[#This Row],[Period]])</f>
        <v>0</v>
      </c>
      <c r="F173" s="28">
        <f>IF(TModelo[[#This Row],[Period]]&lt;=HorizonteMeses,F172*(1+TModelo[[#This Row],[InflMes]]),0)</f>
        <v>0</v>
      </c>
      <c r="G173" s="21">
        <f>TModelo[[#This Row],[Act]]*(CDTb+(CDTx0-CDTb)*(1-CDTa)^TModelo[[#This Row],[Period]]+CDTspread)</f>
        <v>0</v>
      </c>
      <c r="H173" s="40">
        <f>TModelo[[#This Row],[Act]]*((1+TModelo[[#This Row],[TasaCDT]])^(1/12)-1)*(1-Retencion)</f>
        <v>0</v>
      </c>
      <c r="I173" s="40">
        <f>TModelo[[#This Row],[Act]]*(EXP(MuCOLCAP+SigmaCOLCAP^2/2)-1)</f>
        <v>0</v>
      </c>
      <c r="J173" s="40">
        <f>TModelo[[#This Row],[Act]]*(EXP(MuTRM+SigmaTRM^2/2)-1)</f>
        <v>0</v>
      </c>
      <c r="K173" s="11">
        <f>TModelo[[#This Row],[Act]]*IF(Rebalanceo="Mensual",1,IF(Rebalanceo="Anual",IF(MOD(TModelo[[#This Row],[Period]]-1,12)=0,1,0),0))</f>
        <v>0</v>
      </c>
      <c r="L173" s="24">
        <f>TModelo[[#This Row],[Act]]*AporteMensual*IF(CrecimientoAporte="Con IPC",F172,1)</f>
        <v>0</v>
      </c>
      <c r="M173" s="24">
        <f>IF(TModelo[[#This Row],[Period]]=HorizonteMeses,TModelo[[#This Row],[TotalPreLiq]],0)</f>
        <v>0</v>
      </c>
      <c r="N173" s="24">
        <f>TModelo[[#This Row],[Inflow]]-TModelo[[#This Row],[Outflow]]</f>
        <v>0</v>
      </c>
      <c r="O173" s="24">
        <f t="shared" si="2"/>
        <v>0</v>
      </c>
      <c r="P173" s="24">
        <f>TModelo[[#This Row],[IntCDT]]+TModelo[[#This Row],[IntCOLCAP]]+TModelo[[#This Row],[IntUSD]]</f>
        <v>0</v>
      </c>
      <c r="Q173" s="24">
        <f>TModelo[[#This Row],[InitialBalance]]+TModelo[[#This Row],[Interest]]+TModelo[[#This Row],[Outflow]]-TModelo[[#This Row],[Inflow]]</f>
        <v>0</v>
      </c>
      <c r="R173" s="24">
        <f>TModelo[[#This Row],[Act]]*IF(TModelo[[#This Row],[Rebal]]=1,PesoCDT*(X172+Y172+Z172),X172)</f>
        <v>0</v>
      </c>
      <c r="S173" s="24">
        <f>TModelo[[#This Row],[Act]]*IF(TModelo[[#This Row],[Rebal]]=1,PesoCOLCAP*(X172+Y172+Z172),Y172)</f>
        <v>0</v>
      </c>
      <c r="T173" s="24">
        <f>TModelo[[#This Row],[Act]]*IF(TModelo[[#This Row],[Rebal]]=1,PesoUSD*(X172+Y172+Z172),Z172)</f>
        <v>0</v>
      </c>
      <c r="U173" s="24">
        <f>TModelo[[#This Row],[IniCDT]]*TModelo[[#This Row],[RetCDT]]</f>
        <v>0</v>
      </c>
      <c r="V173" s="24">
        <f>TModelo[[#This Row],[IniCOLCAP]]*TModelo[[#This Row],[RetCOLCAP]]</f>
        <v>0</v>
      </c>
      <c r="W173" s="24">
        <f>TModelo[[#This Row],[IniUSD]]*TModelo[[#This Row],[RetUSD]]</f>
        <v>0</v>
      </c>
      <c r="X173" s="24">
        <f>TModelo[[#This Row],[Act]]*(TModelo[[#This Row],[IniCDT]]+TModelo[[#This Row],[IntCDT]]+PesoCDT*TModelo[[#This Row],[Outflow]])</f>
        <v>0</v>
      </c>
      <c r="Y173" s="24">
        <f>TModelo[[#This Row],[Act]]*(TModelo[[#This Row],[IniCOLCAP]]+TModelo[[#This Row],[IntCOLCAP]]+PesoCOLCAP*TModelo[[#This Row],[Outflow]])</f>
        <v>0</v>
      </c>
      <c r="Z173" s="24">
        <f>TModelo[[#This Row],[Act]]*(TModelo[[#This Row],[IniUSD]]+TModelo[[#This Row],[IntUSD]]+PesoUSD*TModelo[[#This Row],[Outflow]])</f>
        <v>0</v>
      </c>
      <c r="AA173" s="24">
        <f>TModelo[[#This Row],[BalCDT]]+TModelo[[#This Row],[BalCOLCAP]]+TModelo[[#This Row],[BalUSD]]</f>
        <v>0</v>
      </c>
      <c r="AB173" s="24">
        <f>IF(TModelo[[#This Row],[CumInfl]]&gt;0,TModelo[[#This Row],[TotalPreLiq]]/TModelo[[#This Row],[CumInfl]],0)</f>
        <v>0</v>
      </c>
      <c r="AC173" s="41">
        <f>(1+PerRate)^(-TModelo[[#This Row],[Period]])</f>
        <v>0.32054394973862804</v>
      </c>
      <c r="AD173" s="42">
        <f>TModelo[[#This Row],[NetCF]]*TModelo[[#This Row],[fd]]</f>
        <v>0</v>
      </c>
    </row>
    <row r="174" spans="2:30" ht="16.95" customHeight="1">
      <c r="B174" s="11">
        <v>147</v>
      </c>
      <c r="C174" s="25">
        <f>EDATE(FechaInicio,TModelo[[#This Row],[Period]])</f>
        <v>50768</v>
      </c>
      <c r="D174" s="11">
        <f>IF(AND(TModelo[[#This Row],[Period]]&gt;=1,TModelo[[#This Row],[Period]]&lt;=HorizonteMeses),1,0)</f>
        <v>0</v>
      </c>
      <c r="E174" s="40">
        <f>TModelo[[#This Row],[Act]]*(INFb+(INFpi0-INFb)*(1-INFa)^TModelo[[#This Row],[Period]])</f>
        <v>0</v>
      </c>
      <c r="F174" s="28">
        <f>IF(TModelo[[#This Row],[Period]]&lt;=HorizonteMeses,F173*(1+TModelo[[#This Row],[InflMes]]),0)</f>
        <v>0</v>
      </c>
      <c r="G174" s="21">
        <f>TModelo[[#This Row],[Act]]*(CDTb+(CDTx0-CDTb)*(1-CDTa)^TModelo[[#This Row],[Period]]+CDTspread)</f>
        <v>0</v>
      </c>
      <c r="H174" s="40">
        <f>TModelo[[#This Row],[Act]]*((1+TModelo[[#This Row],[TasaCDT]])^(1/12)-1)*(1-Retencion)</f>
        <v>0</v>
      </c>
      <c r="I174" s="40">
        <f>TModelo[[#This Row],[Act]]*(EXP(MuCOLCAP+SigmaCOLCAP^2/2)-1)</f>
        <v>0</v>
      </c>
      <c r="J174" s="40">
        <f>TModelo[[#This Row],[Act]]*(EXP(MuTRM+SigmaTRM^2/2)-1)</f>
        <v>0</v>
      </c>
      <c r="K174" s="11">
        <f>TModelo[[#This Row],[Act]]*IF(Rebalanceo="Mensual",1,IF(Rebalanceo="Anual",IF(MOD(TModelo[[#This Row],[Period]]-1,12)=0,1,0),0))</f>
        <v>0</v>
      </c>
      <c r="L174" s="24">
        <f>TModelo[[#This Row],[Act]]*AporteMensual*IF(CrecimientoAporte="Con IPC",F173,1)</f>
        <v>0</v>
      </c>
      <c r="M174" s="24">
        <f>IF(TModelo[[#This Row],[Period]]=HorizonteMeses,TModelo[[#This Row],[TotalPreLiq]],0)</f>
        <v>0</v>
      </c>
      <c r="N174" s="24">
        <f>TModelo[[#This Row],[Inflow]]-TModelo[[#This Row],[Outflow]]</f>
        <v>0</v>
      </c>
      <c r="O174" s="24">
        <f t="shared" si="2"/>
        <v>0</v>
      </c>
      <c r="P174" s="24">
        <f>TModelo[[#This Row],[IntCDT]]+TModelo[[#This Row],[IntCOLCAP]]+TModelo[[#This Row],[IntUSD]]</f>
        <v>0</v>
      </c>
      <c r="Q174" s="24">
        <f>TModelo[[#This Row],[InitialBalance]]+TModelo[[#This Row],[Interest]]+TModelo[[#This Row],[Outflow]]-TModelo[[#This Row],[Inflow]]</f>
        <v>0</v>
      </c>
      <c r="R174" s="24">
        <f>TModelo[[#This Row],[Act]]*IF(TModelo[[#This Row],[Rebal]]=1,PesoCDT*(X173+Y173+Z173),X173)</f>
        <v>0</v>
      </c>
      <c r="S174" s="24">
        <f>TModelo[[#This Row],[Act]]*IF(TModelo[[#This Row],[Rebal]]=1,PesoCOLCAP*(X173+Y173+Z173),Y173)</f>
        <v>0</v>
      </c>
      <c r="T174" s="24">
        <f>TModelo[[#This Row],[Act]]*IF(TModelo[[#This Row],[Rebal]]=1,PesoUSD*(X173+Y173+Z173),Z173)</f>
        <v>0</v>
      </c>
      <c r="U174" s="24">
        <f>TModelo[[#This Row],[IniCDT]]*TModelo[[#This Row],[RetCDT]]</f>
        <v>0</v>
      </c>
      <c r="V174" s="24">
        <f>TModelo[[#This Row],[IniCOLCAP]]*TModelo[[#This Row],[RetCOLCAP]]</f>
        <v>0</v>
      </c>
      <c r="W174" s="24">
        <f>TModelo[[#This Row],[IniUSD]]*TModelo[[#This Row],[RetUSD]]</f>
        <v>0</v>
      </c>
      <c r="X174" s="24">
        <f>TModelo[[#This Row],[Act]]*(TModelo[[#This Row],[IniCDT]]+TModelo[[#This Row],[IntCDT]]+PesoCDT*TModelo[[#This Row],[Outflow]])</f>
        <v>0</v>
      </c>
      <c r="Y174" s="24">
        <f>TModelo[[#This Row],[Act]]*(TModelo[[#This Row],[IniCOLCAP]]+TModelo[[#This Row],[IntCOLCAP]]+PesoCOLCAP*TModelo[[#This Row],[Outflow]])</f>
        <v>0</v>
      </c>
      <c r="Z174" s="24">
        <f>TModelo[[#This Row],[Act]]*(TModelo[[#This Row],[IniUSD]]+TModelo[[#This Row],[IntUSD]]+PesoUSD*TModelo[[#This Row],[Outflow]])</f>
        <v>0</v>
      </c>
      <c r="AA174" s="24">
        <f>TModelo[[#This Row],[BalCDT]]+TModelo[[#This Row],[BalCOLCAP]]+TModelo[[#This Row],[BalUSD]]</f>
        <v>0</v>
      </c>
      <c r="AB174" s="24">
        <f>IF(TModelo[[#This Row],[CumInfl]]&gt;0,TModelo[[#This Row],[TotalPreLiq]]/TModelo[[#This Row],[CumInfl]],0)</f>
        <v>0</v>
      </c>
      <c r="AC174" s="41">
        <f>(1+PerRate)^(-TModelo[[#This Row],[Period]])</f>
        <v>0.31805575070592423</v>
      </c>
      <c r="AD174" s="42">
        <f>TModelo[[#This Row],[NetCF]]*TModelo[[#This Row],[fd]]</f>
        <v>0</v>
      </c>
    </row>
    <row r="175" spans="2:30" ht="16.95" customHeight="1">
      <c r="B175" s="11">
        <v>148</v>
      </c>
      <c r="C175" s="25">
        <f>EDATE(FechaInicio,TModelo[[#This Row],[Period]])</f>
        <v>50799</v>
      </c>
      <c r="D175" s="11">
        <f>IF(AND(TModelo[[#This Row],[Period]]&gt;=1,TModelo[[#This Row],[Period]]&lt;=HorizonteMeses),1,0)</f>
        <v>0</v>
      </c>
      <c r="E175" s="40">
        <f>TModelo[[#This Row],[Act]]*(INFb+(INFpi0-INFb)*(1-INFa)^TModelo[[#This Row],[Period]])</f>
        <v>0</v>
      </c>
      <c r="F175" s="28">
        <f>IF(TModelo[[#This Row],[Period]]&lt;=HorizonteMeses,F174*(1+TModelo[[#This Row],[InflMes]]),0)</f>
        <v>0</v>
      </c>
      <c r="G175" s="21">
        <f>TModelo[[#This Row],[Act]]*(CDTb+(CDTx0-CDTb)*(1-CDTa)^TModelo[[#This Row],[Period]]+CDTspread)</f>
        <v>0</v>
      </c>
      <c r="H175" s="40">
        <f>TModelo[[#This Row],[Act]]*((1+TModelo[[#This Row],[TasaCDT]])^(1/12)-1)*(1-Retencion)</f>
        <v>0</v>
      </c>
      <c r="I175" s="40">
        <f>TModelo[[#This Row],[Act]]*(EXP(MuCOLCAP+SigmaCOLCAP^2/2)-1)</f>
        <v>0</v>
      </c>
      <c r="J175" s="40">
        <f>TModelo[[#This Row],[Act]]*(EXP(MuTRM+SigmaTRM^2/2)-1)</f>
        <v>0</v>
      </c>
      <c r="K175" s="11">
        <f>TModelo[[#This Row],[Act]]*IF(Rebalanceo="Mensual",1,IF(Rebalanceo="Anual",IF(MOD(TModelo[[#This Row],[Period]]-1,12)=0,1,0),0))</f>
        <v>0</v>
      </c>
      <c r="L175" s="24">
        <f>TModelo[[#This Row],[Act]]*AporteMensual*IF(CrecimientoAporte="Con IPC",F174,1)</f>
        <v>0</v>
      </c>
      <c r="M175" s="24">
        <f>IF(TModelo[[#This Row],[Period]]=HorizonteMeses,TModelo[[#This Row],[TotalPreLiq]],0)</f>
        <v>0</v>
      </c>
      <c r="N175" s="24">
        <f>TModelo[[#This Row],[Inflow]]-TModelo[[#This Row],[Outflow]]</f>
        <v>0</v>
      </c>
      <c r="O175" s="24">
        <f t="shared" si="2"/>
        <v>0</v>
      </c>
      <c r="P175" s="24">
        <f>TModelo[[#This Row],[IntCDT]]+TModelo[[#This Row],[IntCOLCAP]]+TModelo[[#This Row],[IntUSD]]</f>
        <v>0</v>
      </c>
      <c r="Q175" s="24">
        <f>TModelo[[#This Row],[InitialBalance]]+TModelo[[#This Row],[Interest]]+TModelo[[#This Row],[Outflow]]-TModelo[[#This Row],[Inflow]]</f>
        <v>0</v>
      </c>
      <c r="R175" s="24">
        <f>TModelo[[#This Row],[Act]]*IF(TModelo[[#This Row],[Rebal]]=1,PesoCDT*(X174+Y174+Z174),X174)</f>
        <v>0</v>
      </c>
      <c r="S175" s="24">
        <f>TModelo[[#This Row],[Act]]*IF(TModelo[[#This Row],[Rebal]]=1,PesoCOLCAP*(X174+Y174+Z174),Y174)</f>
        <v>0</v>
      </c>
      <c r="T175" s="24">
        <f>TModelo[[#This Row],[Act]]*IF(TModelo[[#This Row],[Rebal]]=1,PesoUSD*(X174+Y174+Z174),Z174)</f>
        <v>0</v>
      </c>
      <c r="U175" s="24">
        <f>TModelo[[#This Row],[IniCDT]]*TModelo[[#This Row],[RetCDT]]</f>
        <v>0</v>
      </c>
      <c r="V175" s="24">
        <f>TModelo[[#This Row],[IniCOLCAP]]*TModelo[[#This Row],[RetCOLCAP]]</f>
        <v>0</v>
      </c>
      <c r="W175" s="24">
        <f>TModelo[[#This Row],[IniUSD]]*TModelo[[#This Row],[RetUSD]]</f>
        <v>0</v>
      </c>
      <c r="X175" s="24">
        <f>TModelo[[#This Row],[Act]]*(TModelo[[#This Row],[IniCDT]]+TModelo[[#This Row],[IntCDT]]+PesoCDT*TModelo[[#This Row],[Outflow]])</f>
        <v>0</v>
      </c>
      <c r="Y175" s="24">
        <f>TModelo[[#This Row],[Act]]*(TModelo[[#This Row],[IniCOLCAP]]+TModelo[[#This Row],[IntCOLCAP]]+PesoCOLCAP*TModelo[[#This Row],[Outflow]])</f>
        <v>0</v>
      </c>
      <c r="Z175" s="24">
        <f>TModelo[[#This Row],[Act]]*(TModelo[[#This Row],[IniUSD]]+TModelo[[#This Row],[IntUSD]]+PesoUSD*TModelo[[#This Row],[Outflow]])</f>
        <v>0</v>
      </c>
      <c r="AA175" s="24">
        <f>TModelo[[#This Row],[BalCDT]]+TModelo[[#This Row],[BalCOLCAP]]+TModelo[[#This Row],[BalUSD]]</f>
        <v>0</v>
      </c>
      <c r="AB175" s="24">
        <f>IF(TModelo[[#This Row],[CumInfl]]&gt;0,TModelo[[#This Row],[TotalPreLiq]]/TModelo[[#This Row],[CumInfl]],0)</f>
        <v>0</v>
      </c>
      <c r="AC175" s="41">
        <f>(1+PerRate)^(-TModelo[[#This Row],[Period]])</f>
        <v>0.31558686613674852</v>
      </c>
      <c r="AD175" s="42">
        <f>TModelo[[#This Row],[NetCF]]*TModelo[[#This Row],[fd]]</f>
        <v>0</v>
      </c>
    </row>
    <row r="176" spans="2:30" ht="16.95" customHeight="1">
      <c r="B176" s="11">
        <v>149</v>
      </c>
      <c r="C176" s="25">
        <f>EDATE(FechaInicio,TModelo[[#This Row],[Period]])</f>
        <v>50829</v>
      </c>
      <c r="D176" s="11">
        <f>IF(AND(TModelo[[#This Row],[Period]]&gt;=1,TModelo[[#This Row],[Period]]&lt;=HorizonteMeses),1,0)</f>
        <v>0</v>
      </c>
      <c r="E176" s="40">
        <f>TModelo[[#This Row],[Act]]*(INFb+(INFpi0-INFb)*(1-INFa)^TModelo[[#This Row],[Period]])</f>
        <v>0</v>
      </c>
      <c r="F176" s="28">
        <f>IF(TModelo[[#This Row],[Period]]&lt;=HorizonteMeses,F175*(1+TModelo[[#This Row],[InflMes]]),0)</f>
        <v>0</v>
      </c>
      <c r="G176" s="21">
        <f>TModelo[[#This Row],[Act]]*(CDTb+(CDTx0-CDTb)*(1-CDTa)^TModelo[[#This Row],[Period]]+CDTspread)</f>
        <v>0</v>
      </c>
      <c r="H176" s="40">
        <f>TModelo[[#This Row],[Act]]*((1+TModelo[[#This Row],[TasaCDT]])^(1/12)-1)*(1-Retencion)</f>
        <v>0</v>
      </c>
      <c r="I176" s="40">
        <f>TModelo[[#This Row],[Act]]*(EXP(MuCOLCAP+SigmaCOLCAP^2/2)-1)</f>
        <v>0</v>
      </c>
      <c r="J176" s="40">
        <f>TModelo[[#This Row],[Act]]*(EXP(MuTRM+SigmaTRM^2/2)-1)</f>
        <v>0</v>
      </c>
      <c r="K176" s="11">
        <f>TModelo[[#This Row],[Act]]*IF(Rebalanceo="Mensual",1,IF(Rebalanceo="Anual",IF(MOD(TModelo[[#This Row],[Period]]-1,12)=0,1,0),0))</f>
        <v>0</v>
      </c>
      <c r="L176" s="24">
        <f>TModelo[[#This Row],[Act]]*AporteMensual*IF(CrecimientoAporte="Con IPC",F175,1)</f>
        <v>0</v>
      </c>
      <c r="M176" s="24">
        <f>IF(TModelo[[#This Row],[Period]]=HorizonteMeses,TModelo[[#This Row],[TotalPreLiq]],0)</f>
        <v>0</v>
      </c>
      <c r="N176" s="24">
        <f>TModelo[[#This Row],[Inflow]]-TModelo[[#This Row],[Outflow]]</f>
        <v>0</v>
      </c>
      <c r="O176" s="24">
        <f t="shared" si="2"/>
        <v>0</v>
      </c>
      <c r="P176" s="24">
        <f>TModelo[[#This Row],[IntCDT]]+TModelo[[#This Row],[IntCOLCAP]]+TModelo[[#This Row],[IntUSD]]</f>
        <v>0</v>
      </c>
      <c r="Q176" s="24">
        <f>TModelo[[#This Row],[InitialBalance]]+TModelo[[#This Row],[Interest]]+TModelo[[#This Row],[Outflow]]-TModelo[[#This Row],[Inflow]]</f>
        <v>0</v>
      </c>
      <c r="R176" s="24">
        <f>TModelo[[#This Row],[Act]]*IF(TModelo[[#This Row],[Rebal]]=1,PesoCDT*(X175+Y175+Z175),X175)</f>
        <v>0</v>
      </c>
      <c r="S176" s="24">
        <f>TModelo[[#This Row],[Act]]*IF(TModelo[[#This Row],[Rebal]]=1,PesoCOLCAP*(X175+Y175+Z175),Y175)</f>
        <v>0</v>
      </c>
      <c r="T176" s="24">
        <f>TModelo[[#This Row],[Act]]*IF(TModelo[[#This Row],[Rebal]]=1,PesoUSD*(X175+Y175+Z175),Z175)</f>
        <v>0</v>
      </c>
      <c r="U176" s="24">
        <f>TModelo[[#This Row],[IniCDT]]*TModelo[[#This Row],[RetCDT]]</f>
        <v>0</v>
      </c>
      <c r="V176" s="24">
        <f>TModelo[[#This Row],[IniCOLCAP]]*TModelo[[#This Row],[RetCOLCAP]]</f>
        <v>0</v>
      </c>
      <c r="W176" s="24">
        <f>TModelo[[#This Row],[IniUSD]]*TModelo[[#This Row],[RetUSD]]</f>
        <v>0</v>
      </c>
      <c r="X176" s="24">
        <f>TModelo[[#This Row],[Act]]*(TModelo[[#This Row],[IniCDT]]+TModelo[[#This Row],[IntCDT]]+PesoCDT*TModelo[[#This Row],[Outflow]])</f>
        <v>0</v>
      </c>
      <c r="Y176" s="24">
        <f>TModelo[[#This Row],[Act]]*(TModelo[[#This Row],[IniCOLCAP]]+TModelo[[#This Row],[IntCOLCAP]]+PesoCOLCAP*TModelo[[#This Row],[Outflow]])</f>
        <v>0</v>
      </c>
      <c r="Z176" s="24">
        <f>TModelo[[#This Row],[Act]]*(TModelo[[#This Row],[IniUSD]]+TModelo[[#This Row],[IntUSD]]+PesoUSD*TModelo[[#This Row],[Outflow]])</f>
        <v>0</v>
      </c>
      <c r="AA176" s="24">
        <f>TModelo[[#This Row],[BalCDT]]+TModelo[[#This Row],[BalCOLCAP]]+TModelo[[#This Row],[BalUSD]]</f>
        <v>0</v>
      </c>
      <c r="AB176" s="24">
        <f>IF(TModelo[[#This Row],[CumInfl]]&gt;0,TModelo[[#This Row],[TotalPreLiq]]/TModelo[[#This Row],[CumInfl]],0)</f>
        <v>0</v>
      </c>
      <c r="AC176" s="41">
        <f>(1+PerRate)^(-TModelo[[#This Row],[Period]])</f>
        <v>0.31313714610398619</v>
      </c>
      <c r="AD176" s="42">
        <f>TModelo[[#This Row],[NetCF]]*TModelo[[#This Row],[fd]]</f>
        <v>0</v>
      </c>
    </row>
    <row r="177" spans="2:30" ht="16.95" customHeight="1">
      <c r="B177" s="11">
        <v>150</v>
      </c>
      <c r="C177" s="25">
        <f>EDATE(FechaInicio,TModelo[[#This Row],[Period]])</f>
        <v>50858</v>
      </c>
      <c r="D177" s="11">
        <f>IF(AND(TModelo[[#This Row],[Period]]&gt;=1,TModelo[[#This Row],[Period]]&lt;=HorizonteMeses),1,0)</f>
        <v>0</v>
      </c>
      <c r="E177" s="40">
        <f>TModelo[[#This Row],[Act]]*(INFb+(INFpi0-INFb)*(1-INFa)^TModelo[[#This Row],[Period]])</f>
        <v>0</v>
      </c>
      <c r="F177" s="28">
        <f>IF(TModelo[[#This Row],[Period]]&lt;=HorizonteMeses,F176*(1+TModelo[[#This Row],[InflMes]]),0)</f>
        <v>0</v>
      </c>
      <c r="G177" s="21">
        <f>TModelo[[#This Row],[Act]]*(CDTb+(CDTx0-CDTb)*(1-CDTa)^TModelo[[#This Row],[Period]]+CDTspread)</f>
        <v>0</v>
      </c>
      <c r="H177" s="40">
        <f>TModelo[[#This Row],[Act]]*((1+TModelo[[#This Row],[TasaCDT]])^(1/12)-1)*(1-Retencion)</f>
        <v>0</v>
      </c>
      <c r="I177" s="40">
        <f>TModelo[[#This Row],[Act]]*(EXP(MuCOLCAP+SigmaCOLCAP^2/2)-1)</f>
        <v>0</v>
      </c>
      <c r="J177" s="40">
        <f>TModelo[[#This Row],[Act]]*(EXP(MuTRM+SigmaTRM^2/2)-1)</f>
        <v>0</v>
      </c>
      <c r="K177" s="11">
        <f>TModelo[[#This Row],[Act]]*IF(Rebalanceo="Mensual",1,IF(Rebalanceo="Anual",IF(MOD(TModelo[[#This Row],[Period]]-1,12)=0,1,0),0))</f>
        <v>0</v>
      </c>
      <c r="L177" s="24">
        <f>TModelo[[#This Row],[Act]]*AporteMensual*IF(CrecimientoAporte="Con IPC",F176,1)</f>
        <v>0</v>
      </c>
      <c r="M177" s="24">
        <f>IF(TModelo[[#This Row],[Period]]=HorizonteMeses,TModelo[[#This Row],[TotalPreLiq]],0)</f>
        <v>0</v>
      </c>
      <c r="N177" s="24">
        <f>TModelo[[#This Row],[Inflow]]-TModelo[[#This Row],[Outflow]]</f>
        <v>0</v>
      </c>
      <c r="O177" s="24">
        <f t="shared" si="2"/>
        <v>0</v>
      </c>
      <c r="P177" s="24">
        <f>TModelo[[#This Row],[IntCDT]]+TModelo[[#This Row],[IntCOLCAP]]+TModelo[[#This Row],[IntUSD]]</f>
        <v>0</v>
      </c>
      <c r="Q177" s="24">
        <f>TModelo[[#This Row],[InitialBalance]]+TModelo[[#This Row],[Interest]]+TModelo[[#This Row],[Outflow]]-TModelo[[#This Row],[Inflow]]</f>
        <v>0</v>
      </c>
      <c r="R177" s="24">
        <f>TModelo[[#This Row],[Act]]*IF(TModelo[[#This Row],[Rebal]]=1,PesoCDT*(X176+Y176+Z176),X176)</f>
        <v>0</v>
      </c>
      <c r="S177" s="24">
        <f>TModelo[[#This Row],[Act]]*IF(TModelo[[#This Row],[Rebal]]=1,PesoCOLCAP*(X176+Y176+Z176),Y176)</f>
        <v>0</v>
      </c>
      <c r="T177" s="24">
        <f>TModelo[[#This Row],[Act]]*IF(TModelo[[#This Row],[Rebal]]=1,PesoUSD*(X176+Y176+Z176),Z176)</f>
        <v>0</v>
      </c>
      <c r="U177" s="24">
        <f>TModelo[[#This Row],[IniCDT]]*TModelo[[#This Row],[RetCDT]]</f>
        <v>0</v>
      </c>
      <c r="V177" s="24">
        <f>TModelo[[#This Row],[IniCOLCAP]]*TModelo[[#This Row],[RetCOLCAP]]</f>
        <v>0</v>
      </c>
      <c r="W177" s="24">
        <f>TModelo[[#This Row],[IniUSD]]*TModelo[[#This Row],[RetUSD]]</f>
        <v>0</v>
      </c>
      <c r="X177" s="24">
        <f>TModelo[[#This Row],[Act]]*(TModelo[[#This Row],[IniCDT]]+TModelo[[#This Row],[IntCDT]]+PesoCDT*TModelo[[#This Row],[Outflow]])</f>
        <v>0</v>
      </c>
      <c r="Y177" s="24">
        <f>TModelo[[#This Row],[Act]]*(TModelo[[#This Row],[IniCOLCAP]]+TModelo[[#This Row],[IntCOLCAP]]+PesoCOLCAP*TModelo[[#This Row],[Outflow]])</f>
        <v>0</v>
      </c>
      <c r="Z177" s="24">
        <f>TModelo[[#This Row],[Act]]*(TModelo[[#This Row],[IniUSD]]+TModelo[[#This Row],[IntUSD]]+PesoUSD*TModelo[[#This Row],[Outflow]])</f>
        <v>0</v>
      </c>
      <c r="AA177" s="24">
        <f>TModelo[[#This Row],[BalCDT]]+TModelo[[#This Row],[BalCOLCAP]]+TModelo[[#This Row],[BalUSD]]</f>
        <v>0</v>
      </c>
      <c r="AB177" s="24">
        <f>IF(TModelo[[#This Row],[CumInfl]]&gt;0,TModelo[[#This Row],[TotalPreLiq]]/TModelo[[#This Row],[CumInfl]],0)</f>
        <v>0</v>
      </c>
      <c r="AC177" s="41">
        <f>(1+PerRate)^(-TModelo[[#This Row],[Period]])</f>
        <v>0.31070644184432117</v>
      </c>
      <c r="AD177" s="42">
        <f>TModelo[[#This Row],[NetCF]]*TModelo[[#This Row],[fd]]</f>
        <v>0</v>
      </c>
    </row>
    <row r="178" spans="2:30" ht="16.95" customHeight="1">
      <c r="B178" s="11">
        <v>151</v>
      </c>
      <c r="C178" s="25">
        <f>EDATE(FechaInicio,TModelo[[#This Row],[Period]])</f>
        <v>50889</v>
      </c>
      <c r="D178" s="11">
        <f>IF(AND(TModelo[[#This Row],[Period]]&gt;=1,TModelo[[#This Row],[Period]]&lt;=HorizonteMeses),1,0)</f>
        <v>0</v>
      </c>
      <c r="E178" s="40">
        <f>TModelo[[#This Row],[Act]]*(INFb+(INFpi0-INFb)*(1-INFa)^TModelo[[#This Row],[Period]])</f>
        <v>0</v>
      </c>
      <c r="F178" s="28">
        <f>IF(TModelo[[#This Row],[Period]]&lt;=HorizonteMeses,F177*(1+TModelo[[#This Row],[InflMes]]),0)</f>
        <v>0</v>
      </c>
      <c r="G178" s="21">
        <f>TModelo[[#This Row],[Act]]*(CDTb+(CDTx0-CDTb)*(1-CDTa)^TModelo[[#This Row],[Period]]+CDTspread)</f>
        <v>0</v>
      </c>
      <c r="H178" s="40">
        <f>TModelo[[#This Row],[Act]]*((1+TModelo[[#This Row],[TasaCDT]])^(1/12)-1)*(1-Retencion)</f>
        <v>0</v>
      </c>
      <c r="I178" s="40">
        <f>TModelo[[#This Row],[Act]]*(EXP(MuCOLCAP+SigmaCOLCAP^2/2)-1)</f>
        <v>0</v>
      </c>
      <c r="J178" s="40">
        <f>TModelo[[#This Row],[Act]]*(EXP(MuTRM+SigmaTRM^2/2)-1)</f>
        <v>0</v>
      </c>
      <c r="K178" s="11">
        <f>TModelo[[#This Row],[Act]]*IF(Rebalanceo="Mensual",1,IF(Rebalanceo="Anual",IF(MOD(TModelo[[#This Row],[Period]]-1,12)=0,1,0),0))</f>
        <v>0</v>
      </c>
      <c r="L178" s="24">
        <f>TModelo[[#This Row],[Act]]*AporteMensual*IF(CrecimientoAporte="Con IPC",F177,1)</f>
        <v>0</v>
      </c>
      <c r="M178" s="24">
        <f>IF(TModelo[[#This Row],[Period]]=HorizonteMeses,TModelo[[#This Row],[TotalPreLiq]],0)</f>
        <v>0</v>
      </c>
      <c r="N178" s="24">
        <f>TModelo[[#This Row],[Inflow]]-TModelo[[#This Row],[Outflow]]</f>
        <v>0</v>
      </c>
      <c r="O178" s="24">
        <f t="shared" si="2"/>
        <v>0</v>
      </c>
      <c r="P178" s="24">
        <f>TModelo[[#This Row],[IntCDT]]+TModelo[[#This Row],[IntCOLCAP]]+TModelo[[#This Row],[IntUSD]]</f>
        <v>0</v>
      </c>
      <c r="Q178" s="24">
        <f>TModelo[[#This Row],[InitialBalance]]+TModelo[[#This Row],[Interest]]+TModelo[[#This Row],[Outflow]]-TModelo[[#This Row],[Inflow]]</f>
        <v>0</v>
      </c>
      <c r="R178" s="24">
        <f>TModelo[[#This Row],[Act]]*IF(TModelo[[#This Row],[Rebal]]=1,PesoCDT*(X177+Y177+Z177),X177)</f>
        <v>0</v>
      </c>
      <c r="S178" s="24">
        <f>TModelo[[#This Row],[Act]]*IF(TModelo[[#This Row],[Rebal]]=1,PesoCOLCAP*(X177+Y177+Z177),Y177)</f>
        <v>0</v>
      </c>
      <c r="T178" s="24">
        <f>TModelo[[#This Row],[Act]]*IF(TModelo[[#This Row],[Rebal]]=1,PesoUSD*(X177+Y177+Z177),Z177)</f>
        <v>0</v>
      </c>
      <c r="U178" s="24">
        <f>TModelo[[#This Row],[IniCDT]]*TModelo[[#This Row],[RetCDT]]</f>
        <v>0</v>
      </c>
      <c r="V178" s="24">
        <f>TModelo[[#This Row],[IniCOLCAP]]*TModelo[[#This Row],[RetCOLCAP]]</f>
        <v>0</v>
      </c>
      <c r="W178" s="24">
        <f>TModelo[[#This Row],[IniUSD]]*TModelo[[#This Row],[RetUSD]]</f>
        <v>0</v>
      </c>
      <c r="X178" s="24">
        <f>TModelo[[#This Row],[Act]]*(TModelo[[#This Row],[IniCDT]]+TModelo[[#This Row],[IntCDT]]+PesoCDT*TModelo[[#This Row],[Outflow]])</f>
        <v>0</v>
      </c>
      <c r="Y178" s="24">
        <f>TModelo[[#This Row],[Act]]*(TModelo[[#This Row],[IniCOLCAP]]+TModelo[[#This Row],[IntCOLCAP]]+PesoCOLCAP*TModelo[[#This Row],[Outflow]])</f>
        <v>0</v>
      </c>
      <c r="Z178" s="24">
        <f>TModelo[[#This Row],[Act]]*(TModelo[[#This Row],[IniUSD]]+TModelo[[#This Row],[IntUSD]]+PesoUSD*TModelo[[#This Row],[Outflow]])</f>
        <v>0</v>
      </c>
      <c r="AA178" s="24">
        <f>TModelo[[#This Row],[BalCDT]]+TModelo[[#This Row],[BalCOLCAP]]+TModelo[[#This Row],[BalUSD]]</f>
        <v>0</v>
      </c>
      <c r="AB178" s="24">
        <f>IF(TModelo[[#This Row],[CumInfl]]&gt;0,TModelo[[#This Row],[TotalPreLiq]]/TModelo[[#This Row],[CumInfl]],0)</f>
        <v>0</v>
      </c>
      <c r="AC178" s="41">
        <f>(1+PerRate)^(-TModelo[[#This Row],[Period]])</f>
        <v>0.30829460574920142</v>
      </c>
      <c r="AD178" s="42">
        <f>TModelo[[#This Row],[NetCF]]*TModelo[[#This Row],[fd]]</f>
        <v>0</v>
      </c>
    </row>
    <row r="179" spans="2:30" ht="16.95" customHeight="1">
      <c r="B179" s="11">
        <v>152</v>
      </c>
      <c r="C179" s="25">
        <f>EDATE(FechaInicio,TModelo[[#This Row],[Period]])</f>
        <v>50919</v>
      </c>
      <c r="D179" s="11">
        <f>IF(AND(TModelo[[#This Row],[Period]]&gt;=1,TModelo[[#This Row],[Period]]&lt;=HorizonteMeses),1,0)</f>
        <v>0</v>
      </c>
      <c r="E179" s="40">
        <f>TModelo[[#This Row],[Act]]*(INFb+(INFpi0-INFb)*(1-INFa)^TModelo[[#This Row],[Period]])</f>
        <v>0</v>
      </c>
      <c r="F179" s="28">
        <f>IF(TModelo[[#This Row],[Period]]&lt;=HorizonteMeses,F178*(1+TModelo[[#This Row],[InflMes]]),0)</f>
        <v>0</v>
      </c>
      <c r="G179" s="21">
        <f>TModelo[[#This Row],[Act]]*(CDTb+(CDTx0-CDTb)*(1-CDTa)^TModelo[[#This Row],[Period]]+CDTspread)</f>
        <v>0</v>
      </c>
      <c r="H179" s="40">
        <f>TModelo[[#This Row],[Act]]*((1+TModelo[[#This Row],[TasaCDT]])^(1/12)-1)*(1-Retencion)</f>
        <v>0</v>
      </c>
      <c r="I179" s="40">
        <f>TModelo[[#This Row],[Act]]*(EXP(MuCOLCAP+SigmaCOLCAP^2/2)-1)</f>
        <v>0</v>
      </c>
      <c r="J179" s="40">
        <f>TModelo[[#This Row],[Act]]*(EXP(MuTRM+SigmaTRM^2/2)-1)</f>
        <v>0</v>
      </c>
      <c r="K179" s="11">
        <f>TModelo[[#This Row],[Act]]*IF(Rebalanceo="Mensual",1,IF(Rebalanceo="Anual",IF(MOD(TModelo[[#This Row],[Period]]-1,12)=0,1,0),0))</f>
        <v>0</v>
      </c>
      <c r="L179" s="24">
        <f>TModelo[[#This Row],[Act]]*AporteMensual*IF(CrecimientoAporte="Con IPC",F178,1)</f>
        <v>0</v>
      </c>
      <c r="M179" s="24">
        <f>IF(TModelo[[#This Row],[Period]]=HorizonteMeses,TModelo[[#This Row],[TotalPreLiq]],0)</f>
        <v>0</v>
      </c>
      <c r="N179" s="24">
        <f>TModelo[[#This Row],[Inflow]]-TModelo[[#This Row],[Outflow]]</f>
        <v>0</v>
      </c>
      <c r="O179" s="24">
        <f t="shared" si="2"/>
        <v>0</v>
      </c>
      <c r="P179" s="24">
        <f>TModelo[[#This Row],[IntCDT]]+TModelo[[#This Row],[IntCOLCAP]]+TModelo[[#This Row],[IntUSD]]</f>
        <v>0</v>
      </c>
      <c r="Q179" s="24">
        <f>TModelo[[#This Row],[InitialBalance]]+TModelo[[#This Row],[Interest]]+TModelo[[#This Row],[Outflow]]-TModelo[[#This Row],[Inflow]]</f>
        <v>0</v>
      </c>
      <c r="R179" s="24">
        <f>TModelo[[#This Row],[Act]]*IF(TModelo[[#This Row],[Rebal]]=1,PesoCDT*(X178+Y178+Z178),X178)</f>
        <v>0</v>
      </c>
      <c r="S179" s="24">
        <f>TModelo[[#This Row],[Act]]*IF(TModelo[[#This Row],[Rebal]]=1,PesoCOLCAP*(X178+Y178+Z178),Y178)</f>
        <v>0</v>
      </c>
      <c r="T179" s="24">
        <f>TModelo[[#This Row],[Act]]*IF(TModelo[[#This Row],[Rebal]]=1,PesoUSD*(X178+Y178+Z178),Z178)</f>
        <v>0</v>
      </c>
      <c r="U179" s="24">
        <f>TModelo[[#This Row],[IniCDT]]*TModelo[[#This Row],[RetCDT]]</f>
        <v>0</v>
      </c>
      <c r="V179" s="24">
        <f>TModelo[[#This Row],[IniCOLCAP]]*TModelo[[#This Row],[RetCOLCAP]]</f>
        <v>0</v>
      </c>
      <c r="W179" s="24">
        <f>TModelo[[#This Row],[IniUSD]]*TModelo[[#This Row],[RetUSD]]</f>
        <v>0</v>
      </c>
      <c r="X179" s="24">
        <f>TModelo[[#This Row],[Act]]*(TModelo[[#This Row],[IniCDT]]+TModelo[[#This Row],[IntCDT]]+PesoCDT*TModelo[[#This Row],[Outflow]])</f>
        <v>0</v>
      </c>
      <c r="Y179" s="24">
        <f>TModelo[[#This Row],[Act]]*(TModelo[[#This Row],[IniCOLCAP]]+TModelo[[#This Row],[IntCOLCAP]]+PesoCOLCAP*TModelo[[#This Row],[Outflow]])</f>
        <v>0</v>
      </c>
      <c r="Z179" s="24">
        <f>TModelo[[#This Row],[Act]]*(TModelo[[#This Row],[IniUSD]]+TModelo[[#This Row],[IntUSD]]+PesoUSD*TModelo[[#This Row],[Outflow]])</f>
        <v>0</v>
      </c>
      <c r="AA179" s="24">
        <f>TModelo[[#This Row],[BalCDT]]+TModelo[[#This Row],[BalCOLCAP]]+TModelo[[#This Row],[BalUSD]]</f>
        <v>0</v>
      </c>
      <c r="AB179" s="24">
        <f>IF(TModelo[[#This Row],[CumInfl]]&gt;0,TModelo[[#This Row],[TotalPreLiq]]/TModelo[[#This Row],[CumInfl]],0)</f>
        <v>0</v>
      </c>
      <c r="AC179" s="41">
        <f>(1+PerRate)^(-TModelo[[#This Row],[Period]])</f>
        <v>0.30590149135587585</v>
      </c>
      <c r="AD179" s="42">
        <f>TModelo[[#This Row],[NetCF]]*TModelo[[#This Row],[fd]]</f>
        <v>0</v>
      </c>
    </row>
    <row r="180" spans="2:30" ht="16.95" customHeight="1">
      <c r="B180" s="11">
        <v>153</v>
      </c>
      <c r="C180" s="25">
        <f>EDATE(FechaInicio,TModelo[[#This Row],[Period]])</f>
        <v>50950</v>
      </c>
      <c r="D180" s="11">
        <f>IF(AND(TModelo[[#This Row],[Period]]&gt;=1,TModelo[[#This Row],[Period]]&lt;=HorizonteMeses),1,0)</f>
        <v>0</v>
      </c>
      <c r="E180" s="40">
        <f>TModelo[[#This Row],[Act]]*(INFb+(INFpi0-INFb)*(1-INFa)^TModelo[[#This Row],[Period]])</f>
        <v>0</v>
      </c>
      <c r="F180" s="28">
        <f>IF(TModelo[[#This Row],[Period]]&lt;=HorizonteMeses,F179*(1+TModelo[[#This Row],[InflMes]]),0)</f>
        <v>0</v>
      </c>
      <c r="G180" s="21">
        <f>TModelo[[#This Row],[Act]]*(CDTb+(CDTx0-CDTb)*(1-CDTa)^TModelo[[#This Row],[Period]]+CDTspread)</f>
        <v>0</v>
      </c>
      <c r="H180" s="40">
        <f>TModelo[[#This Row],[Act]]*((1+TModelo[[#This Row],[TasaCDT]])^(1/12)-1)*(1-Retencion)</f>
        <v>0</v>
      </c>
      <c r="I180" s="40">
        <f>TModelo[[#This Row],[Act]]*(EXP(MuCOLCAP+SigmaCOLCAP^2/2)-1)</f>
        <v>0</v>
      </c>
      <c r="J180" s="40">
        <f>TModelo[[#This Row],[Act]]*(EXP(MuTRM+SigmaTRM^2/2)-1)</f>
        <v>0</v>
      </c>
      <c r="K180" s="11">
        <f>TModelo[[#This Row],[Act]]*IF(Rebalanceo="Mensual",1,IF(Rebalanceo="Anual",IF(MOD(TModelo[[#This Row],[Period]]-1,12)=0,1,0),0))</f>
        <v>0</v>
      </c>
      <c r="L180" s="24">
        <f>TModelo[[#This Row],[Act]]*AporteMensual*IF(CrecimientoAporte="Con IPC",F179,1)</f>
        <v>0</v>
      </c>
      <c r="M180" s="24">
        <f>IF(TModelo[[#This Row],[Period]]=HorizonteMeses,TModelo[[#This Row],[TotalPreLiq]],0)</f>
        <v>0</v>
      </c>
      <c r="N180" s="24">
        <f>TModelo[[#This Row],[Inflow]]-TModelo[[#This Row],[Outflow]]</f>
        <v>0</v>
      </c>
      <c r="O180" s="24">
        <f t="shared" si="2"/>
        <v>0</v>
      </c>
      <c r="P180" s="24">
        <f>TModelo[[#This Row],[IntCDT]]+TModelo[[#This Row],[IntCOLCAP]]+TModelo[[#This Row],[IntUSD]]</f>
        <v>0</v>
      </c>
      <c r="Q180" s="24">
        <f>TModelo[[#This Row],[InitialBalance]]+TModelo[[#This Row],[Interest]]+TModelo[[#This Row],[Outflow]]-TModelo[[#This Row],[Inflow]]</f>
        <v>0</v>
      </c>
      <c r="R180" s="24">
        <f>TModelo[[#This Row],[Act]]*IF(TModelo[[#This Row],[Rebal]]=1,PesoCDT*(X179+Y179+Z179),X179)</f>
        <v>0</v>
      </c>
      <c r="S180" s="24">
        <f>TModelo[[#This Row],[Act]]*IF(TModelo[[#This Row],[Rebal]]=1,PesoCOLCAP*(X179+Y179+Z179),Y179)</f>
        <v>0</v>
      </c>
      <c r="T180" s="24">
        <f>TModelo[[#This Row],[Act]]*IF(TModelo[[#This Row],[Rebal]]=1,PesoUSD*(X179+Y179+Z179),Z179)</f>
        <v>0</v>
      </c>
      <c r="U180" s="24">
        <f>TModelo[[#This Row],[IniCDT]]*TModelo[[#This Row],[RetCDT]]</f>
        <v>0</v>
      </c>
      <c r="V180" s="24">
        <f>TModelo[[#This Row],[IniCOLCAP]]*TModelo[[#This Row],[RetCOLCAP]]</f>
        <v>0</v>
      </c>
      <c r="W180" s="24">
        <f>TModelo[[#This Row],[IniUSD]]*TModelo[[#This Row],[RetUSD]]</f>
        <v>0</v>
      </c>
      <c r="X180" s="24">
        <f>TModelo[[#This Row],[Act]]*(TModelo[[#This Row],[IniCDT]]+TModelo[[#This Row],[IntCDT]]+PesoCDT*TModelo[[#This Row],[Outflow]])</f>
        <v>0</v>
      </c>
      <c r="Y180" s="24">
        <f>TModelo[[#This Row],[Act]]*(TModelo[[#This Row],[IniCOLCAP]]+TModelo[[#This Row],[IntCOLCAP]]+PesoCOLCAP*TModelo[[#This Row],[Outflow]])</f>
        <v>0</v>
      </c>
      <c r="Z180" s="24">
        <f>TModelo[[#This Row],[Act]]*(TModelo[[#This Row],[IniUSD]]+TModelo[[#This Row],[IntUSD]]+PesoUSD*TModelo[[#This Row],[Outflow]])</f>
        <v>0</v>
      </c>
      <c r="AA180" s="24">
        <f>TModelo[[#This Row],[BalCDT]]+TModelo[[#This Row],[BalCOLCAP]]+TModelo[[#This Row],[BalUSD]]</f>
        <v>0</v>
      </c>
      <c r="AB180" s="24">
        <f>IF(TModelo[[#This Row],[CumInfl]]&gt;0,TModelo[[#This Row],[TotalPreLiq]]/TModelo[[#This Row],[CumInfl]],0)</f>
        <v>0</v>
      </c>
      <c r="AC180" s="41">
        <f>(1+PerRate)^(-TModelo[[#This Row],[Period]])</f>
        <v>0.30352695333849955</v>
      </c>
      <c r="AD180" s="42">
        <f>TModelo[[#This Row],[NetCF]]*TModelo[[#This Row],[fd]]</f>
        <v>0</v>
      </c>
    </row>
    <row r="181" spans="2:30" ht="16.95" customHeight="1">
      <c r="B181" s="11">
        <v>154</v>
      </c>
      <c r="C181" s="25">
        <f>EDATE(FechaInicio,TModelo[[#This Row],[Period]])</f>
        <v>50980</v>
      </c>
      <c r="D181" s="11">
        <f>IF(AND(TModelo[[#This Row],[Period]]&gt;=1,TModelo[[#This Row],[Period]]&lt;=HorizonteMeses),1,0)</f>
        <v>0</v>
      </c>
      <c r="E181" s="40">
        <f>TModelo[[#This Row],[Act]]*(INFb+(INFpi0-INFb)*(1-INFa)^TModelo[[#This Row],[Period]])</f>
        <v>0</v>
      </c>
      <c r="F181" s="28">
        <f>IF(TModelo[[#This Row],[Period]]&lt;=HorizonteMeses,F180*(1+TModelo[[#This Row],[InflMes]]),0)</f>
        <v>0</v>
      </c>
      <c r="G181" s="21">
        <f>TModelo[[#This Row],[Act]]*(CDTb+(CDTx0-CDTb)*(1-CDTa)^TModelo[[#This Row],[Period]]+CDTspread)</f>
        <v>0</v>
      </c>
      <c r="H181" s="40">
        <f>TModelo[[#This Row],[Act]]*((1+TModelo[[#This Row],[TasaCDT]])^(1/12)-1)*(1-Retencion)</f>
        <v>0</v>
      </c>
      <c r="I181" s="40">
        <f>TModelo[[#This Row],[Act]]*(EXP(MuCOLCAP+SigmaCOLCAP^2/2)-1)</f>
        <v>0</v>
      </c>
      <c r="J181" s="40">
        <f>TModelo[[#This Row],[Act]]*(EXP(MuTRM+SigmaTRM^2/2)-1)</f>
        <v>0</v>
      </c>
      <c r="K181" s="11">
        <f>TModelo[[#This Row],[Act]]*IF(Rebalanceo="Mensual",1,IF(Rebalanceo="Anual",IF(MOD(TModelo[[#This Row],[Period]]-1,12)=0,1,0),0))</f>
        <v>0</v>
      </c>
      <c r="L181" s="24">
        <f>TModelo[[#This Row],[Act]]*AporteMensual*IF(CrecimientoAporte="Con IPC",F180,1)</f>
        <v>0</v>
      </c>
      <c r="M181" s="24">
        <f>IF(TModelo[[#This Row],[Period]]=HorizonteMeses,TModelo[[#This Row],[TotalPreLiq]],0)</f>
        <v>0</v>
      </c>
      <c r="N181" s="24">
        <f>TModelo[[#This Row],[Inflow]]-TModelo[[#This Row],[Outflow]]</f>
        <v>0</v>
      </c>
      <c r="O181" s="24">
        <f t="shared" si="2"/>
        <v>0</v>
      </c>
      <c r="P181" s="24">
        <f>TModelo[[#This Row],[IntCDT]]+TModelo[[#This Row],[IntCOLCAP]]+TModelo[[#This Row],[IntUSD]]</f>
        <v>0</v>
      </c>
      <c r="Q181" s="24">
        <f>TModelo[[#This Row],[InitialBalance]]+TModelo[[#This Row],[Interest]]+TModelo[[#This Row],[Outflow]]-TModelo[[#This Row],[Inflow]]</f>
        <v>0</v>
      </c>
      <c r="R181" s="24">
        <f>TModelo[[#This Row],[Act]]*IF(TModelo[[#This Row],[Rebal]]=1,PesoCDT*(X180+Y180+Z180),X180)</f>
        <v>0</v>
      </c>
      <c r="S181" s="24">
        <f>TModelo[[#This Row],[Act]]*IF(TModelo[[#This Row],[Rebal]]=1,PesoCOLCAP*(X180+Y180+Z180),Y180)</f>
        <v>0</v>
      </c>
      <c r="T181" s="24">
        <f>TModelo[[#This Row],[Act]]*IF(TModelo[[#This Row],[Rebal]]=1,PesoUSD*(X180+Y180+Z180),Z180)</f>
        <v>0</v>
      </c>
      <c r="U181" s="24">
        <f>TModelo[[#This Row],[IniCDT]]*TModelo[[#This Row],[RetCDT]]</f>
        <v>0</v>
      </c>
      <c r="V181" s="24">
        <f>TModelo[[#This Row],[IniCOLCAP]]*TModelo[[#This Row],[RetCOLCAP]]</f>
        <v>0</v>
      </c>
      <c r="W181" s="24">
        <f>TModelo[[#This Row],[IniUSD]]*TModelo[[#This Row],[RetUSD]]</f>
        <v>0</v>
      </c>
      <c r="X181" s="24">
        <f>TModelo[[#This Row],[Act]]*(TModelo[[#This Row],[IniCDT]]+TModelo[[#This Row],[IntCDT]]+PesoCDT*TModelo[[#This Row],[Outflow]])</f>
        <v>0</v>
      </c>
      <c r="Y181" s="24">
        <f>TModelo[[#This Row],[Act]]*(TModelo[[#This Row],[IniCOLCAP]]+TModelo[[#This Row],[IntCOLCAP]]+PesoCOLCAP*TModelo[[#This Row],[Outflow]])</f>
        <v>0</v>
      </c>
      <c r="Z181" s="24">
        <f>TModelo[[#This Row],[Act]]*(TModelo[[#This Row],[IniUSD]]+TModelo[[#This Row],[IntUSD]]+PesoUSD*TModelo[[#This Row],[Outflow]])</f>
        <v>0</v>
      </c>
      <c r="AA181" s="24">
        <f>TModelo[[#This Row],[BalCDT]]+TModelo[[#This Row],[BalCOLCAP]]+TModelo[[#This Row],[BalUSD]]</f>
        <v>0</v>
      </c>
      <c r="AB181" s="24">
        <f>IF(TModelo[[#This Row],[CumInfl]]&gt;0,TModelo[[#This Row],[TotalPreLiq]]/TModelo[[#This Row],[CumInfl]],0)</f>
        <v>0</v>
      </c>
      <c r="AC181" s="41">
        <f>(1+PerRate)^(-TModelo[[#This Row],[Period]])</f>
        <v>0.30117084749930895</v>
      </c>
      <c r="AD181" s="42">
        <f>TModelo[[#This Row],[NetCF]]*TModelo[[#This Row],[fd]]</f>
        <v>0</v>
      </c>
    </row>
    <row r="182" spans="2:30" ht="16.95" customHeight="1">
      <c r="B182" s="11">
        <v>155</v>
      </c>
      <c r="C182" s="25">
        <f>EDATE(FechaInicio,TModelo[[#This Row],[Period]])</f>
        <v>51011</v>
      </c>
      <c r="D182" s="11">
        <f>IF(AND(TModelo[[#This Row],[Period]]&gt;=1,TModelo[[#This Row],[Period]]&lt;=HorizonteMeses),1,0)</f>
        <v>0</v>
      </c>
      <c r="E182" s="40">
        <f>TModelo[[#This Row],[Act]]*(INFb+(INFpi0-INFb)*(1-INFa)^TModelo[[#This Row],[Period]])</f>
        <v>0</v>
      </c>
      <c r="F182" s="28">
        <f>IF(TModelo[[#This Row],[Period]]&lt;=HorizonteMeses,F181*(1+TModelo[[#This Row],[InflMes]]),0)</f>
        <v>0</v>
      </c>
      <c r="G182" s="21">
        <f>TModelo[[#This Row],[Act]]*(CDTb+(CDTx0-CDTb)*(1-CDTa)^TModelo[[#This Row],[Period]]+CDTspread)</f>
        <v>0</v>
      </c>
      <c r="H182" s="40">
        <f>TModelo[[#This Row],[Act]]*((1+TModelo[[#This Row],[TasaCDT]])^(1/12)-1)*(1-Retencion)</f>
        <v>0</v>
      </c>
      <c r="I182" s="40">
        <f>TModelo[[#This Row],[Act]]*(EXP(MuCOLCAP+SigmaCOLCAP^2/2)-1)</f>
        <v>0</v>
      </c>
      <c r="J182" s="40">
        <f>TModelo[[#This Row],[Act]]*(EXP(MuTRM+SigmaTRM^2/2)-1)</f>
        <v>0</v>
      </c>
      <c r="K182" s="11">
        <f>TModelo[[#This Row],[Act]]*IF(Rebalanceo="Mensual",1,IF(Rebalanceo="Anual",IF(MOD(TModelo[[#This Row],[Period]]-1,12)=0,1,0),0))</f>
        <v>0</v>
      </c>
      <c r="L182" s="24">
        <f>TModelo[[#This Row],[Act]]*AporteMensual*IF(CrecimientoAporte="Con IPC",F181,1)</f>
        <v>0</v>
      </c>
      <c r="M182" s="24">
        <f>IF(TModelo[[#This Row],[Period]]=HorizonteMeses,TModelo[[#This Row],[TotalPreLiq]],0)</f>
        <v>0</v>
      </c>
      <c r="N182" s="24">
        <f>TModelo[[#This Row],[Inflow]]-TModelo[[#This Row],[Outflow]]</f>
        <v>0</v>
      </c>
      <c r="O182" s="24">
        <f t="shared" si="2"/>
        <v>0</v>
      </c>
      <c r="P182" s="24">
        <f>TModelo[[#This Row],[IntCDT]]+TModelo[[#This Row],[IntCOLCAP]]+TModelo[[#This Row],[IntUSD]]</f>
        <v>0</v>
      </c>
      <c r="Q182" s="24">
        <f>TModelo[[#This Row],[InitialBalance]]+TModelo[[#This Row],[Interest]]+TModelo[[#This Row],[Outflow]]-TModelo[[#This Row],[Inflow]]</f>
        <v>0</v>
      </c>
      <c r="R182" s="24">
        <f>TModelo[[#This Row],[Act]]*IF(TModelo[[#This Row],[Rebal]]=1,PesoCDT*(X181+Y181+Z181),X181)</f>
        <v>0</v>
      </c>
      <c r="S182" s="24">
        <f>TModelo[[#This Row],[Act]]*IF(TModelo[[#This Row],[Rebal]]=1,PesoCOLCAP*(X181+Y181+Z181),Y181)</f>
        <v>0</v>
      </c>
      <c r="T182" s="24">
        <f>TModelo[[#This Row],[Act]]*IF(TModelo[[#This Row],[Rebal]]=1,PesoUSD*(X181+Y181+Z181),Z181)</f>
        <v>0</v>
      </c>
      <c r="U182" s="24">
        <f>TModelo[[#This Row],[IniCDT]]*TModelo[[#This Row],[RetCDT]]</f>
        <v>0</v>
      </c>
      <c r="V182" s="24">
        <f>TModelo[[#This Row],[IniCOLCAP]]*TModelo[[#This Row],[RetCOLCAP]]</f>
        <v>0</v>
      </c>
      <c r="W182" s="24">
        <f>TModelo[[#This Row],[IniUSD]]*TModelo[[#This Row],[RetUSD]]</f>
        <v>0</v>
      </c>
      <c r="X182" s="24">
        <f>TModelo[[#This Row],[Act]]*(TModelo[[#This Row],[IniCDT]]+TModelo[[#This Row],[IntCDT]]+PesoCDT*TModelo[[#This Row],[Outflow]])</f>
        <v>0</v>
      </c>
      <c r="Y182" s="24">
        <f>TModelo[[#This Row],[Act]]*(TModelo[[#This Row],[IniCOLCAP]]+TModelo[[#This Row],[IntCOLCAP]]+PesoCOLCAP*TModelo[[#This Row],[Outflow]])</f>
        <v>0</v>
      </c>
      <c r="Z182" s="24">
        <f>TModelo[[#This Row],[Act]]*(TModelo[[#This Row],[IniUSD]]+TModelo[[#This Row],[IntUSD]]+PesoUSD*TModelo[[#This Row],[Outflow]])</f>
        <v>0</v>
      </c>
      <c r="AA182" s="24">
        <f>TModelo[[#This Row],[BalCDT]]+TModelo[[#This Row],[BalCOLCAP]]+TModelo[[#This Row],[BalUSD]]</f>
        <v>0</v>
      </c>
      <c r="AB182" s="24">
        <f>IF(TModelo[[#This Row],[CumInfl]]&gt;0,TModelo[[#This Row],[TotalPreLiq]]/TModelo[[#This Row],[CumInfl]],0)</f>
        <v>0</v>
      </c>
      <c r="AC182" s="41">
        <f>(1+PerRate)^(-TModelo[[#This Row],[Period]])</f>
        <v>0.29883303075986534</v>
      </c>
      <c r="AD182" s="42">
        <f>TModelo[[#This Row],[NetCF]]*TModelo[[#This Row],[fd]]</f>
        <v>0</v>
      </c>
    </row>
    <row r="183" spans="2:30" ht="16.95" customHeight="1">
      <c r="B183" s="11">
        <v>156</v>
      </c>
      <c r="C183" s="25">
        <f>EDATE(FechaInicio,TModelo[[#This Row],[Period]])</f>
        <v>51042</v>
      </c>
      <c r="D183" s="11">
        <f>IF(AND(TModelo[[#This Row],[Period]]&gt;=1,TModelo[[#This Row],[Period]]&lt;=HorizonteMeses),1,0)</f>
        <v>0</v>
      </c>
      <c r="E183" s="40">
        <f>TModelo[[#This Row],[Act]]*(INFb+(INFpi0-INFb)*(1-INFa)^TModelo[[#This Row],[Period]])</f>
        <v>0</v>
      </c>
      <c r="F183" s="28">
        <f>IF(TModelo[[#This Row],[Period]]&lt;=HorizonteMeses,F182*(1+TModelo[[#This Row],[InflMes]]),0)</f>
        <v>0</v>
      </c>
      <c r="G183" s="21">
        <f>TModelo[[#This Row],[Act]]*(CDTb+(CDTx0-CDTb)*(1-CDTa)^TModelo[[#This Row],[Period]]+CDTspread)</f>
        <v>0</v>
      </c>
      <c r="H183" s="40">
        <f>TModelo[[#This Row],[Act]]*((1+TModelo[[#This Row],[TasaCDT]])^(1/12)-1)*(1-Retencion)</f>
        <v>0</v>
      </c>
      <c r="I183" s="40">
        <f>TModelo[[#This Row],[Act]]*(EXP(MuCOLCAP+SigmaCOLCAP^2/2)-1)</f>
        <v>0</v>
      </c>
      <c r="J183" s="40">
        <f>TModelo[[#This Row],[Act]]*(EXP(MuTRM+SigmaTRM^2/2)-1)</f>
        <v>0</v>
      </c>
      <c r="K183" s="11">
        <f>TModelo[[#This Row],[Act]]*IF(Rebalanceo="Mensual",1,IF(Rebalanceo="Anual",IF(MOD(TModelo[[#This Row],[Period]]-1,12)=0,1,0),0))</f>
        <v>0</v>
      </c>
      <c r="L183" s="24">
        <f>TModelo[[#This Row],[Act]]*AporteMensual*IF(CrecimientoAporte="Con IPC",F182,1)</f>
        <v>0</v>
      </c>
      <c r="M183" s="24">
        <f>IF(TModelo[[#This Row],[Period]]=HorizonteMeses,TModelo[[#This Row],[TotalPreLiq]],0)</f>
        <v>0</v>
      </c>
      <c r="N183" s="24">
        <f>TModelo[[#This Row],[Inflow]]-TModelo[[#This Row],[Outflow]]</f>
        <v>0</v>
      </c>
      <c r="O183" s="24">
        <f t="shared" si="2"/>
        <v>0</v>
      </c>
      <c r="P183" s="24">
        <f>TModelo[[#This Row],[IntCDT]]+TModelo[[#This Row],[IntCOLCAP]]+TModelo[[#This Row],[IntUSD]]</f>
        <v>0</v>
      </c>
      <c r="Q183" s="24">
        <f>TModelo[[#This Row],[InitialBalance]]+TModelo[[#This Row],[Interest]]+TModelo[[#This Row],[Outflow]]-TModelo[[#This Row],[Inflow]]</f>
        <v>0</v>
      </c>
      <c r="R183" s="24">
        <f>TModelo[[#This Row],[Act]]*IF(TModelo[[#This Row],[Rebal]]=1,PesoCDT*(X182+Y182+Z182),X182)</f>
        <v>0</v>
      </c>
      <c r="S183" s="24">
        <f>TModelo[[#This Row],[Act]]*IF(TModelo[[#This Row],[Rebal]]=1,PesoCOLCAP*(X182+Y182+Z182),Y182)</f>
        <v>0</v>
      </c>
      <c r="T183" s="24">
        <f>TModelo[[#This Row],[Act]]*IF(TModelo[[#This Row],[Rebal]]=1,PesoUSD*(X182+Y182+Z182),Z182)</f>
        <v>0</v>
      </c>
      <c r="U183" s="24">
        <f>TModelo[[#This Row],[IniCDT]]*TModelo[[#This Row],[RetCDT]]</f>
        <v>0</v>
      </c>
      <c r="V183" s="24">
        <f>TModelo[[#This Row],[IniCOLCAP]]*TModelo[[#This Row],[RetCOLCAP]]</f>
        <v>0</v>
      </c>
      <c r="W183" s="24">
        <f>TModelo[[#This Row],[IniUSD]]*TModelo[[#This Row],[RetUSD]]</f>
        <v>0</v>
      </c>
      <c r="X183" s="24">
        <f>TModelo[[#This Row],[Act]]*(TModelo[[#This Row],[IniCDT]]+TModelo[[#This Row],[IntCDT]]+PesoCDT*TModelo[[#This Row],[Outflow]])</f>
        <v>0</v>
      </c>
      <c r="Y183" s="24">
        <f>TModelo[[#This Row],[Act]]*(TModelo[[#This Row],[IniCOLCAP]]+TModelo[[#This Row],[IntCOLCAP]]+PesoCOLCAP*TModelo[[#This Row],[Outflow]])</f>
        <v>0</v>
      </c>
      <c r="Z183" s="24">
        <f>TModelo[[#This Row],[Act]]*(TModelo[[#This Row],[IniUSD]]+TModelo[[#This Row],[IntUSD]]+PesoUSD*TModelo[[#This Row],[Outflow]])</f>
        <v>0</v>
      </c>
      <c r="AA183" s="24">
        <f>TModelo[[#This Row],[BalCDT]]+TModelo[[#This Row],[BalCOLCAP]]+TModelo[[#This Row],[BalUSD]]</f>
        <v>0</v>
      </c>
      <c r="AB183" s="24">
        <f>IF(TModelo[[#This Row],[CumInfl]]&gt;0,TModelo[[#This Row],[TotalPreLiq]]/TModelo[[#This Row],[CumInfl]],0)</f>
        <v>0</v>
      </c>
      <c r="AC183" s="41">
        <f>(1+PerRate)^(-TModelo[[#This Row],[Period]])</f>
        <v>0.29651336115236565</v>
      </c>
      <c r="AD183" s="42">
        <f>TModelo[[#This Row],[NetCF]]*TModelo[[#This Row],[fd]]</f>
        <v>0</v>
      </c>
    </row>
    <row r="184" spans="2:30" ht="16.95" customHeight="1">
      <c r="B184" s="11">
        <v>157</v>
      </c>
      <c r="C184" s="25">
        <f>EDATE(FechaInicio,TModelo[[#This Row],[Period]])</f>
        <v>51072</v>
      </c>
      <c r="D184" s="11">
        <f>IF(AND(TModelo[[#This Row],[Period]]&gt;=1,TModelo[[#This Row],[Period]]&lt;=HorizonteMeses),1,0)</f>
        <v>0</v>
      </c>
      <c r="E184" s="40">
        <f>TModelo[[#This Row],[Act]]*(INFb+(INFpi0-INFb)*(1-INFa)^TModelo[[#This Row],[Period]])</f>
        <v>0</v>
      </c>
      <c r="F184" s="28">
        <f>IF(TModelo[[#This Row],[Period]]&lt;=HorizonteMeses,F183*(1+TModelo[[#This Row],[InflMes]]),0)</f>
        <v>0</v>
      </c>
      <c r="G184" s="21">
        <f>TModelo[[#This Row],[Act]]*(CDTb+(CDTx0-CDTb)*(1-CDTa)^TModelo[[#This Row],[Period]]+CDTspread)</f>
        <v>0</v>
      </c>
      <c r="H184" s="40">
        <f>TModelo[[#This Row],[Act]]*((1+TModelo[[#This Row],[TasaCDT]])^(1/12)-1)*(1-Retencion)</f>
        <v>0</v>
      </c>
      <c r="I184" s="40">
        <f>TModelo[[#This Row],[Act]]*(EXP(MuCOLCAP+SigmaCOLCAP^2/2)-1)</f>
        <v>0</v>
      </c>
      <c r="J184" s="40">
        <f>TModelo[[#This Row],[Act]]*(EXP(MuTRM+SigmaTRM^2/2)-1)</f>
        <v>0</v>
      </c>
      <c r="K184" s="11">
        <f>TModelo[[#This Row],[Act]]*IF(Rebalanceo="Mensual",1,IF(Rebalanceo="Anual",IF(MOD(TModelo[[#This Row],[Period]]-1,12)=0,1,0),0))</f>
        <v>0</v>
      </c>
      <c r="L184" s="24">
        <f>TModelo[[#This Row],[Act]]*AporteMensual*IF(CrecimientoAporte="Con IPC",F183,1)</f>
        <v>0</v>
      </c>
      <c r="M184" s="24">
        <f>IF(TModelo[[#This Row],[Period]]=HorizonteMeses,TModelo[[#This Row],[TotalPreLiq]],0)</f>
        <v>0</v>
      </c>
      <c r="N184" s="24">
        <f>TModelo[[#This Row],[Inflow]]-TModelo[[#This Row],[Outflow]]</f>
        <v>0</v>
      </c>
      <c r="O184" s="24">
        <f t="shared" si="2"/>
        <v>0</v>
      </c>
      <c r="P184" s="24">
        <f>TModelo[[#This Row],[IntCDT]]+TModelo[[#This Row],[IntCOLCAP]]+TModelo[[#This Row],[IntUSD]]</f>
        <v>0</v>
      </c>
      <c r="Q184" s="24">
        <f>TModelo[[#This Row],[InitialBalance]]+TModelo[[#This Row],[Interest]]+TModelo[[#This Row],[Outflow]]-TModelo[[#This Row],[Inflow]]</f>
        <v>0</v>
      </c>
      <c r="R184" s="24">
        <f>TModelo[[#This Row],[Act]]*IF(TModelo[[#This Row],[Rebal]]=1,PesoCDT*(X183+Y183+Z183),X183)</f>
        <v>0</v>
      </c>
      <c r="S184" s="24">
        <f>TModelo[[#This Row],[Act]]*IF(TModelo[[#This Row],[Rebal]]=1,PesoCOLCAP*(X183+Y183+Z183),Y183)</f>
        <v>0</v>
      </c>
      <c r="T184" s="24">
        <f>TModelo[[#This Row],[Act]]*IF(TModelo[[#This Row],[Rebal]]=1,PesoUSD*(X183+Y183+Z183),Z183)</f>
        <v>0</v>
      </c>
      <c r="U184" s="24">
        <f>TModelo[[#This Row],[IniCDT]]*TModelo[[#This Row],[RetCDT]]</f>
        <v>0</v>
      </c>
      <c r="V184" s="24">
        <f>TModelo[[#This Row],[IniCOLCAP]]*TModelo[[#This Row],[RetCOLCAP]]</f>
        <v>0</v>
      </c>
      <c r="W184" s="24">
        <f>TModelo[[#This Row],[IniUSD]]*TModelo[[#This Row],[RetUSD]]</f>
        <v>0</v>
      </c>
      <c r="X184" s="24">
        <f>TModelo[[#This Row],[Act]]*(TModelo[[#This Row],[IniCDT]]+TModelo[[#This Row],[IntCDT]]+PesoCDT*TModelo[[#This Row],[Outflow]])</f>
        <v>0</v>
      </c>
      <c r="Y184" s="24">
        <f>TModelo[[#This Row],[Act]]*(TModelo[[#This Row],[IniCOLCAP]]+TModelo[[#This Row],[IntCOLCAP]]+PesoCOLCAP*TModelo[[#This Row],[Outflow]])</f>
        <v>0</v>
      </c>
      <c r="Z184" s="24">
        <f>TModelo[[#This Row],[Act]]*(TModelo[[#This Row],[IniUSD]]+TModelo[[#This Row],[IntUSD]]+PesoUSD*TModelo[[#This Row],[Outflow]])</f>
        <v>0</v>
      </c>
      <c r="AA184" s="24">
        <f>TModelo[[#This Row],[BalCDT]]+TModelo[[#This Row],[BalCOLCAP]]+TModelo[[#This Row],[BalUSD]]</f>
        <v>0</v>
      </c>
      <c r="AB184" s="24">
        <f>IF(TModelo[[#This Row],[CumInfl]]&gt;0,TModelo[[#This Row],[TotalPreLiq]]/TModelo[[#This Row],[CumInfl]],0)</f>
        <v>0</v>
      </c>
      <c r="AC184" s="41">
        <f>(1+PerRate)^(-TModelo[[#This Row],[Period]])</f>
        <v>0.29421169781102152</v>
      </c>
      <c r="AD184" s="42">
        <f>TModelo[[#This Row],[NetCF]]*TModelo[[#This Row],[fd]]</f>
        <v>0</v>
      </c>
    </row>
    <row r="185" spans="2:30" ht="16.95" customHeight="1">
      <c r="B185" s="11">
        <v>158</v>
      </c>
      <c r="C185" s="25">
        <f>EDATE(FechaInicio,TModelo[[#This Row],[Period]])</f>
        <v>51103</v>
      </c>
      <c r="D185" s="11">
        <f>IF(AND(TModelo[[#This Row],[Period]]&gt;=1,TModelo[[#This Row],[Period]]&lt;=HorizonteMeses),1,0)</f>
        <v>0</v>
      </c>
      <c r="E185" s="40">
        <f>TModelo[[#This Row],[Act]]*(INFb+(INFpi0-INFb)*(1-INFa)^TModelo[[#This Row],[Period]])</f>
        <v>0</v>
      </c>
      <c r="F185" s="28">
        <f>IF(TModelo[[#This Row],[Period]]&lt;=HorizonteMeses,F184*(1+TModelo[[#This Row],[InflMes]]),0)</f>
        <v>0</v>
      </c>
      <c r="G185" s="21">
        <f>TModelo[[#This Row],[Act]]*(CDTb+(CDTx0-CDTb)*(1-CDTa)^TModelo[[#This Row],[Period]]+CDTspread)</f>
        <v>0</v>
      </c>
      <c r="H185" s="40">
        <f>TModelo[[#This Row],[Act]]*((1+TModelo[[#This Row],[TasaCDT]])^(1/12)-1)*(1-Retencion)</f>
        <v>0</v>
      </c>
      <c r="I185" s="40">
        <f>TModelo[[#This Row],[Act]]*(EXP(MuCOLCAP+SigmaCOLCAP^2/2)-1)</f>
        <v>0</v>
      </c>
      <c r="J185" s="40">
        <f>TModelo[[#This Row],[Act]]*(EXP(MuTRM+SigmaTRM^2/2)-1)</f>
        <v>0</v>
      </c>
      <c r="K185" s="11">
        <f>TModelo[[#This Row],[Act]]*IF(Rebalanceo="Mensual",1,IF(Rebalanceo="Anual",IF(MOD(TModelo[[#This Row],[Period]]-1,12)=0,1,0),0))</f>
        <v>0</v>
      </c>
      <c r="L185" s="24">
        <f>TModelo[[#This Row],[Act]]*AporteMensual*IF(CrecimientoAporte="Con IPC",F184,1)</f>
        <v>0</v>
      </c>
      <c r="M185" s="24">
        <f>IF(TModelo[[#This Row],[Period]]=HorizonteMeses,TModelo[[#This Row],[TotalPreLiq]],0)</f>
        <v>0</v>
      </c>
      <c r="N185" s="24">
        <f>TModelo[[#This Row],[Inflow]]-TModelo[[#This Row],[Outflow]]</f>
        <v>0</v>
      </c>
      <c r="O185" s="24">
        <f t="shared" si="2"/>
        <v>0</v>
      </c>
      <c r="P185" s="24">
        <f>TModelo[[#This Row],[IntCDT]]+TModelo[[#This Row],[IntCOLCAP]]+TModelo[[#This Row],[IntUSD]]</f>
        <v>0</v>
      </c>
      <c r="Q185" s="24">
        <f>TModelo[[#This Row],[InitialBalance]]+TModelo[[#This Row],[Interest]]+TModelo[[#This Row],[Outflow]]-TModelo[[#This Row],[Inflow]]</f>
        <v>0</v>
      </c>
      <c r="R185" s="24">
        <f>TModelo[[#This Row],[Act]]*IF(TModelo[[#This Row],[Rebal]]=1,PesoCDT*(X184+Y184+Z184),X184)</f>
        <v>0</v>
      </c>
      <c r="S185" s="24">
        <f>TModelo[[#This Row],[Act]]*IF(TModelo[[#This Row],[Rebal]]=1,PesoCOLCAP*(X184+Y184+Z184),Y184)</f>
        <v>0</v>
      </c>
      <c r="T185" s="24">
        <f>TModelo[[#This Row],[Act]]*IF(TModelo[[#This Row],[Rebal]]=1,PesoUSD*(X184+Y184+Z184),Z184)</f>
        <v>0</v>
      </c>
      <c r="U185" s="24">
        <f>TModelo[[#This Row],[IniCDT]]*TModelo[[#This Row],[RetCDT]]</f>
        <v>0</v>
      </c>
      <c r="V185" s="24">
        <f>TModelo[[#This Row],[IniCOLCAP]]*TModelo[[#This Row],[RetCOLCAP]]</f>
        <v>0</v>
      </c>
      <c r="W185" s="24">
        <f>TModelo[[#This Row],[IniUSD]]*TModelo[[#This Row],[RetUSD]]</f>
        <v>0</v>
      </c>
      <c r="X185" s="24">
        <f>TModelo[[#This Row],[Act]]*(TModelo[[#This Row],[IniCDT]]+TModelo[[#This Row],[IntCDT]]+PesoCDT*TModelo[[#This Row],[Outflow]])</f>
        <v>0</v>
      </c>
      <c r="Y185" s="24">
        <f>TModelo[[#This Row],[Act]]*(TModelo[[#This Row],[IniCOLCAP]]+TModelo[[#This Row],[IntCOLCAP]]+PesoCOLCAP*TModelo[[#This Row],[Outflow]])</f>
        <v>0</v>
      </c>
      <c r="Z185" s="24">
        <f>TModelo[[#This Row],[Act]]*(TModelo[[#This Row],[IniUSD]]+TModelo[[#This Row],[IntUSD]]+PesoUSD*TModelo[[#This Row],[Outflow]])</f>
        <v>0</v>
      </c>
      <c r="AA185" s="24">
        <f>TModelo[[#This Row],[BalCDT]]+TModelo[[#This Row],[BalCOLCAP]]+TModelo[[#This Row],[BalUSD]]</f>
        <v>0</v>
      </c>
      <c r="AB185" s="24">
        <f>IF(TModelo[[#This Row],[CumInfl]]&gt;0,TModelo[[#This Row],[TotalPreLiq]]/TModelo[[#This Row],[CumInfl]],0)</f>
        <v>0</v>
      </c>
      <c r="AC185" s="41">
        <f>(1+PerRate)^(-TModelo[[#This Row],[Period]])</f>
        <v>0.29192790096350513</v>
      </c>
      <c r="AD185" s="42">
        <f>TModelo[[#This Row],[NetCF]]*TModelo[[#This Row],[fd]]</f>
        <v>0</v>
      </c>
    </row>
    <row r="186" spans="2:30" ht="16.95" customHeight="1">
      <c r="B186" s="11">
        <v>159</v>
      </c>
      <c r="C186" s="25">
        <f>EDATE(FechaInicio,TModelo[[#This Row],[Period]])</f>
        <v>51133</v>
      </c>
      <c r="D186" s="11">
        <f>IF(AND(TModelo[[#This Row],[Period]]&gt;=1,TModelo[[#This Row],[Period]]&lt;=HorizonteMeses),1,0)</f>
        <v>0</v>
      </c>
      <c r="E186" s="40">
        <f>TModelo[[#This Row],[Act]]*(INFb+(INFpi0-INFb)*(1-INFa)^TModelo[[#This Row],[Period]])</f>
        <v>0</v>
      </c>
      <c r="F186" s="28">
        <f>IF(TModelo[[#This Row],[Period]]&lt;=HorizonteMeses,F185*(1+TModelo[[#This Row],[InflMes]]),0)</f>
        <v>0</v>
      </c>
      <c r="G186" s="21">
        <f>TModelo[[#This Row],[Act]]*(CDTb+(CDTx0-CDTb)*(1-CDTa)^TModelo[[#This Row],[Period]]+CDTspread)</f>
        <v>0</v>
      </c>
      <c r="H186" s="40">
        <f>TModelo[[#This Row],[Act]]*((1+TModelo[[#This Row],[TasaCDT]])^(1/12)-1)*(1-Retencion)</f>
        <v>0</v>
      </c>
      <c r="I186" s="40">
        <f>TModelo[[#This Row],[Act]]*(EXP(MuCOLCAP+SigmaCOLCAP^2/2)-1)</f>
        <v>0</v>
      </c>
      <c r="J186" s="40">
        <f>TModelo[[#This Row],[Act]]*(EXP(MuTRM+SigmaTRM^2/2)-1)</f>
        <v>0</v>
      </c>
      <c r="K186" s="11">
        <f>TModelo[[#This Row],[Act]]*IF(Rebalanceo="Mensual",1,IF(Rebalanceo="Anual",IF(MOD(TModelo[[#This Row],[Period]]-1,12)=0,1,0),0))</f>
        <v>0</v>
      </c>
      <c r="L186" s="24">
        <f>TModelo[[#This Row],[Act]]*AporteMensual*IF(CrecimientoAporte="Con IPC",F185,1)</f>
        <v>0</v>
      </c>
      <c r="M186" s="24">
        <f>IF(TModelo[[#This Row],[Period]]=HorizonteMeses,TModelo[[#This Row],[TotalPreLiq]],0)</f>
        <v>0</v>
      </c>
      <c r="N186" s="24">
        <f>TModelo[[#This Row],[Inflow]]-TModelo[[#This Row],[Outflow]]</f>
        <v>0</v>
      </c>
      <c r="O186" s="24">
        <f t="shared" si="2"/>
        <v>0</v>
      </c>
      <c r="P186" s="24">
        <f>TModelo[[#This Row],[IntCDT]]+TModelo[[#This Row],[IntCOLCAP]]+TModelo[[#This Row],[IntUSD]]</f>
        <v>0</v>
      </c>
      <c r="Q186" s="24">
        <f>TModelo[[#This Row],[InitialBalance]]+TModelo[[#This Row],[Interest]]+TModelo[[#This Row],[Outflow]]-TModelo[[#This Row],[Inflow]]</f>
        <v>0</v>
      </c>
      <c r="R186" s="24">
        <f>TModelo[[#This Row],[Act]]*IF(TModelo[[#This Row],[Rebal]]=1,PesoCDT*(X185+Y185+Z185),X185)</f>
        <v>0</v>
      </c>
      <c r="S186" s="24">
        <f>TModelo[[#This Row],[Act]]*IF(TModelo[[#This Row],[Rebal]]=1,PesoCOLCAP*(X185+Y185+Z185),Y185)</f>
        <v>0</v>
      </c>
      <c r="T186" s="24">
        <f>TModelo[[#This Row],[Act]]*IF(TModelo[[#This Row],[Rebal]]=1,PesoUSD*(X185+Y185+Z185),Z185)</f>
        <v>0</v>
      </c>
      <c r="U186" s="24">
        <f>TModelo[[#This Row],[IniCDT]]*TModelo[[#This Row],[RetCDT]]</f>
        <v>0</v>
      </c>
      <c r="V186" s="24">
        <f>TModelo[[#This Row],[IniCOLCAP]]*TModelo[[#This Row],[RetCOLCAP]]</f>
        <v>0</v>
      </c>
      <c r="W186" s="24">
        <f>TModelo[[#This Row],[IniUSD]]*TModelo[[#This Row],[RetUSD]]</f>
        <v>0</v>
      </c>
      <c r="X186" s="24">
        <f>TModelo[[#This Row],[Act]]*(TModelo[[#This Row],[IniCDT]]+TModelo[[#This Row],[IntCDT]]+PesoCDT*TModelo[[#This Row],[Outflow]])</f>
        <v>0</v>
      </c>
      <c r="Y186" s="24">
        <f>TModelo[[#This Row],[Act]]*(TModelo[[#This Row],[IniCOLCAP]]+TModelo[[#This Row],[IntCOLCAP]]+PesoCOLCAP*TModelo[[#This Row],[Outflow]])</f>
        <v>0</v>
      </c>
      <c r="Z186" s="24">
        <f>TModelo[[#This Row],[Act]]*(TModelo[[#This Row],[IniUSD]]+TModelo[[#This Row],[IntUSD]]+PesoUSD*TModelo[[#This Row],[Outflow]])</f>
        <v>0</v>
      </c>
      <c r="AA186" s="24">
        <f>TModelo[[#This Row],[BalCDT]]+TModelo[[#This Row],[BalCOLCAP]]+TModelo[[#This Row],[BalUSD]]</f>
        <v>0</v>
      </c>
      <c r="AB186" s="24">
        <f>IF(TModelo[[#This Row],[CumInfl]]&gt;0,TModelo[[#This Row],[TotalPreLiq]]/TModelo[[#This Row],[CumInfl]],0)</f>
        <v>0</v>
      </c>
      <c r="AC186" s="41">
        <f>(1+PerRate)^(-TModelo[[#This Row],[Period]])</f>
        <v>0.28966183192246125</v>
      </c>
      <c r="AD186" s="42">
        <f>TModelo[[#This Row],[NetCF]]*TModelo[[#This Row],[fd]]</f>
        <v>0</v>
      </c>
    </row>
    <row r="187" spans="2:30" ht="16.95" customHeight="1">
      <c r="B187" s="11">
        <v>160</v>
      </c>
      <c r="C187" s="25">
        <f>EDATE(FechaInicio,TModelo[[#This Row],[Period]])</f>
        <v>51164</v>
      </c>
      <c r="D187" s="11">
        <f>IF(AND(TModelo[[#This Row],[Period]]&gt;=1,TModelo[[#This Row],[Period]]&lt;=HorizonteMeses),1,0)</f>
        <v>0</v>
      </c>
      <c r="E187" s="40">
        <f>TModelo[[#This Row],[Act]]*(INFb+(INFpi0-INFb)*(1-INFa)^TModelo[[#This Row],[Period]])</f>
        <v>0</v>
      </c>
      <c r="F187" s="28">
        <f>IF(TModelo[[#This Row],[Period]]&lt;=HorizonteMeses,F186*(1+TModelo[[#This Row],[InflMes]]),0)</f>
        <v>0</v>
      </c>
      <c r="G187" s="21">
        <f>TModelo[[#This Row],[Act]]*(CDTb+(CDTx0-CDTb)*(1-CDTa)^TModelo[[#This Row],[Period]]+CDTspread)</f>
        <v>0</v>
      </c>
      <c r="H187" s="40">
        <f>TModelo[[#This Row],[Act]]*((1+TModelo[[#This Row],[TasaCDT]])^(1/12)-1)*(1-Retencion)</f>
        <v>0</v>
      </c>
      <c r="I187" s="40">
        <f>TModelo[[#This Row],[Act]]*(EXP(MuCOLCAP+SigmaCOLCAP^2/2)-1)</f>
        <v>0</v>
      </c>
      <c r="J187" s="40">
        <f>TModelo[[#This Row],[Act]]*(EXP(MuTRM+SigmaTRM^2/2)-1)</f>
        <v>0</v>
      </c>
      <c r="K187" s="11">
        <f>TModelo[[#This Row],[Act]]*IF(Rebalanceo="Mensual",1,IF(Rebalanceo="Anual",IF(MOD(TModelo[[#This Row],[Period]]-1,12)=0,1,0),0))</f>
        <v>0</v>
      </c>
      <c r="L187" s="24">
        <f>TModelo[[#This Row],[Act]]*AporteMensual*IF(CrecimientoAporte="Con IPC",F186,1)</f>
        <v>0</v>
      </c>
      <c r="M187" s="24">
        <f>IF(TModelo[[#This Row],[Period]]=HorizonteMeses,TModelo[[#This Row],[TotalPreLiq]],0)</f>
        <v>0</v>
      </c>
      <c r="N187" s="24">
        <f>TModelo[[#This Row],[Inflow]]-TModelo[[#This Row],[Outflow]]</f>
        <v>0</v>
      </c>
      <c r="O187" s="24">
        <f t="shared" si="2"/>
        <v>0</v>
      </c>
      <c r="P187" s="24">
        <f>TModelo[[#This Row],[IntCDT]]+TModelo[[#This Row],[IntCOLCAP]]+TModelo[[#This Row],[IntUSD]]</f>
        <v>0</v>
      </c>
      <c r="Q187" s="24">
        <f>TModelo[[#This Row],[InitialBalance]]+TModelo[[#This Row],[Interest]]+TModelo[[#This Row],[Outflow]]-TModelo[[#This Row],[Inflow]]</f>
        <v>0</v>
      </c>
      <c r="R187" s="24">
        <f>TModelo[[#This Row],[Act]]*IF(TModelo[[#This Row],[Rebal]]=1,PesoCDT*(X186+Y186+Z186),X186)</f>
        <v>0</v>
      </c>
      <c r="S187" s="24">
        <f>TModelo[[#This Row],[Act]]*IF(TModelo[[#This Row],[Rebal]]=1,PesoCOLCAP*(X186+Y186+Z186),Y186)</f>
        <v>0</v>
      </c>
      <c r="T187" s="24">
        <f>TModelo[[#This Row],[Act]]*IF(TModelo[[#This Row],[Rebal]]=1,PesoUSD*(X186+Y186+Z186),Z186)</f>
        <v>0</v>
      </c>
      <c r="U187" s="24">
        <f>TModelo[[#This Row],[IniCDT]]*TModelo[[#This Row],[RetCDT]]</f>
        <v>0</v>
      </c>
      <c r="V187" s="24">
        <f>TModelo[[#This Row],[IniCOLCAP]]*TModelo[[#This Row],[RetCOLCAP]]</f>
        <v>0</v>
      </c>
      <c r="W187" s="24">
        <f>TModelo[[#This Row],[IniUSD]]*TModelo[[#This Row],[RetUSD]]</f>
        <v>0</v>
      </c>
      <c r="X187" s="24">
        <f>TModelo[[#This Row],[Act]]*(TModelo[[#This Row],[IniCDT]]+TModelo[[#This Row],[IntCDT]]+PesoCDT*TModelo[[#This Row],[Outflow]])</f>
        <v>0</v>
      </c>
      <c r="Y187" s="24">
        <f>TModelo[[#This Row],[Act]]*(TModelo[[#This Row],[IniCOLCAP]]+TModelo[[#This Row],[IntCOLCAP]]+PesoCOLCAP*TModelo[[#This Row],[Outflow]])</f>
        <v>0</v>
      </c>
      <c r="Z187" s="24">
        <f>TModelo[[#This Row],[Act]]*(TModelo[[#This Row],[IniUSD]]+TModelo[[#This Row],[IntUSD]]+PesoUSD*TModelo[[#This Row],[Outflow]])</f>
        <v>0</v>
      </c>
      <c r="AA187" s="24">
        <f>TModelo[[#This Row],[BalCDT]]+TModelo[[#This Row],[BalCOLCAP]]+TModelo[[#This Row],[BalUSD]]</f>
        <v>0</v>
      </c>
      <c r="AB187" s="24">
        <f>IF(TModelo[[#This Row],[CumInfl]]&gt;0,TModelo[[#This Row],[TotalPreLiq]]/TModelo[[#This Row],[CumInfl]],0)</f>
        <v>0</v>
      </c>
      <c r="AC187" s="41">
        <f>(1+PerRate)^(-TModelo[[#This Row],[Period]])</f>
        <v>0.28741335307708499</v>
      </c>
      <c r="AD187" s="42">
        <f>TModelo[[#This Row],[NetCF]]*TModelo[[#This Row],[fd]]</f>
        <v>0</v>
      </c>
    </row>
    <row r="188" spans="2:30" ht="16.95" customHeight="1">
      <c r="B188" s="11">
        <v>161</v>
      </c>
      <c r="C188" s="25">
        <f>EDATE(FechaInicio,TModelo[[#This Row],[Period]])</f>
        <v>51195</v>
      </c>
      <c r="D188" s="11">
        <f>IF(AND(TModelo[[#This Row],[Period]]&gt;=1,TModelo[[#This Row],[Period]]&lt;=HorizonteMeses),1,0)</f>
        <v>0</v>
      </c>
      <c r="E188" s="40">
        <f>TModelo[[#This Row],[Act]]*(INFb+(INFpi0-INFb)*(1-INFa)^TModelo[[#This Row],[Period]])</f>
        <v>0</v>
      </c>
      <c r="F188" s="28">
        <f>IF(TModelo[[#This Row],[Period]]&lt;=HorizonteMeses,F187*(1+TModelo[[#This Row],[InflMes]]),0)</f>
        <v>0</v>
      </c>
      <c r="G188" s="21">
        <f>TModelo[[#This Row],[Act]]*(CDTb+(CDTx0-CDTb)*(1-CDTa)^TModelo[[#This Row],[Period]]+CDTspread)</f>
        <v>0</v>
      </c>
      <c r="H188" s="40">
        <f>TModelo[[#This Row],[Act]]*((1+TModelo[[#This Row],[TasaCDT]])^(1/12)-1)*(1-Retencion)</f>
        <v>0</v>
      </c>
      <c r="I188" s="40">
        <f>TModelo[[#This Row],[Act]]*(EXP(MuCOLCAP+SigmaCOLCAP^2/2)-1)</f>
        <v>0</v>
      </c>
      <c r="J188" s="40">
        <f>TModelo[[#This Row],[Act]]*(EXP(MuTRM+SigmaTRM^2/2)-1)</f>
        <v>0</v>
      </c>
      <c r="K188" s="11">
        <f>TModelo[[#This Row],[Act]]*IF(Rebalanceo="Mensual",1,IF(Rebalanceo="Anual",IF(MOD(TModelo[[#This Row],[Period]]-1,12)=0,1,0),0))</f>
        <v>0</v>
      </c>
      <c r="L188" s="24">
        <f>TModelo[[#This Row],[Act]]*AporteMensual*IF(CrecimientoAporte="Con IPC",F187,1)</f>
        <v>0</v>
      </c>
      <c r="M188" s="24">
        <f>IF(TModelo[[#This Row],[Period]]=HorizonteMeses,TModelo[[#This Row],[TotalPreLiq]],0)</f>
        <v>0</v>
      </c>
      <c r="N188" s="24">
        <f>TModelo[[#This Row],[Inflow]]-TModelo[[#This Row],[Outflow]]</f>
        <v>0</v>
      </c>
      <c r="O188" s="24">
        <f t="shared" si="2"/>
        <v>0</v>
      </c>
      <c r="P188" s="24">
        <f>TModelo[[#This Row],[IntCDT]]+TModelo[[#This Row],[IntCOLCAP]]+TModelo[[#This Row],[IntUSD]]</f>
        <v>0</v>
      </c>
      <c r="Q188" s="24">
        <f>TModelo[[#This Row],[InitialBalance]]+TModelo[[#This Row],[Interest]]+TModelo[[#This Row],[Outflow]]-TModelo[[#This Row],[Inflow]]</f>
        <v>0</v>
      </c>
      <c r="R188" s="24">
        <f>TModelo[[#This Row],[Act]]*IF(TModelo[[#This Row],[Rebal]]=1,PesoCDT*(X187+Y187+Z187),X187)</f>
        <v>0</v>
      </c>
      <c r="S188" s="24">
        <f>TModelo[[#This Row],[Act]]*IF(TModelo[[#This Row],[Rebal]]=1,PesoCOLCAP*(X187+Y187+Z187),Y187)</f>
        <v>0</v>
      </c>
      <c r="T188" s="24">
        <f>TModelo[[#This Row],[Act]]*IF(TModelo[[#This Row],[Rebal]]=1,PesoUSD*(X187+Y187+Z187),Z187)</f>
        <v>0</v>
      </c>
      <c r="U188" s="24">
        <f>TModelo[[#This Row],[IniCDT]]*TModelo[[#This Row],[RetCDT]]</f>
        <v>0</v>
      </c>
      <c r="V188" s="24">
        <f>TModelo[[#This Row],[IniCOLCAP]]*TModelo[[#This Row],[RetCOLCAP]]</f>
        <v>0</v>
      </c>
      <c r="W188" s="24">
        <f>TModelo[[#This Row],[IniUSD]]*TModelo[[#This Row],[RetUSD]]</f>
        <v>0</v>
      </c>
      <c r="X188" s="24">
        <f>TModelo[[#This Row],[Act]]*(TModelo[[#This Row],[IniCDT]]+TModelo[[#This Row],[IntCDT]]+PesoCDT*TModelo[[#This Row],[Outflow]])</f>
        <v>0</v>
      </c>
      <c r="Y188" s="24">
        <f>TModelo[[#This Row],[Act]]*(TModelo[[#This Row],[IniCOLCAP]]+TModelo[[#This Row],[IntCOLCAP]]+PesoCOLCAP*TModelo[[#This Row],[Outflow]])</f>
        <v>0</v>
      </c>
      <c r="Z188" s="24">
        <f>TModelo[[#This Row],[Act]]*(TModelo[[#This Row],[IniUSD]]+TModelo[[#This Row],[IntUSD]]+PesoUSD*TModelo[[#This Row],[Outflow]])</f>
        <v>0</v>
      </c>
      <c r="AA188" s="24">
        <f>TModelo[[#This Row],[BalCDT]]+TModelo[[#This Row],[BalCOLCAP]]+TModelo[[#This Row],[BalUSD]]</f>
        <v>0</v>
      </c>
      <c r="AB188" s="24">
        <f>IF(TModelo[[#This Row],[CumInfl]]&gt;0,TModelo[[#This Row],[TotalPreLiq]]/TModelo[[#This Row],[CumInfl]],0)</f>
        <v>0</v>
      </c>
      <c r="AC188" s="41">
        <f>(1+PerRate)^(-TModelo[[#This Row],[Period]])</f>
        <v>0.28518232788476527</v>
      </c>
      <c r="AD188" s="42">
        <f>TModelo[[#This Row],[NetCF]]*TModelo[[#This Row],[fd]]</f>
        <v>0</v>
      </c>
    </row>
    <row r="189" spans="2:30" ht="16.95" customHeight="1">
      <c r="B189" s="11">
        <v>162</v>
      </c>
      <c r="C189" s="25">
        <f>EDATE(FechaInicio,TModelo[[#This Row],[Period]])</f>
        <v>51224</v>
      </c>
      <c r="D189" s="11">
        <f>IF(AND(TModelo[[#This Row],[Period]]&gt;=1,TModelo[[#This Row],[Period]]&lt;=HorizonteMeses),1,0)</f>
        <v>0</v>
      </c>
      <c r="E189" s="40">
        <f>TModelo[[#This Row],[Act]]*(INFb+(INFpi0-INFb)*(1-INFa)^TModelo[[#This Row],[Period]])</f>
        <v>0</v>
      </c>
      <c r="F189" s="28">
        <f>IF(TModelo[[#This Row],[Period]]&lt;=HorizonteMeses,F188*(1+TModelo[[#This Row],[InflMes]]),0)</f>
        <v>0</v>
      </c>
      <c r="G189" s="21">
        <f>TModelo[[#This Row],[Act]]*(CDTb+(CDTx0-CDTb)*(1-CDTa)^TModelo[[#This Row],[Period]]+CDTspread)</f>
        <v>0</v>
      </c>
      <c r="H189" s="40">
        <f>TModelo[[#This Row],[Act]]*((1+TModelo[[#This Row],[TasaCDT]])^(1/12)-1)*(1-Retencion)</f>
        <v>0</v>
      </c>
      <c r="I189" s="40">
        <f>TModelo[[#This Row],[Act]]*(EXP(MuCOLCAP+SigmaCOLCAP^2/2)-1)</f>
        <v>0</v>
      </c>
      <c r="J189" s="40">
        <f>TModelo[[#This Row],[Act]]*(EXP(MuTRM+SigmaTRM^2/2)-1)</f>
        <v>0</v>
      </c>
      <c r="K189" s="11">
        <f>TModelo[[#This Row],[Act]]*IF(Rebalanceo="Mensual",1,IF(Rebalanceo="Anual",IF(MOD(TModelo[[#This Row],[Period]]-1,12)=0,1,0),0))</f>
        <v>0</v>
      </c>
      <c r="L189" s="24">
        <f>TModelo[[#This Row],[Act]]*AporteMensual*IF(CrecimientoAporte="Con IPC",F188,1)</f>
        <v>0</v>
      </c>
      <c r="M189" s="24">
        <f>IF(TModelo[[#This Row],[Period]]=HorizonteMeses,TModelo[[#This Row],[TotalPreLiq]],0)</f>
        <v>0</v>
      </c>
      <c r="N189" s="24">
        <f>TModelo[[#This Row],[Inflow]]-TModelo[[#This Row],[Outflow]]</f>
        <v>0</v>
      </c>
      <c r="O189" s="24">
        <f t="shared" si="2"/>
        <v>0</v>
      </c>
      <c r="P189" s="24">
        <f>TModelo[[#This Row],[IntCDT]]+TModelo[[#This Row],[IntCOLCAP]]+TModelo[[#This Row],[IntUSD]]</f>
        <v>0</v>
      </c>
      <c r="Q189" s="24">
        <f>TModelo[[#This Row],[InitialBalance]]+TModelo[[#This Row],[Interest]]+TModelo[[#This Row],[Outflow]]-TModelo[[#This Row],[Inflow]]</f>
        <v>0</v>
      </c>
      <c r="R189" s="24">
        <f>TModelo[[#This Row],[Act]]*IF(TModelo[[#This Row],[Rebal]]=1,PesoCDT*(X188+Y188+Z188),X188)</f>
        <v>0</v>
      </c>
      <c r="S189" s="24">
        <f>TModelo[[#This Row],[Act]]*IF(TModelo[[#This Row],[Rebal]]=1,PesoCOLCAP*(X188+Y188+Z188),Y188)</f>
        <v>0</v>
      </c>
      <c r="T189" s="24">
        <f>TModelo[[#This Row],[Act]]*IF(TModelo[[#This Row],[Rebal]]=1,PesoUSD*(X188+Y188+Z188),Z188)</f>
        <v>0</v>
      </c>
      <c r="U189" s="24">
        <f>TModelo[[#This Row],[IniCDT]]*TModelo[[#This Row],[RetCDT]]</f>
        <v>0</v>
      </c>
      <c r="V189" s="24">
        <f>TModelo[[#This Row],[IniCOLCAP]]*TModelo[[#This Row],[RetCOLCAP]]</f>
        <v>0</v>
      </c>
      <c r="W189" s="24">
        <f>TModelo[[#This Row],[IniUSD]]*TModelo[[#This Row],[RetUSD]]</f>
        <v>0</v>
      </c>
      <c r="X189" s="24">
        <f>TModelo[[#This Row],[Act]]*(TModelo[[#This Row],[IniCDT]]+TModelo[[#This Row],[IntCDT]]+PesoCDT*TModelo[[#This Row],[Outflow]])</f>
        <v>0</v>
      </c>
      <c r="Y189" s="24">
        <f>TModelo[[#This Row],[Act]]*(TModelo[[#This Row],[IniCOLCAP]]+TModelo[[#This Row],[IntCOLCAP]]+PesoCOLCAP*TModelo[[#This Row],[Outflow]])</f>
        <v>0</v>
      </c>
      <c r="Z189" s="24">
        <f>TModelo[[#This Row],[Act]]*(TModelo[[#This Row],[IniUSD]]+TModelo[[#This Row],[IntUSD]]+PesoUSD*TModelo[[#This Row],[Outflow]])</f>
        <v>0</v>
      </c>
      <c r="AA189" s="24">
        <f>TModelo[[#This Row],[BalCDT]]+TModelo[[#This Row],[BalCOLCAP]]+TModelo[[#This Row],[BalUSD]]</f>
        <v>0</v>
      </c>
      <c r="AB189" s="24">
        <f>IF(TModelo[[#This Row],[CumInfl]]&gt;0,TModelo[[#This Row],[TotalPreLiq]]/TModelo[[#This Row],[CumInfl]],0)</f>
        <v>0</v>
      </c>
      <c r="AC189" s="41">
        <f>(1+PerRate)^(-TModelo[[#This Row],[Period]])</f>
        <v>0.28296862086279317</v>
      </c>
      <c r="AD189" s="42">
        <f>TModelo[[#This Row],[NetCF]]*TModelo[[#This Row],[fd]]</f>
        <v>0</v>
      </c>
    </row>
    <row r="190" spans="2:30" ht="16.95" customHeight="1">
      <c r="B190" s="11">
        <v>163</v>
      </c>
      <c r="C190" s="25">
        <f>EDATE(FechaInicio,TModelo[[#This Row],[Period]])</f>
        <v>51255</v>
      </c>
      <c r="D190" s="11">
        <f>IF(AND(TModelo[[#This Row],[Period]]&gt;=1,TModelo[[#This Row],[Period]]&lt;=HorizonteMeses),1,0)</f>
        <v>0</v>
      </c>
      <c r="E190" s="40">
        <f>TModelo[[#This Row],[Act]]*(INFb+(INFpi0-INFb)*(1-INFa)^TModelo[[#This Row],[Period]])</f>
        <v>0</v>
      </c>
      <c r="F190" s="28">
        <f>IF(TModelo[[#This Row],[Period]]&lt;=HorizonteMeses,F189*(1+TModelo[[#This Row],[InflMes]]),0)</f>
        <v>0</v>
      </c>
      <c r="G190" s="21">
        <f>TModelo[[#This Row],[Act]]*(CDTb+(CDTx0-CDTb)*(1-CDTa)^TModelo[[#This Row],[Period]]+CDTspread)</f>
        <v>0</v>
      </c>
      <c r="H190" s="40">
        <f>TModelo[[#This Row],[Act]]*((1+TModelo[[#This Row],[TasaCDT]])^(1/12)-1)*(1-Retencion)</f>
        <v>0</v>
      </c>
      <c r="I190" s="40">
        <f>TModelo[[#This Row],[Act]]*(EXP(MuCOLCAP+SigmaCOLCAP^2/2)-1)</f>
        <v>0</v>
      </c>
      <c r="J190" s="40">
        <f>TModelo[[#This Row],[Act]]*(EXP(MuTRM+SigmaTRM^2/2)-1)</f>
        <v>0</v>
      </c>
      <c r="K190" s="11">
        <f>TModelo[[#This Row],[Act]]*IF(Rebalanceo="Mensual",1,IF(Rebalanceo="Anual",IF(MOD(TModelo[[#This Row],[Period]]-1,12)=0,1,0),0))</f>
        <v>0</v>
      </c>
      <c r="L190" s="24">
        <f>TModelo[[#This Row],[Act]]*AporteMensual*IF(CrecimientoAporte="Con IPC",F189,1)</f>
        <v>0</v>
      </c>
      <c r="M190" s="24">
        <f>IF(TModelo[[#This Row],[Period]]=HorizonteMeses,TModelo[[#This Row],[TotalPreLiq]],0)</f>
        <v>0</v>
      </c>
      <c r="N190" s="24">
        <f>TModelo[[#This Row],[Inflow]]-TModelo[[#This Row],[Outflow]]</f>
        <v>0</v>
      </c>
      <c r="O190" s="24">
        <f t="shared" si="2"/>
        <v>0</v>
      </c>
      <c r="P190" s="24">
        <f>TModelo[[#This Row],[IntCDT]]+TModelo[[#This Row],[IntCOLCAP]]+TModelo[[#This Row],[IntUSD]]</f>
        <v>0</v>
      </c>
      <c r="Q190" s="24">
        <f>TModelo[[#This Row],[InitialBalance]]+TModelo[[#This Row],[Interest]]+TModelo[[#This Row],[Outflow]]-TModelo[[#This Row],[Inflow]]</f>
        <v>0</v>
      </c>
      <c r="R190" s="24">
        <f>TModelo[[#This Row],[Act]]*IF(TModelo[[#This Row],[Rebal]]=1,PesoCDT*(X189+Y189+Z189),X189)</f>
        <v>0</v>
      </c>
      <c r="S190" s="24">
        <f>TModelo[[#This Row],[Act]]*IF(TModelo[[#This Row],[Rebal]]=1,PesoCOLCAP*(X189+Y189+Z189),Y189)</f>
        <v>0</v>
      </c>
      <c r="T190" s="24">
        <f>TModelo[[#This Row],[Act]]*IF(TModelo[[#This Row],[Rebal]]=1,PesoUSD*(X189+Y189+Z189),Z189)</f>
        <v>0</v>
      </c>
      <c r="U190" s="24">
        <f>TModelo[[#This Row],[IniCDT]]*TModelo[[#This Row],[RetCDT]]</f>
        <v>0</v>
      </c>
      <c r="V190" s="24">
        <f>TModelo[[#This Row],[IniCOLCAP]]*TModelo[[#This Row],[RetCOLCAP]]</f>
        <v>0</v>
      </c>
      <c r="W190" s="24">
        <f>TModelo[[#This Row],[IniUSD]]*TModelo[[#This Row],[RetUSD]]</f>
        <v>0</v>
      </c>
      <c r="X190" s="24">
        <f>TModelo[[#This Row],[Act]]*(TModelo[[#This Row],[IniCDT]]+TModelo[[#This Row],[IntCDT]]+PesoCDT*TModelo[[#This Row],[Outflow]])</f>
        <v>0</v>
      </c>
      <c r="Y190" s="24">
        <f>TModelo[[#This Row],[Act]]*(TModelo[[#This Row],[IniCOLCAP]]+TModelo[[#This Row],[IntCOLCAP]]+PesoCOLCAP*TModelo[[#This Row],[Outflow]])</f>
        <v>0</v>
      </c>
      <c r="Z190" s="24">
        <f>TModelo[[#This Row],[Act]]*(TModelo[[#This Row],[IniUSD]]+TModelo[[#This Row],[IntUSD]]+PesoUSD*TModelo[[#This Row],[Outflow]])</f>
        <v>0</v>
      </c>
      <c r="AA190" s="24">
        <f>TModelo[[#This Row],[BalCDT]]+TModelo[[#This Row],[BalCOLCAP]]+TModelo[[#This Row],[BalUSD]]</f>
        <v>0</v>
      </c>
      <c r="AB190" s="24">
        <f>IF(TModelo[[#This Row],[CumInfl]]&gt;0,TModelo[[#This Row],[TotalPreLiq]]/TModelo[[#This Row],[CumInfl]],0)</f>
        <v>0</v>
      </c>
      <c r="AC190" s="41">
        <f>(1+PerRate)^(-TModelo[[#This Row],[Period]])</f>
        <v>0.28077209758013433</v>
      </c>
      <c r="AD190" s="42">
        <f>TModelo[[#This Row],[NetCF]]*TModelo[[#This Row],[fd]]</f>
        <v>0</v>
      </c>
    </row>
    <row r="191" spans="2:30" ht="16.95" customHeight="1">
      <c r="B191" s="11">
        <v>164</v>
      </c>
      <c r="C191" s="25">
        <f>EDATE(FechaInicio,TModelo[[#This Row],[Period]])</f>
        <v>51285</v>
      </c>
      <c r="D191" s="11">
        <f>IF(AND(TModelo[[#This Row],[Period]]&gt;=1,TModelo[[#This Row],[Period]]&lt;=HorizonteMeses),1,0)</f>
        <v>0</v>
      </c>
      <c r="E191" s="40">
        <f>TModelo[[#This Row],[Act]]*(INFb+(INFpi0-INFb)*(1-INFa)^TModelo[[#This Row],[Period]])</f>
        <v>0</v>
      </c>
      <c r="F191" s="28">
        <f>IF(TModelo[[#This Row],[Period]]&lt;=HorizonteMeses,F190*(1+TModelo[[#This Row],[InflMes]]),0)</f>
        <v>0</v>
      </c>
      <c r="G191" s="21">
        <f>TModelo[[#This Row],[Act]]*(CDTb+(CDTx0-CDTb)*(1-CDTa)^TModelo[[#This Row],[Period]]+CDTspread)</f>
        <v>0</v>
      </c>
      <c r="H191" s="40">
        <f>TModelo[[#This Row],[Act]]*((1+TModelo[[#This Row],[TasaCDT]])^(1/12)-1)*(1-Retencion)</f>
        <v>0</v>
      </c>
      <c r="I191" s="40">
        <f>TModelo[[#This Row],[Act]]*(EXP(MuCOLCAP+SigmaCOLCAP^2/2)-1)</f>
        <v>0</v>
      </c>
      <c r="J191" s="40">
        <f>TModelo[[#This Row],[Act]]*(EXP(MuTRM+SigmaTRM^2/2)-1)</f>
        <v>0</v>
      </c>
      <c r="K191" s="11">
        <f>TModelo[[#This Row],[Act]]*IF(Rebalanceo="Mensual",1,IF(Rebalanceo="Anual",IF(MOD(TModelo[[#This Row],[Period]]-1,12)=0,1,0),0))</f>
        <v>0</v>
      </c>
      <c r="L191" s="24">
        <f>TModelo[[#This Row],[Act]]*AporteMensual*IF(CrecimientoAporte="Con IPC",F190,1)</f>
        <v>0</v>
      </c>
      <c r="M191" s="24">
        <f>IF(TModelo[[#This Row],[Period]]=HorizonteMeses,TModelo[[#This Row],[TotalPreLiq]],0)</f>
        <v>0</v>
      </c>
      <c r="N191" s="24">
        <f>TModelo[[#This Row],[Inflow]]-TModelo[[#This Row],[Outflow]]</f>
        <v>0</v>
      </c>
      <c r="O191" s="24">
        <f t="shared" si="2"/>
        <v>0</v>
      </c>
      <c r="P191" s="24">
        <f>TModelo[[#This Row],[IntCDT]]+TModelo[[#This Row],[IntCOLCAP]]+TModelo[[#This Row],[IntUSD]]</f>
        <v>0</v>
      </c>
      <c r="Q191" s="24">
        <f>TModelo[[#This Row],[InitialBalance]]+TModelo[[#This Row],[Interest]]+TModelo[[#This Row],[Outflow]]-TModelo[[#This Row],[Inflow]]</f>
        <v>0</v>
      </c>
      <c r="R191" s="24">
        <f>TModelo[[#This Row],[Act]]*IF(TModelo[[#This Row],[Rebal]]=1,PesoCDT*(X190+Y190+Z190),X190)</f>
        <v>0</v>
      </c>
      <c r="S191" s="24">
        <f>TModelo[[#This Row],[Act]]*IF(TModelo[[#This Row],[Rebal]]=1,PesoCOLCAP*(X190+Y190+Z190),Y190)</f>
        <v>0</v>
      </c>
      <c r="T191" s="24">
        <f>TModelo[[#This Row],[Act]]*IF(TModelo[[#This Row],[Rebal]]=1,PesoUSD*(X190+Y190+Z190),Z190)</f>
        <v>0</v>
      </c>
      <c r="U191" s="24">
        <f>TModelo[[#This Row],[IniCDT]]*TModelo[[#This Row],[RetCDT]]</f>
        <v>0</v>
      </c>
      <c r="V191" s="24">
        <f>TModelo[[#This Row],[IniCOLCAP]]*TModelo[[#This Row],[RetCOLCAP]]</f>
        <v>0</v>
      </c>
      <c r="W191" s="24">
        <f>TModelo[[#This Row],[IniUSD]]*TModelo[[#This Row],[RetUSD]]</f>
        <v>0</v>
      </c>
      <c r="X191" s="24">
        <f>TModelo[[#This Row],[Act]]*(TModelo[[#This Row],[IniCDT]]+TModelo[[#This Row],[IntCDT]]+PesoCDT*TModelo[[#This Row],[Outflow]])</f>
        <v>0</v>
      </c>
      <c r="Y191" s="24">
        <f>TModelo[[#This Row],[Act]]*(TModelo[[#This Row],[IniCOLCAP]]+TModelo[[#This Row],[IntCOLCAP]]+PesoCOLCAP*TModelo[[#This Row],[Outflow]])</f>
        <v>0</v>
      </c>
      <c r="Z191" s="24">
        <f>TModelo[[#This Row],[Act]]*(TModelo[[#This Row],[IniUSD]]+TModelo[[#This Row],[IntUSD]]+PesoUSD*TModelo[[#This Row],[Outflow]])</f>
        <v>0</v>
      </c>
      <c r="AA191" s="24">
        <f>TModelo[[#This Row],[BalCDT]]+TModelo[[#This Row],[BalCOLCAP]]+TModelo[[#This Row],[BalUSD]]</f>
        <v>0</v>
      </c>
      <c r="AB191" s="24">
        <f>IF(TModelo[[#This Row],[CumInfl]]&gt;0,TModelo[[#This Row],[TotalPreLiq]]/TModelo[[#This Row],[CumInfl]],0)</f>
        <v>0</v>
      </c>
      <c r="AC191" s="41">
        <f>(1+PerRate)^(-TModelo[[#This Row],[Period]])</f>
        <v>0.2785926246492656</v>
      </c>
      <c r="AD191" s="42">
        <f>TModelo[[#This Row],[NetCF]]*TModelo[[#This Row],[fd]]</f>
        <v>0</v>
      </c>
    </row>
    <row r="192" spans="2:30" ht="16.95" customHeight="1">
      <c r="B192" s="11">
        <v>165</v>
      </c>
      <c r="C192" s="25">
        <f>EDATE(FechaInicio,TModelo[[#This Row],[Period]])</f>
        <v>51316</v>
      </c>
      <c r="D192" s="11">
        <f>IF(AND(TModelo[[#This Row],[Period]]&gt;=1,TModelo[[#This Row],[Period]]&lt;=HorizonteMeses),1,0)</f>
        <v>0</v>
      </c>
      <c r="E192" s="40">
        <f>TModelo[[#This Row],[Act]]*(INFb+(INFpi0-INFb)*(1-INFa)^TModelo[[#This Row],[Period]])</f>
        <v>0</v>
      </c>
      <c r="F192" s="28">
        <f>IF(TModelo[[#This Row],[Period]]&lt;=HorizonteMeses,F191*(1+TModelo[[#This Row],[InflMes]]),0)</f>
        <v>0</v>
      </c>
      <c r="G192" s="21">
        <f>TModelo[[#This Row],[Act]]*(CDTb+(CDTx0-CDTb)*(1-CDTa)^TModelo[[#This Row],[Period]]+CDTspread)</f>
        <v>0</v>
      </c>
      <c r="H192" s="40">
        <f>TModelo[[#This Row],[Act]]*((1+TModelo[[#This Row],[TasaCDT]])^(1/12)-1)*(1-Retencion)</f>
        <v>0</v>
      </c>
      <c r="I192" s="40">
        <f>TModelo[[#This Row],[Act]]*(EXP(MuCOLCAP+SigmaCOLCAP^2/2)-1)</f>
        <v>0</v>
      </c>
      <c r="J192" s="40">
        <f>TModelo[[#This Row],[Act]]*(EXP(MuTRM+SigmaTRM^2/2)-1)</f>
        <v>0</v>
      </c>
      <c r="K192" s="11">
        <f>TModelo[[#This Row],[Act]]*IF(Rebalanceo="Mensual",1,IF(Rebalanceo="Anual",IF(MOD(TModelo[[#This Row],[Period]]-1,12)=0,1,0),0))</f>
        <v>0</v>
      </c>
      <c r="L192" s="24">
        <f>TModelo[[#This Row],[Act]]*AporteMensual*IF(CrecimientoAporte="Con IPC",F191,1)</f>
        <v>0</v>
      </c>
      <c r="M192" s="24">
        <f>IF(TModelo[[#This Row],[Period]]=HorizonteMeses,TModelo[[#This Row],[TotalPreLiq]],0)</f>
        <v>0</v>
      </c>
      <c r="N192" s="24">
        <f>TModelo[[#This Row],[Inflow]]-TModelo[[#This Row],[Outflow]]</f>
        <v>0</v>
      </c>
      <c r="O192" s="24">
        <f t="shared" si="2"/>
        <v>0</v>
      </c>
      <c r="P192" s="24">
        <f>TModelo[[#This Row],[IntCDT]]+TModelo[[#This Row],[IntCOLCAP]]+TModelo[[#This Row],[IntUSD]]</f>
        <v>0</v>
      </c>
      <c r="Q192" s="24">
        <f>TModelo[[#This Row],[InitialBalance]]+TModelo[[#This Row],[Interest]]+TModelo[[#This Row],[Outflow]]-TModelo[[#This Row],[Inflow]]</f>
        <v>0</v>
      </c>
      <c r="R192" s="24">
        <f>TModelo[[#This Row],[Act]]*IF(TModelo[[#This Row],[Rebal]]=1,PesoCDT*(X191+Y191+Z191),X191)</f>
        <v>0</v>
      </c>
      <c r="S192" s="24">
        <f>TModelo[[#This Row],[Act]]*IF(TModelo[[#This Row],[Rebal]]=1,PesoCOLCAP*(X191+Y191+Z191),Y191)</f>
        <v>0</v>
      </c>
      <c r="T192" s="24">
        <f>TModelo[[#This Row],[Act]]*IF(TModelo[[#This Row],[Rebal]]=1,PesoUSD*(X191+Y191+Z191),Z191)</f>
        <v>0</v>
      </c>
      <c r="U192" s="24">
        <f>TModelo[[#This Row],[IniCDT]]*TModelo[[#This Row],[RetCDT]]</f>
        <v>0</v>
      </c>
      <c r="V192" s="24">
        <f>TModelo[[#This Row],[IniCOLCAP]]*TModelo[[#This Row],[RetCOLCAP]]</f>
        <v>0</v>
      </c>
      <c r="W192" s="24">
        <f>TModelo[[#This Row],[IniUSD]]*TModelo[[#This Row],[RetUSD]]</f>
        <v>0</v>
      </c>
      <c r="X192" s="24">
        <f>TModelo[[#This Row],[Act]]*(TModelo[[#This Row],[IniCDT]]+TModelo[[#This Row],[IntCDT]]+PesoCDT*TModelo[[#This Row],[Outflow]])</f>
        <v>0</v>
      </c>
      <c r="Y192" s="24">
        <f>TModelo[[#This Row],[Act]]*(TModelo[[#This Row],[IniCOLCAP]]+TModelo[[#This Row],[IntCOLCAP]]+PesoCOLCAP*TModelo[[#This Row],[Outflow]])</f>
        <v>0</v>
      </c>
      <c r="Z192" s="24">
        <f>TModelo[[#This Row],[Act]]*(TModelo[[#This Row],[IniUSD]]+TModelo[[#This Row],[IntUSD]]+PesoUSD*TModelo[[#This Row],[Outflow]])</f>
        <v>0</v>
      </c>
      <c r="AA192" s="24">
        <f>TModelo[[#This Row],[BalCDT]]+TModelo[[#This Row],[BalCOLCAP]]+TModelo[[#This Row],[BalUSD]]</f>
        <v>0</v>
      </c>
      <c r="AB192" s="24">
        <f>IF(TModelo[[#This Row],[CumInfl]]&gt;0,TModelo[[#This Row],[TotalPreLiq]]/TModelo[[#This Row],[CumInfl]],0)</f>
        <v>0</v>
      </c>
      <c r="AC192" s="41">
        <f>(1+PerRate)^(-TModelo[[#This Row],[Period]])</f>
        <v>0.2764300697180746</v>
      </c>
      <c r="AD192" s="42">
        <f>TModelo[[#This Row],[NetCF]]*TModelo[[#This Row],[fd]]</f>
        <v>0</v>
      </c>
    </row>
    <row r="193" spans="2:30" ht="16.95" customHeight="1">
      <c r="B193" s="11">
        <v>166</v>
      </c>
      <c r="C193" s="25">
        <f>EDATE(FechaInicio,TModelo[[#This Row],[Period]])</f>
        <v>51346</v>
      </c>
      <c r="D193" s="11">
        <f>IF(AND(TModelo[[#This Row],[Period]]&gt;=1,TModelo[[#This Row],[Period]]&lt;=HorizonteMeses),1,0)</f>
        <v>0</v>
      </c>
      <c r="E193" s="40">
        <f>TModelo[[#This Row],[Act]]*(INFb+(INFpi0-INFb)*(1-INFa)^TModelo[[#This Row],[Period]])</f>
        <v>0</v>
      </c>
      <c r="F193" s="28">
        <f>IF(TModelo[[#This Row],[Period]]&lt;=HorizonteMeses,F192*(1+TModelo[[#This Row],[InflMes]]),0)</f>
        <v>0</v>
      </c>
      <c r="G193" s="21">
        <f>TModelo[[#This Row],[Act]]*(CDTb+(CDTx0-CDTb)*(1-CDTa)^TModelo[[#This Row],[Period]]+CDTspread)</f>
        <v>0</v>
      </c>
      <c r="H193" s="40">
        <f>TModelo[[#This Row],[Act]]*((1+TModelo[[#This Row],[TasaCDT]])^(1/12)-1)*(1-Retencion)</f>
        <v>0</v>
      </c>
      <c r="I193" s="40">
        <f>TModelo[[#This Row],[Act]]*(EXP(MuCOLCAP+SigmaCOLCAP^2/2)-1)</f>
        <v>0</v>
      </c>
      <c r="J193" s="40">
        <f>TModelo[[#This Row],[Act]]*(EXP(MuTRM+SigmaTRM^2/2)-1)</f>
        <v>0</v>
      </c>
      <c r="K193" s="11">
        <f>TModelo[[#This Row],[Act]]*IF(Rebalanceo="Mensual",1,IF(Rebalanceo="Anual",IF(MOD(TModelo[[#This Row],[Period]]-1,12)=0,1,0),0))</f>
        <v>0</v>
      </c>
      <c r="L193" s="24">
        <f>TModelo[[#This Row],[Act]]*AporteMensual*IF(CrecimientoAporte="Con IPC",F192,1)</f>
        <v>0</v>
      </c>
      <c r="M193" s="24">
        <f>IF(TModelo[[#This Row],[Period]]=HorizonteMeses,TModelo[[#This Row],[TotalPreLiq]],0)</f>
        <v>0</v>
      </c>
      <c r="N193" s="24">
        <f>TModelo[[#This Row],[Inflow]]-TModelo[[#This Row],[Outflow]]</f>
        <v>0</v>
      </c>
      <c r="O193" s="24">
        <f t="shared" si="2"/>
        <v>0</v>
      </c>
      <c r="P193" s="24">
        <f>TModelo[[#This Row],[IntCDT]]+TModelo[[#This Row],[IntCOLCAP]]+TModelo[[#This Row],[IntUSD]]</f>
        <v>0</v>
      </c>
      <c r="Q193" s="24">
        <f>TModelo[[#This Row],[InitialBalance]]+TModelo[[#This Row],[Interest]]+TModelo[[#This Row],[Outflow]]-TModelo[[#This Row],[Inflow]]</f>
        <v>0</v>
      </c>
      <c r="R193" s="24">
        <f>TModelo[[#This Row],[Act]]*IF(TModelo[[#This Row],[Rebal]]=1,PesoCDT*(X192+Y192+Z192),X192)</f>
        <v>0</v>
      </c>
      <c r="S193" s="24">
        <f>TModelo[[#This Row],[Act]]*IF(TModelo[[#This Row],[Rebal]]=1,PesoCOLCAP*(X192+Y192+Z192),Y192)</f>
        <v>0</v>
      </c>
      <c r="T193" s="24">
        <f>TModelo[[#This Row],[Act]]*IF(TModelo[[#This Row],[Rebal]]=1,PesoUSD*(X192+Y192+Z192),Z192)</f>
        <v>0</v>
      </c>
      <c r="U193" s="24">
        <f>TModelo[[#This Row],[IniCDT]]*TModelo[[#This Row],[RetCDT]]</f>
        <v>0</v>
      </c>
      <c r="V193" s="24">
        <f>TModelo[[#This Row],[IniCOLCAP]]*TModelo[[#This Row],[RetCOLCAP]]</f>
        <v>0</v>
      </c>
      <c r="W193" s="24">
        <f>TModelo[[#This Row],[IniUSD]]*TModelo[[#This Row],[RetUSD]]</f>
        <v>0</v>
      </c>
      <c r="X193" s="24">
        <f>TModelo[[#This Row],[Act]]*(TModelo[[#This Row],[IniCDT]]+TModelo[[#This Row],[IntCDT]]+PesoCDT*TModelo[[#This Row],[Outflow]])</f>
        <v>0</v>
      </c>
      <c r="Y193" s="24">
        <f>TModelo[[#This Row],[Act]]*(TModelo[[#This Row],[IniCOLCAP]]+TModelo[[#This Row],[IntCOLCAP]]+PesoCOLCAP*TModelo[[#This Row],[Outflow]])</f>
        <v>0</v>
      </c>
      <c r="Z193" s="24">
        <f>TModelo[[#This Row],[Act]]*(TModelo[[#This Row],[IniUSD]]+TModelo[[#This Row],[IntUSD]]+PesoUSD*TModelo[[#This Row],[Outflow]])</f>
        <v>0</v>
      </c>
      <c r="AA193" s="24">
        <f>TModelo[[#This Row],[BalCDT]]+TModelo[[#This Row],[BalCOLCAP]]+TModelo[[#This Row],[BalUSD]]</f>
        <v>0</v>
      </c>
      <c r="AB193" s="24">
        <f>IF(TModelo[[#This Row],[CumInfl]]&gt;0,TModelo[[#This Row],[TotalPreLiq]]/TModelo[[#This Row],[CumInfl]],0)</f>
        <v>0</v>
      </c>
      <c r="AC193" s="41">
        <f>(1+PerRate)^(-TModelo[[#This Row],[Period]])</f>
        <v>0.27428430146182275</v>
      </c>
      <c r="AD193" s="42">
        <f>TModelo[[#This Row],[NetCF]]*TModelo[[#This Row],[fd]]</f>
        <v>0</v>
      </c>
    </row>
    <row r="194" spans="2:30" ht="16.95" customHeight="1">
      <c r="B194" s="11">
        <v>167</v>
      </c>
      <c r="C194" s="25">
        <f>EDATE(FechaInicio,TModelo[[#This Row],[Period]])</f>
        <v>51377</v>
      </c>
      <c r="D194" s="11">
        <f>IF(AND(TModelo[[#This Row],[Period]]&gt;=1,TModelo[[#This Row],[Period]]&lt;=HorizonteMeses),1,0)</f>
        <v>0</v>
      </c>
      <c r="E194" s="40">
        <f>TModelo[[#This Row],[Act]]*(INFb+(INFpi0-INFb)*(1-INFa)^TModelo[[#This Row],[Period]])</f>
        <v>0</v>
      </c>
      <c r="F194" s="28">
        <f>IF(TModelo[[#This Row],[Period]]&lt;=HorizonteMeses,F193*(1+TModelo[[#This Row],[InflMes]]),0)</f>
        <v>0</v>
      </c>
      <c r="G194" s="21">
        <f>TModelo[[#This Row],[Act]]*(CDTb+(CDTx0-CDTb)*(1-CDTa)^TModelo[[#This Row],[Period]]+CDTspread)</f>
        <v>0</v>
      </c>
      <c r="H194" s="40">
        <f>TModelo[[#This Row],[Act]]*((1+TModelo[[#This Row],[TasaCDT]])^(1/12)-1)*(1-Retencion)</f>
        <v>0</v>
      </c>
      <c r="I194" s="40">
        <f>TModelo[[#This Row],[Act]]*(EXP(MuCOLCAP+SigmaCOLCAP^2/2)-1)</f>
        <v>0</v>
      </c>
      <c r="J194" s="40">
        <f>TModelo[[#This Row],[Act]]*(EXP(MuTRM+SigmaTRM^2/2)-1)</f>
        <v>0</v>
      </c>
      <c r="K194" s="11">
        <f>TModelo[[#This Row],[Act]]*IF(Rebalanceo="Mensual",1,IF(Rebalanceo="Anual",IF(MOD(TModelo[[#This Row],[Period]]-1,12)=0,1,0),0))</f>
        <v>0</v>
      </c>
      <c r="L194" s="24">
        <f>TModelo[[#This Row],[Act]]*AporteMensual*IF(CrecimientoAporte="Con IPC",F193,1)</f>
        <v>0</v>
      </c>
      <c r="M194" s="24">
        <f>IF(TModelo[[#This Row],[Period]]=HorizonteMeses,TModelo[[#This Row],[TotalPreLiq]],0)</f>
        <v>0</v>
      </c>
      <c r="N194" s="24">
        <f>TModelo[[#This Row],[Inflow]]-TModelo[[#This Row],[Outflow]]</f>
        <v>0</v>
      </c>
      <c r="O194" s="24">
        <f t="shared" si="2"/>
        <v>0</v>
      </c>
      <c r="P194" s="24">
        <f>TModelo[[#This Row],[IntCDT]]+TModelo[[#This Row],[IntCOLCAP]]+TModelo[[#This Row],[IntUSD]]</f>
        <v>0</v>
      </c>
      <c r="Q194" s="24">
        <f>TModelo[[#This Row],[InitialBalance]]+TModelo[[#This Row],[Interest]]+TModelo[[#This Row],[Outflow]]-TModelo[[#This Row],[Inflow]]</f>
        <v>0</v>
      </c>
      <c r="R194" s="24">
        <f>TModelo[[#This Row],[Act]]*IF(TModelo[[#This Row],[Rebal]]=1,PesoCDT*(X193+Y193+Z193),X193)</f>
        <v>0</v>
      </c>
      <c r="S194" s="24">
        <f>TModelo[[#This Row],[Act]]*IF(TModelo[[#This Row],[Rebal]]=1,PesoCOLCAP*(X193+Y193+Z193),Y193)</f>
        <v>0</v>
      </c>
      <c r="T194" s="24">
        <f>TModelo[[#This Row],[Act]]*IF(TModelo[[#This Row],[Rebal]]=1,PesoUSD*(X193+Y193+Z193),Z193)</f>
        <v>0</v>
      </c>
      <c r="U194" s="24">
        <f>TModelo[[#This Row],[IniCDT]]*TModelo[[#This Row],[RetCDT]]</f>
        <v>0</v>
      </c>
      <c r="V194" s="24">
        <f>TModelo[[#This Row],[IniCOLCAP]]*TModelo[[#This Row],[RetCOLCAP]]</f>
        <v>0</v>
      </c>
      <c r="W194" s="24">
        <f>TModelo[[#This Row],[IniUSD]]*TModelo[[#This Row],[RetUSD]]</f>
        <v>0</v>
      </c>
      <c r="X194" s="24">
        <f>TModelo[[#This Row],[Act]]*(TModelo[[#This Row],[IniCDT]]+TModelo[[#This Row],[IntCDT]]+PesoCDT*TModelo[[#This Row],[Outflow]])</f>
        <v>0</v>
      </c>
      <c r="Y194" s="24">
        <f>TModelo[[#This Row],[Act]]*(TModelo[[#This Row],[IniCOLCAP]]+TModelo[[#This Row],[IntCOLCAP]]+PesoCOLCAP*TModelo[[#This Row],[Outflow]])</f>
        <v>0</v>
      </c>
      <c r="Z194" s="24">
        <f>TModelo[[#This Row],[Act]]*(TModelo[[#This Row],[IniUSD]]+TModelo[[#This Row],[IntUSD]]+PesoUSD*TModelo[[#This Row],[Outflow]])</f>
        <v>0</v>
      </c>
      <c r="AA194" s="24">
        <f>TModelo[[#This Row],[BalCDT]]+TModelo[[#This Row],[BalCOLCAP]]+TModelo[[#This Row],[BalUSD]]</f>
        <v>0</v>
      </c>
      <c r="AB194" s="24">
        <f>IF(TModelo[[#This Row],[CumInfl]]&gt;0,TModelo[[#This Row],[TotalPreLiq]]/TModelo[[#This Row],[CumInfl]],0)</f>
        <v>0</v>
      </c>
      <c r="AC194" s="41">
        <f>(1+PerRate)^(-TModelo[[#This Row],[Period]])</f>
        <v>0.27215518957516999</v>
      </c>
      <c r="AD194" s="42">
        <f>TModelo[[#This Row],[NetCF]]*TModelo[[#This Row],[fd]]</f>
        <v>0</v>
      </c>
    </row>
    <row r="195" spans="2:30" ht="16.95" customHeight="1">
      <c r="B195" s="11">
        <v>168</v>
      </c>
      <c r="C195" s="25">
        <f>EDATE(FechaInicio,TModelo[[#This Row],[Period]])</f>
        <v>51408</v>
      </c>
      <c r="D195" s="11">
        <f>IF(AND(TModelo[[#This Row],[Period]]&gt;=1,TModelo[[#This Row],[Period]]&lt;=HorizonteMeses),1,0)</f>
        <v>0</v>
      </c>
      <c r="E195" s="40">
        <f>TModelo[[#This Row],[Act]]*(INFb+(INFpi0-INFb)*(1-INFa)^TModelo[[#This Row],[Period]])</f>
        <v>0</v>
      </c>
      <c r="F195" s="28">
        <f>IF(TModelo[[#This Row],[Period]]&lt;=HorizonteMeses,F194*(1+TModelo[[#This Row],[InflMes]]),0)</f>
        <v>0</v>
      </c>
      <c r="G195" s="21">
        <f>TModelo[[#This Row],[Act]]*(CDTb+(CDTx0-CDTb)*(1-CDTa)^TModelo[[#This Row],[Period]]+CDTspread)</f>
        <v>0</v>
      </c>
      <c r="H195" s="40">
        <f>TModelo[[#This Row],[Act]]*((1+TModelo[[#This Row],[TasaCDT]])^(1/12)-1)*(1-Retencion)</f>
        <v>0</v>
      </c>
      <c r="I195" s="40">
        <f>TModelo[[#This Row],[Act]]*(EXP(MuCOLCAP+SigmaCOLCAP^2/2)-1)</f>
        <v>0</v>
      </c>
      <c r="J195" s="40">
        <f>TModelo[[#This Row],[Act]]*(EXP(MuTRM+SigmaTRM^2/2)-1)</f>
        <v>0</v>
      </c>
      <c r="K195" s="11">
        <f>TModelo[[#This Row],[Act]]*IF(Rebalanceo="Mensual",1,IF(Rebalanceo="Anual",IF(MOD(TModelo[[#This Row],[Period]]-1,12)=0,1,0),0))</f>
        <v>0</v>
      </c>
      <c r="L195" s="24">
        <f>TModelo[[#This Row],[Act]]*AporteMensual*IF(CrecimientoAporte="Con IPC",F194,1)</f>
        <v>0</v>
      </c>
      <c r="M195" s="24">
        <f>IF(TModelo[[#This Row],[Period]]=HorizonteMeses,TModelo[[#This Row],[TotalPreLiq]],0)</f>
        <v>0</v>
      </c>
      <c r="N195" s="24">
        <f>TModelo[[#This Row],[Inflow]]-TModelo[[#This Row],[Outflow]]</f>
        <v>0</v>
      </c>
      <c r="O195" s="24">
        <f t="shared" si="2"/>
        <v>0</v>
      </c>
      <c r="P195" s="24">
        <f>TModelo[[#This Row],[IntCDT]]+TModelo[[#This Row],[IntCOLCAP]]+TModelo[[#This Row],[IntUSD]]</f>
        <v>0</v>
      </c>
      <c r="Q195" s="24">
        <f>TModelo[[#This Row],[InitialBalance]]+TModelo[[#This Row],[Interest]]+TModelo[[#This Row],[Outflow]]-TModelo[[#This Row],[Inflow]]</f>
        <v>0</v>
      </c>
      <c r="R195" s="24">
        <f>TModelo[[#This Row],[Act]]*IF(TModelo[[#This Row],[Rebal]]=1,PesoCDT*(X194+Y194+Z194),X194)</f>
        <v>0</v>
      </c>
      <c r="S195" s="24">
        <f>TModelo[[#This Row],[Act]]*IF(TModelo[[#This Row],[Rebal]]=1,PesoCOLCAP*(X194+Y194+Z194),Y194)</f>
        <v>0</v>
      </c>
      <c r="T195" s="24">
        <f>TModelo[[#This Row],[Act]]*IF(TModelo[[#This Row],[Rebal]]=1,PesoUSD*(X194+Y194+Z194),Z194)</f>
        <v>0</v>
      </c>
      <c r="U195" s="24">
        <f>TModelo[[#This Row],[IniCDT]]*TModelo[[#This Row],[RetCDT]]</f>
        <v>0</v>
      </c>
      <c r="V195" s="24">
        <f>TModelo[[#This Row],[IniCOLCAP]]*TModelo[[#This Row],[RetCOLCAP]]</f>
        <v>0</v>
      </c>
      <c r="W195" s="24">
        <f>TModelo[[#This Row],[IniUSD]]*TModelo[[#This Row],[RetUSD]]</f>
        <v>0</v>
      </c>
      <c r="X195" s="24">
        <f>TModelo[[#This Row],[Act]]*(TModelo[[#This Row],[IniCDT]]+TModelo[[#This Row],[IntCDT]]+PesoCDT*TModelo[[#This Row],[Outflow]])</f>
        <v>0</v>
      </c>
      <c r="Y195" s="24">
        <f>TModelo[[#This Row],[Act]]*(TModelo[[#This Row],[IniCOLCAP]]+TModelo[[#This Row],[IntCOLCAP]]+PesoCOLCAP*TModelo[[#This Row],[Outflow]])</f>
        <v>0</v>
      </c>
      <c r="Z195" s="24">
        <f>TModelo[[#This Row],[Act]]*(TModelo[[#This Row],[IniUSD]]+TModelo[[#This Row],[IntUSD]]+PesoUSD*TModelo[[#This Row],[Outflow]])</f>
        <v>0</v>
      </c>
      <c r="AA195" s="24">
        <f>TModelo[[#This Row],[BalCDT]]+TModelo[[#This Row],[BalCOLCAP]]+TModelo[[#This Row],[BalUSD]]</f>
        <v>0</v>
      </c>
      <c r="AB195" s="24">
        <f>IF(TModelo[[#This Row],[CumInfl]]&gt;0,TModelo[[#This Row],[TotalPreLiq]]/TModelo[[#This Row],[CumInfl]],0)</f>
        <v>0</v>
      </c>
      <c r="AC195" s="41">
        <f>(1+PerRate)^(-TModelo[[#This Row],[Period]])</f>
        <v>0.27004260476426212</v>
      </c>
      <c r="AD195" s="42">
        <f>TModelo[[#This Row],[NetCF]]*TModelo[[#This Row],[fd]]</f>
        <v>0</v>
      </c>
    </row>
    <row r="196" spans="2:30" ht="16.95" customHeight="1">
      <c r="B196" s="11">
        <v>169</v>
      </c>
      <c r="C196" s="25">
        <f>EDATE(FechaInicio,TModelo[[#This Row],[Period]])</f>
        <v>51438</v>
      </c>
      <c r="D196" s="11">
        <f>IF(AND(TModelo[[#This Row],[Period]]&gt;=1,TModelo[[#This Row],[Period]]&lt;=HorizonteMeses),1,0)</f>
        <v>0</v>
      </c>
      <c r="E196" s="40">
        <f>TModelo[[#This Row],[Act]]*(INFb+(INFpi0-INFb)*(1-INFa)^TModelo[[#This Row],[Period]])</f>
        <v>0</v>
      </c>
      <c r="F196" s="28">
        <f>IF(TModelo[[#This Row],[Period]]&lt;=HorizonteMeses,F195*(1+TModelo[[#This Row],[InflMes]]),0)</f>
        <v>0</v>
      </c>
      <c r="G196" s="21">
        <f>TModelo[[#This Row],[Act]]*(CDTb+(CDTx0-CDTb)*(1-CDTa)^TModelo[[#This Row],[Period]]+CDTspread)</f>
        <v>0</v>
      </c>
      <c r="H196" s="40">
        <f>TModelo[[#This Row],[Act]]*((1+TModelo[[#This Row],[TasaCDT]])^(1/12)-1)*(1-Retencion)</f>
        <v>0</v>
      </c>
      <c r="I196" s="40">
        <f>TModelo[[#This Row],[Act]]*(EXP(MuCOLCAP+SigmaCOLCAP^2/2)-1)</f>
        <v>0</v>
      </c>
      <c r="J196" s="40">
        <f>TModelo[[#This Row],[Act]]*(EXP(MuTRM+SigmaTRM^2/2)-1)</f>
        <v>0</v>
      </c>
      <c r="K196" s="11">
        <f>TModelo[[#This Row],[Act]]*IF(Rebalanceo="Mensual",1,IF(Rebalanceo="Anual",IF(MOD(TModelo[[#This Row],[Period]]-1,12)=0,1,0),0))</f>
        <v>0</v>
      </c>
      <c r="L196" s="24">
        <f>TModelo[[#This Row],[Act]]*AporteMensual*IF(CrecimientoAporte="Con IPC",F195,1)</f>
        <v>0</v>
      </c>
      <c r="M196" s="24">
        <f>IF(TModelo[[#This Row],[Period]]=HorizonteMeses,TModelo[[#This Row],[TotalPreLiq]],0)</f>
        <v>0</v>
      </c>
      <c r="N196" s="24">
        <f>TModelo[[#This Row],[Inflow]]-TModelo[[#This Row],[Outflow]]</f>
        <v>0</v>
      </c>
      <c r="O196" s="24">
        <f t="shared" si="2"/>
        <v>0</v>
      </c>
      <c r="P196" s="24">
        <f>TModelo[[#This Row],[IntCDT]]+TModelo[[#This Row],[IntCOLCAP]]+TModelo[[#This Row],[IntUSD]]</f>
        <v>0</v>
      </c>
      <c r="Q196" s="24">
        <f>TModelo[[#This Row],[InitialBalance]]+TModelo[[#This Row],[Interest]]+TModelo[[#This Row],[Outflow]]-TModelo[[#This Row],[Inflow]]</f>
        <v>0</v>
      </c>
      <c r="R196" s="24">
        <f>TModelo[[#This Row],[Act]]*IF(TModelo[[#This Row],[Rebal]]=1,PesoCDT*(X195+Y195+Z195),X195)</f>
        <v>0</v>
      </c>
      <c r="S196" s="24">
        <f>TModelo[[#This Row],[Act]]*IF(TModelo[[#This Row],[Rebal]]=1,PesoCOLCAP*(X195+Y195+Z195),Y195)</f>
        <v>0</v>
      </c>
      <c r="T196" s="24">
        <f>TModelo[[#This Row],[Act]]*IF(TModelo[[#This Row],[Rebal]]=1,PesoUSD*(X195+Y195+Z195),Z195)</f>
        <v>0</v>
      </c>
      <c r="U196" s="24">
        <f>TModelo[[#This Row],[IniCDT]]*TModelo[[#This Row],[RetCDT]]</f>
        <v>0</v>
      </c>
      <c r="V196" s="24">
        <f>TModelo[[#This Row],[IniCOLCAP]]*TModelo[[#This Row],[RetCOLCAP]]</f>
        <v>0</v>
      </c>
      <c r="W196" s="24">
        <f>TModelo[[#This Row],[IniUSD]]*TModelo[[#This Row],[RetUSD]]</f>
        <v>0</v>
      </c>
      <c r="X196" s="24">
        <f>TModelo[[#This Row],[Act]]*(TModelo[[#This Row],[IniCDT]]+TModelo[[#This Row],[IntCDT]]+PesoCDT*TModelo[[#This Row],[Outflow]])</f>
        <v>0</v>
      </c>
      <c r="Y196" s="24">
        <f>TModelo[[#This Row],[Act]]*(TModelo[[#This Row],[IniCOLCAP]]+TModelo[[#This Row],[IntCOLCAP]]+PesoCOLCAP*TModelo[[#This Row],[Outflow]])</f>
        <v>0</v>
      </c>
      <c r="Z196" s="24">
        <f>TModelo[[#This Row],[Act]]*(TModelo[[#This Row],[IniUSD]]+TModelo[[#This Row],[IntUSD]]+PesoUSD*TModelo[[#This Row],[Outflow]])</f>
        <v>0</v>
      </c>
      <c r="AA196" s="24">
        <f>TModelo[[#This Row],[BalCDT]]+TModelo[[#This Row],[BalCOLCAP]]+TModelo[[#This Row],[BalUSD]]</f>
        <v>0</v>
      </c>
      <c r="AB196" s="24">
        <f>IF(TModelo[[#This Row],[CumInfl]]&gt;0,TModelo[[#This Row],[TotalPreLiq]]/TModelo[[#This Row],[CumInfl]],0)</f>
        <v>0</v>
      </c>
      <c r="AC196" s="41">
        <f>(1+PerRate)^(-TModelo[[#This Row],[Period]])</f>
        <v>0.26794641873887898</v>
      </c>
      <c r="AD196" s="42">
        <f>TModelo[[#This Row],[NetCF]]*TModelo[[#This Row],[fd]]</f>
        <v>0</v>
      </c>
    </row>
    <row r="197" spans="2:30" ht="16.95" customHeight="1">
      <c r="B197" s="11">
        <v>170</v>
      </c>
      <c r="C197" s="25">
        <f>EDATE(FechaInicio,TModelo[[#This Row],[Period]])</f>
        <v>51469</v>
      </c>
      <c r="D197" s="11">
        <f>IF(AND(TModelo[[#This Row],[Period]]&gt;=1,TModelo[[#This Row],[Period]]&lt;=HorizonteMeses),1,0)</f>
        <v>0</v>
      </c>
      <c r="E197" s="40">
        <f>TModelo[[#This Row],[Act]]*(INFb+(INFpi0-INFb)*(1-INFa)^TModelo[[#This Row],[Period]])</f>
        <v>0</v>
      </c>
      <c r="F197" s="28">
        <f>IF(TModelo[[#This Row],[Period]]&lt;=HorizonteMeses,F196*(1+TModelo[[#This Row],[InflMes]]),0)</f>
        <v>0</v>
      </c>
      <c r="G197" s="21">
        <f>TModelo[[#This Row],[Act]]*(CDTb+(CDTx0-CDTb)*(1-CDTa)^TModelo[[#This Row],[Period]]+CDTspread)</f>
        <v>0</v>
      </c>
      <c r="H197" s="40">
        <f>TModelo[[#This Row],[Act]]*((1+TModelo[[#This Row],[TasaCDT]])^(1/12)-1)*(1-Retencion)</f>
        <v>0</v>
      </c>
      <c r="I197" s="40">
        <f>TModelo[[#This Row],[Act]]*(EXP(MuCOLCAP+SigmaCOLCAP^2/2)-1)</f>
        <v>0</v>
      </c>
      <c r="J197" s="40">
        <f>TModelo[[#This Row],[Act]]*(EXP(MuTRM+SigmaTRM^2/2)-1)</f>
        <v>0</v>
      </c>
      <c r="K197" s="11">
        <f>TModelo[[#This Row],[Act]]*IF(Rebalanceo="Mensual",1,IF(Rebalanceo="Anual",IF(MOD(TModelo[[#This Row],[Period]]-1,12)=0,1,0),0))</f>
        <v>0</v>
      </c>
      <c r="L197" s="24">
        <f>TModelo[[#This Row],[Act]]*AporteMensual*IF(CrecimientoAporte="Con IPC",F196,1)</f>
        <v>0</v>
      </c>
      <c r="M197" s="24">
        <f>IF(TModelo[[#This Row],[Period]]=HorizonteMeses,TModelo[[#This Row],[TotalPreLiq]],0)</f>
        <v>0</v>
      </c>
      <c r="N197" s="24">
        <f>TModelo[[#This Row],[Inflow]]-TModelo[[#This Row],[Outflow]]</f>
        <v>0</v>
      </c>
      <c r="O197" s="24">
        <f t="shared" si="2"/>
        <v>0</v>
      </c>
      <c r="P197" s="24">
        <f>TModelo[[#This Row],[IntCDT]]+TModelo[[#This Row],[IntCOLCAP]]+TModelo[[#This Row],[IntUSD]]</f>
        <v>0</v>
      </c>
      <c r="Q197" s="24">
        <f>TModelo[[#This Row],[InitialBalance]]+TModelo[[#This Row],[Interest]]+TModelo[[#This Row],[Outflow]]-TModelo[[#This Row],[Inflow]]</f>
        <v>0</v>
      </c>
      <c r="R197" s="24">
        <f>TModelo[[#This Row],[Act]]*IF(TModelo[[#This Row],[Rebal]]=1,PesoCDT*(X196+Y196+Z196),X196)</f>
        <v>0</v>
      </c>
      <c r="S197" s="24">
        <f>TModelo[[#This Row],[Act]]*IF(TModelo[[#This Row],[Rebal]]=1,PesoCOLCAP*(X196+Y196+Z196),Y196)</f>
        <v>0</v>
      </c>
      <c r="T197" s="24">
        <f>TModelo[[#This Row],[Act]]*IF(TModelo[[#This Row],[Rebal]]=1,PesoUSD*(X196+Y196+Z196),Z196)</f>
        <v>0</v>
      </c>
      <c r="U197" s="24">
        <f>TModelo[[#This Row],[IniCDT]]*TModelo[[#This Row],[RetCDT]]</f>
        <v>0</v>
      </c>
      <c r="V197" s="24">
        <f>TModelo[[#This Row],[IniCOLCAP]]*TModelo[[#This Row],[RetCOLCAP]]</f>
        <v>0</v>
      </c>
      <c r="W197" s="24">
        <f>TModelo[[#This Row],[IniUSD]]*TModelo[[#This Row],[RetUSD]]</f>
        <v>0</v>
      </c>
      <c r="X197" s="24">
        <f>TModelo[[#This Row],[Act]]*(TModelo[[#This Row],[IniCDT]]+TModelo[[#This Row],[IntCDT]]+PesoCDT*TModelo[[#This Row],[Outflow]])</f>
        <v>0</v>
      </c>
      <c r="Y197" s="24">
        <f>TModelo[[#This Row],[Act]]*(TModelo[[#This Row],[IniCOLCAP]]+TModelo[[#This Row],[IntCOLCAP]]+PesoCOLCAP*TModelo[[#This Row],[Outflow]])</f>
        <v>0</v>
      </c>
      <c r="Z197" s="24">
        <f>TModelo[[#This Row],[Act]]*(TModelo[[#This Row],[IniUSD]]+TModelo[[#This Row],[IntUSD]]+PesoUSD*TModelo[[#This Row],[Outflow]])</f>
        <v>0</v>
      </c>
      <c r="AA197" s="24">
        <f>TModelo[[#This Row],[BalCDT]]+TModelo[[#This Row],[BalCOLCAP]]+TModelo[[#This Row],[BalUSD]]</f>
        <v>0</v>
      </c>
      <c r="AB197" s="24">
        <f>IF(TModelo[[#This Row],[CumInfl]]&gt;0,TModelo[[#This Row],[TotalPreLiq]]/TModelo[[#This Row],[CumInfl]],0)</f>
        <v>0</v>
      </c>
      <c r="AC197" s="41">
        <f>(1+PerRate)^(-TModelo[[#This Row],[Period]])</f>
        <v>0.26586650420464375</v>
      </c>
      <c r="AD197" s="42">
        <f>TModelo[[#This Row],[NetCF]]*TModelo[[#This Row],[fd]]</f>
        <v>0</v>
      </c>
    </row>
    <row r="198" spans="2:30" ht="16.95" customHeight="1">
      <c r="B198" s="11">
        <v>171</v>
      </c>
      <c r="C198" s="25">
        <f>EDATE(FechaInicio,TModelo[[#This Row],[Period]])</f>
        <v>51499</v>
      </c>
      <c r="D198" s="11">
        <f>IF(AND(TModelo[[#This Row],[Period]]&gt;=1,TModelo[[#This Row],[Period]]&lt;=HorizonteMeses),1,0)</f>
        <v>0</v>
      </c>
      <c r="E198" s="40">
        <f>TModelo[[#This Row],[Act]]*(INFb+(INFpi0-INFb)*(1-INFa)^TModelo[[#This Row],[Period]])</f>
        <v>0</v>
      </c>
      <c r="F198" s="28">
        <f>IF(TModelo[[#This Row],[Period]]&lt;=HorizonteMeses,F197*(1+TModelo[[#This Row],[InflMes]]),0)</f>
        <v>0</v>
      </c>
      <c r="G198" s="21">
        <f>TModelo[[#This Row],[Act]]*(CDTb+(CDTx0-CDTb)*(1-CDTa)^TModelo[[#This Row],[Period]]+CDTspread)</f>
        <v>0</v>
      </c>
      <c r="H198" s="40">
        <f>TModelo[[#This Row],[Act]]*((1+TModelo[[#This Row],[TasaCDT]])^(1/12)-1)*(1-Retencion)</f>
        <v>0</v>
      </c>
      <c r="I198" s="40">
        <f>TModelo[[#This Row],[Act]]*(EXP(MuCOLCAP+SigmaCOLCAP^2/2)-1)</f>
        <v>0</v>
      </c>
      <c r="J198" s="40">
        <f>TModelo[[#This Row],[Act]]*(EXP(MuTRM+SigmaTRM^2/2)-1)</f>
        <v>0</v>
      </c>
      <c r="K198" s="11">
        <f>TModelo[[#This Row],[Act]]*IF(Rebalanceo="Mensual",1,IF(Rebalanceo="Anual",IF(MOD(TModelo[[#This Row],[Period]]-1,12)=0,1,0),0))</f>
        <v>0</v>
      </c>
      <c r="L198" s="24">
        <f>TModelo[[#This Row],[Act]]*AporteMensual*IF(CrecimientoAporte="Con IPC",F197,1)</f>
        <v>0</v>
      </c>
      <c r="M198" s="24">
        <f>IF(TModelo[[#This Row],[Period]]=HorizonteMeses,TModelo[[#This Row],[TotalPreLiq]],0)</f>
        <v>0</v>
      </c>
      <c r="N198" s="24">
        <f>TModelo[[#This Row],[Inflow]]-TModelo[[#This Row],[Outflow]]</f>
        <v>0</v>
      </c>
      <c r="O198" s="24">
        <f t="shared" si="2"/>
        <v>0</v>
      </c>
      <c r="P198" s="24">
        <f>TModelo[[#This Row],[IntCDT]]+TModelo[[#This Row],[IntCOLCAP]]+TModelo[[#This Row],[IntUSD]]</f>
        <v>0</v>
      </c>
      <c r="Q198" s="24">
        <f>TModelo[[#This Row],[InitialBalance]]+TModelo[[#This Row],[Interest]]+TModelo[[#This Row],[Outflow]]-TModelo[[#This Row],[Inflow]]</f>
        <v>0</v>
      </c>
      <c r="R198" s="24">
        <f>TModelo[[#This Row],[Act]]*IF(TModelo[[#This Row],[Rebal]]=1,PesoCDT*(X197+Y197+Z197),X197)</f>
        <v>0</v>
      </c>
      <c r="S198" s="24">
        <f>TModelo[[#This Row],[Act]]*IF(TModelo[[#This Row],[Rebal]]=1,PesoCOLCAP*(X197+Y197+Z197),Y197)</f>
        <v>0</v>
      </c>
      <c r="T198" s="24">
        <f>TModelo[[#This Row],[Act]]*IF(TModelo[[#This Row],[Rebal]]=1,PesoUSD*(X197+Y197+Z197),Z197)</f>
        <v>0</v>
      </c>
      <c r="U198" s="24">
        <f>TModelo[[#This Row],[IniCDT]]*TModelo[[#This Row],[RetCDT]]</f>
        <v>0</v>
      </c>
      <c r="V198" s="24">
        <f>TModelo[[#This Row],[IniCOLCAP]]*TModelo[[#This Row],[RetCOLCAP]]</f>
        <v>0</v>
      </c>
      <c r="W198" s="24">
        <f>TModelo[[#This Row],[IniUSD]]*TModelo[[#This Row],[RetUSD]]</f>
        <v>0</v>
      </c>
      <c r="X198" s="24">
        <f>TModelo[[#This Row],[Act]]*(TModelo[[#This Row],[IniCDT]]+TModelo[[#This Row],[IntCDT]]+PesoCDT*TModelo[[#This Row],[Outflow]])</f>
        <v>0</v>
      </c>
      <c r="Y198" s="24">
        <f>TModelo[[#This Row],[Act]]*(TModelo[[#This Row],[IniCOLCAP]]+TModelo[[#This Row],[IntCOLCAP]]+PesoCOLCAP*TModelo[[#This Row],[Outflow]])</f>
        <v>0</v>
      </c>
      <c r="Z198" s="24">
        <f>TModelo[[#This Row],[Act]]*(TModelo[[#This Row],[IniUSD]]+TModelo[[#This Row],[IntUSD]]+PesoUSD*TModelo[[#This Row],[Outflow]])</f>
        <v>0</v>
      </c>
      <c r="AA198" s="24">
        <f>TModelo[[#This Row],[BalCDT]]+TModelo[[#This Row],[BalCOLCAP]]+TModelo[[#This Row],[BalUSD]]</f>
        <v>0</v>
      </c>
      <c r="AB198" s="24">
        <f>IF(TModelo[[#This Row],[CumInfl]]&gt;0,TModelo[[#This Row],[TotalPreLiq]]/TModelo[[#This Row],[CumInfl]],0)</f>
        <v>0</v>
      </c>
      <c r="AC198" s="41">
        <f>(1+PerRate)^(-TModelo[[#This Row],[Period]])</f>
        <v>0.26380273485529326</v>
      </c>
      <c r="AD198" s="42">
        <f>TModelo[[#This Row],[NetCF]]*TModelo[[#This Row],[fd]]</f>
        <v>0</v>
      </c>
    </row>
    <row r="199" spans="2:30" ht="16.95" customHeight="1">
      <c r="B199" s="11">
        <v>172</v>
      </c>
      <c r="C199" s="25">
        <f>EDATE(FechaInicio,TModelo[[#This Row],[Period]])</f>
        <v>51530</v>
      </c>
      <c r="D199" s="11">
        <f>IF(AND(TModelo[[#This Row],[Period]]&gt;=1,TModelo[[#This Row],[Period]]&lt;=HorizonteMeses),1,0)</f>
        <v>0</v>
      </c>
      <c r="E199" s="40">
        <f>TModelo[[#This Row],[Act]]*(INFb+(INFpi0-INFb)*(1-INFa)^TModelo[[#This Row],[Period]])</f>
        <v>0</v>
      </c>
      <c r="F199" s="28">
        <f>IF(TModelo[[#This Row],[Period]]&lt;=HorizonteMeses,F198*(1+TModelo[[#This Row],[InflMes]]),0)</f>
        <v>0</v>
      </c>
      <c r="G199" s="21">
        <f>TModelo[[#This Row],[Act]]*(CDTb+(CDTx0-CDTb)*(1-CDTa)^TModelo[[#This Row],[Period]]+CDTspread)</f>
        <v>0</v>
      </c>
      <c r="H199" s="40">
        <f>TModelo[[#This Row],[Act]]*((1+TModelo[[#This Row],[TasaCDT]])^(1/12)-1)*(1-Retencion)</f>
        <v>0</v>
      </c>
      <c r="I199" s="40">
        <f>TModelo[[#This Row],[Act]]*(EXP(MuCOLCAP+SigmaCOLCAP^2/2)-1)</f>
        <v>0</v>
      </c>
      <c r="J199" s="40">
        <f>TModelo[[#This Row],[Act]]*(EXP(MuTRM+SigmaTRM^2/2)-1)</f>
        <v>0</v>
      </c>
      <c r="K199" s="11">
        <f>TModelo[[#This Row],[Act]]*IF(Rebalanceo="Mensual",1,IF(Rebalanceo="Anual",IF(MOD(TModelo[[#This Row],[Period]]-1,12)=0,1,0),0))</f>
        <v>0</v>
      </c>
      <c r="L199" s="24">
        <f>TModelo[[#This Row],[Act]]*AporteMensual*IF(CrecimientoAporte="Con IPC",F198,1)</f>
        <v>0</v>
      </c>
      <c r="M199" s="24">
        <f>IF(TModelo[[#This Row],[Period]]=HorizonteMeses,TModelo[[#This Row],[TotalPreLiq]],0)</f>
        <v>0</v>
      </c>
      <c r="N199" s="24">
        <f>TModelo[[#This Row],[Inflow]]-TModelo[[#This Row],[Outflow]]</f>
        <v>0</v>
      </c>
      <c r="O199" s="24">
        <f t="shared" si="2"/>
        <v>0</v>
      </c>
      <c r="P199" s="24">
        <f>TModelo[[#This Row],[IntCDT]]+TModelo[[#This Row],[IntCOLCAP]]+TModelo[[#This Row],[IntUSD]]</f>
        <v>0</v>
      </c>
      <c r="Q199" s="24">
        <f>TModelo[[#This Row],[InitialBalance]]+TModelo[[#This Row],[Interest]]+TModelo[[#This Row],[Outflow]]-TModelo[[#This Row],[Inflow]]</f>
        <v>0</v>
      </c>
      <c r="R199" s="24">
        <f>TModelo[[#This Row],[Act]]*IF(TModelo[[#This Row],[Rebal]]=1,PesoCDT*(X198+Y198+Z198),X198)</f>
        <v>0</v>
      </c>
      <c r="S199" s="24">
        <f>TModelo[[#This Row],[Act]]*IF(TModelo[[#This Row],[Rebal]]=1,PesoCOLCAP*(X198+Y198+Z198),Y198)</f>
        <v>0</v>
      </c>
      <c r="T199" s="24">
        <f>TModelo[[#This Row],[Act]]*IF(TModelo[[#This Row],[Rebal]]=1,PesoUSD*(X198+Y198+Z198),Z198)</f>
        <v>0</v>
      </c>
      <c r="U199" s="24">
        <f>TModelo[[#This Row],[IniCDT]]*TModelo[[#This Row],[RetCDT]]</f>
        <v>0</v>
      </c>
      <c r="V199" s="24">
        <f>TModelo[[#This Row],[IniCOLCAP]]*TModelo[[#This Row],[RetCOLCAP]]</f>
        <v>0</v>
      </c>
      <c r="W199" s="24">
        <f>TModelo[[#This Row],[IniUSD]]*TModelo[[#This Row],[RetUSD]]</f>
        <v>0</v>
      </c>
      <c r="X199" s="24">
        <f>TModelo[[#This Row],[Act]]*(TModelo[[#This Row],[IniCDT]]+TModelo[[#This Row],[IntCDT]]+PesoCDT*TModelo[[#This Row],[Outflow]])</f>
        <v>0</v>
      </c>
      <c r="Y199" s="24">
        <f>TModelo[[#This Row],[Act]]*(TModelo[[#This Row],[IniCOLCAP]]+TModelo[[#This Row],[IntCOLCAP]]+PesoCOLCAP*TModelo[[#This Row],[Outflow]])</f>
        <v>0</v>
      </c>
      <c r="Z199" s="24">
        <f>TModelo[[#This Row],[Act]]*(TModelo[[#This Row],[IniUSD]]+TModelo[[#This Row],[IntUSD]]+PesoUSD*TModelo[[#This Row],[Outflow]])</f>
        <v>0</v>
      </c>
      <c r="AA199" s="24">
        <f>TModelo[[#This Row],[BalCDT]]+TModelo[[#This Row],[BalCOLCAP]]+TModelo[[#This Row],[BalUSD]]</f>
        <v>0</v>
      </c>
      <c r="AB199" s="24">
        <f>IF(TModelo[[#This Row],[CumInfl]]&gt;0,TModelo[[#This Row],[TotalPreLiq]]/TModelo[[#This Row],[CumInfl]],0)</f>
        <v>0</v>
      </c>
      <c r="AC199" s="41">
        <f>(1+PerRate)^(-TModelo[[#This Row],[Period]])</f>
        <v>0.2617549853650073</v>
      </c>
      <c r="AD199" s="42">
        <f>TModelo[[#This Row],[NetCF]]*TModelo[[#This Row],[fd]]</f>
        <v>0</v>
      </c>
    </row>
    <row r="200" spans="2:30" ht="16.95" customHeight="1">
      <c r="B200" s="11">
        <v>173</v>
      </c>
      <c r="C200" s="25">
        <f>EDATE(FechaInicio,TModelo[[#This Row],[Period]])</f>
        <v>51560</v>
      </c>
      <c r="D200" s="11">
        <f>IF(AND(TModelo[[#This Row],[Period]]&gt;=1,TModelo[[#This Row],[Period]]&lt;=HorizonteMeses),1,0)</f>
        <v>0</v>
      </c>
      <c r="E200" s="40">
        <f>TModelo[[#This Row],[Act]]*(INFb+(INFpi0-INFb)*(1-INFa)^TModelo[[#This Row],[Period]])</f>
        <v>0</v>
      </c>
      <c r="F200" s="28">
        <f>IF(TModelo[[#This Row],[Period]]&lt;=HorizonteMeses,F199*(1+TModelo[[#This Row],[InflMes]]),0)</f>
        <v>0</v>
      </c>
      <c r="G200" s="21">
        <f>TModelo[[#This Row],[Act]]*(CDTb+(CDTx0-CDTb)*(1-CDTa)^TModelo[[#This Row],[Period]]+CDTspread)</f>
        <v>0</v>
      </c>
      <c r="H200" s="40">
        <f>TModelo[[#This Row],[Act]]*((1+TModelo[[#This Row],[TasaCDT]])^(1/12)-1)*(1-Retencion)</f>
        <v>0</v>
      </c>
      <c r="I200" s="40">
        <f>TModelo[[#This Row],[Act]]*(EXP(MuCOLCAP+SigmaCOLCAP^2/2)-1)</f>
        <v>0</v>
      </c>
      <c r="J200" s="40">
        <f>TModelo[[#This Row],[Act]]*(EXP(MuTRM+SigmaTRM^2/2)-1)</f>
        <v>0</v>
      </c>
      <c r="K200" s="11">
        <f>TModelo[[#This Row],[Act]]*IF(Rebalanceo="Mensual",1,IF(Rebalanceo="Anual",IF(MOD(TModelo[[#This Row],[Period]]-1,12)=0,1,0),0))</f>
        <v>0</v>
      </c>
      <c r="L200" s="24">
        <f>TModelo[[#This Row],[Act]]*AporteMensual*IF(CrecimientoAporte="Con IPC",F199,1)</f>
        <v>0</v>
      </c>
      <c r="M200" s="24">
        <f>IF(TModelo[[#This Row],[Period]]=HorizonteMeses,TModelo[[#This Row],[TotalPreLiq]],0)</f>
        <v>0</v>
      </c>
      <c r="N200" s="24">
        <f>TModelo[[#This Row],[Inflow]]-TModelo[[#This Row],[Outflow]]</f>
        <v>0</v>
      </c>
      <c r="O200" s="24">
        <f t="shared" si="2"/>
        <v>0</v>
      </c>
      <c r="P200" s="24">
        <f>TModelo[[#This Row],[IntCDT]]+TModelo[[#This Row],[IntCOLCAP]]+TModelo[[#This Row],[IntUSD]]</f>
        <v>0</v>
      </c>
      <c r="Q200" s="24">
        <f>TModelo[[#This Row],[InitialBalance]]+TModelo[[#This Row],[Interest]]+TModelo[[#This Row],[Outflow]]-TModelo[[#This Row],[Inflow]]</f>
        <v>0</v>
      </c>
      <c r="R200" s="24">
        <f>TModelo[[#This Row],[Act]]*IF(TModelo[[#This Row],[Rebal]]=1,PesoCDT*(X199+Y199+Z199),X199)</f>
        <v>0</v>
      </c>
      <c r="S200" s="24">
        <f>TModelo[[#This Row],[Act]]*IF(TModelo[[#This Row],[Rebal]]=1,PesoCOLCAP*(X199+Y199+Z199),Y199)</f>
        <v>0</v>
      </c>
      <c r="T200" s="24">
        <f>TModelo[[#This Row],[Act]]*IF(TModelo[[#This Row],[Rebal]]=1,PesoUSD*(X199+Y199+Z199),Z199)</f>
        <v>0</v>
      </c>
      <c r="U200" s="24">
        <f>TModelo[[#This Row],[IniCDT]]*TModelo[[#This Row],[RetCDT]]</f>
        <v>0</v>
      </c>
      <c r="V200" s="24">
        <f>TModelo[[#This Row],[IniCOLCAP]]*TModelo[[#This Row],[RetCOLCAP]]</f>
        <v>0</v>
      </c>
      <c r="W200" s="24">
        <f>TModelo[[#This Row],[IniUSD]]*TModelo[[#This Row],[RetUSD]]</f>
        <v>0</v>
      </c>
      <c r="X200" s="24">
        <f>TModelo[[#This Row],[Act]]*(TModelo[[#This Row],[IniCDT]]+TModelo[[#This Row],[IntCDT]]+PesoCDT*TModelo[[#This Row],[Outflow]])</f>
        <v>0</v>
      </c>
      <c r="Y200" s="24">
        <f>TModelo[[#This Row],[Act]]*(TModelo[[#This Row],[IniCOLCAP]]+TModelo[[#This Row],[IntCOLCAP]]+PesoCOLCAP*TModelo[[#This Row],[Outflow]])</f>
        <v>0</v>
      </c>
      <c r="Z200" s="24">
        <f>TModelo[[#This Row],[Act]]*(TModelo[[#This Row],[IniUSD]]+TModelo[[#This Row],[IntUSD]]+PesoUSD*TModelo[[#This Row],[Outflow]])</f>
        <v>0</v>
      </c>
      <c r="AA200" s="24">
        <f>TModelo[[#This Row],[BalCDT]]+TModelo[[#This Row],[BalCOLCAP]]+TModelo[[#This Row],[BalUSD]]</f>
        <v>0</v>
      </c>
      <c r="AB200" s="24">
        <f>IF(TModelo[[#This Row],[CumInfl]]&gt;0,TModelo[[#This Row],[TotalPreLiq]]/TModelo[[#This Row],[CumInfl]],0)</f>
        <v>0</v>
      </c>
      <c r="AC200" s="41">
        <f>(1+PerRate)^(-TModelo[[#This Row],[Period]])</f>
        <v>0.259723131380798</v>
      </c>
      <c r="AD200" s="42">
        <f>TModelo[[#This Row],[NetCF]]*TModelo[[#This Row],[fd]]</f>
        <v>0</v>
      </c>
    </row>
    <row r="201" spans="2:30" ht="16.95" customHeight="1">
      <c r="B201" s="11">
        <v>174</v>
      </c>
      <c r="C201" s="25">
        <f>EDATE(FechaInicio,TModelo[[#This Row],[Period]])</f>
        <v>51589</v>
      </c>
      <c r="D201" s="11">
        <f>IF(AND(TModelo[[#This Row],[Period]]&gt;=1,TModelo[[#This Row],[Period]]&lt;=HorizonteMeses),1,0)</f>
        <v>0</v>
      </c>
      <c r="E201" s="40">
        <f>TModelo[[#This Row],[Act]]*(INFb+(INFpi0-INFb)*(1-INFa)^TModelo[[#This Row],[Period]])</f>
        <v>0</v>
      </c>
      <c r="F201" s="28">
        <f>IF(TModelo[[#This Row],[Period]]&lt;=HorizonteMeses,F200*(1+TModelo[[#This Row],[InflMes]]),0)</f>
        <v>0</v>
      </c>
      <c r="G201" s="21">
        <f>TModelo[[#This Row],[Act]]*(CDTb+(CDTx0-CDTb)*(1-CDTa)^TModelo[[#This Row],[Period]]+CDTspread)</f>
        <v>0</v>
      </c>
      <c r="H201" s="40">
        <f>TModelo[[#This Row],[Act]]*((1+TModelo[[#This Row],[TasaCDT]])^(1/12)-1)*(1-Retencion)</f>
        <v>0</v>
      </c>
      <c r="I201" s="40">
        <f>TModelo[[#This Row],[Act]]*(EXP(MuCOLCAP+SigmaCOLCAP^2/2)-1)</f>
        <v>0</v>
      </c>
      <c r="J201" s="40">
        <f>TModelo[[#This Row],[Act]]*(EXP(MuTRM+SigmaTRM^2/2)-1)</f>
        <v>0</v>
      </c>
      <c r="K201" s="11">
        <f>TModelo[[#This Row],[Act]]*IF(Rebalanceo="Mensual",1,IF(Rebalanceo="Anual",IF(MOD(TModelo[[#This Row],[Period]]-1,12)=0,1,0),0))</f>
        <v>0</v>
      </c>
      <c r="L201" s="24">
        <f>TModelo[[#This Row],[Act]]*AporteMensual*IF(CrecimientoAporte="Con IPC",F200,1)</f>
        <v>0</v>
      </c>
      <c r="M201" s="24">
        <f>IF(TModelo[[#This Row],[Period]]=HorizonteMeses,TModelo[[#This Row],[TotalPreLiq]],0)</f>
        <v>0</v>
      </c>
      <c r="N201" s="24">
        <f>TModelo[[#This Row],[Inflow]]-TModelo[[#This Row],[Outflow]]</f>
        <v>0</v>
      </c>
      <c r="O201" s="24">
        <f t="shared" si="2"/>
        <v>0</v>
      </c>
      <c r="P201" s="24">
        <f>TModelo[[#This Row],[IntCDT]]+TModelo[[#This Row],[IntCOLCAP]]+TModelo[[#This Row],[IntUSD]]</f>
        <v>0</v>
      </c>
      <c r="Q201" s="24">
        <f>TModelo[[#This Row],[InitialBalance]]+TModelo[[#This Row],[Interest]]+TModelo[[#This Row],[Outflow]]-TModelo[[#This Row],[Inflow]]</f>
        <v>0</v>
      </c>
      <c r="R201" s="24">
        <f>TModelo[[#This Row],[Act]]*IF(TModelo[[#This Row],[Rebal]]=1,PesoCDT*(X200+Y200+Z200),X200)</f>
        <v>0</v>
      </c>
      <c r="S201" s="24">
        <f>TModelo[[#This Row],[Act]]*IF(TModelo[[#This Row],[Rebal]]=1,PesoCOLCAP*(X200+Y200+Z200),Y200)</f>
        <v>0</v>
      </c>
      <c r="T201" s="24">
        <f>TModelo[[#This Row],[Act]]*IF(TModelo[[#This Row],[Rebal]]=1,PesoUSD*(X200+Y200+Z200),Z200)</f>
        <v>0</v>
      </c>
      <c r="U201" s="24">
        <f>TModelo[[#This Row],[IniCDT]]*TModelo[[#This Row],[RetCDT]]</f>
        <v>0</v>
      </c>
      <c r="V201" s="24">
        <f>TModelo[[#This Row],[IniCOLCAP]]*TModelo[[#This Row],[RetCOLCAP]]</f>
        <v>0</v>
      </c>
      <c r="W201" s="24">
        <f>TModelo[[#This Row],[IniUSD]]*TModelo[[#This Row],[RetUSD]]</f>
        <v>0</v>
      </c>
      <c r="X201" s="24">
        <f>TModelo[[#This Row],[Act]]*(TModelo[[#This Row],[IniCDT]]+TModelo[[#This Row],[IntCDT]]+PesoCDT*TModelo[[#This Row],[Outflow]])</f>
        <v>0</v>
      </c>
      <c r="Y201" s="24">
        <f>TModelo[[#This Row],[Act]]*(TModelo[[#This Row],[IniCOLCAP]]+TModelo[[#This Row],[IntCOLCAP]]+PesoCOLCAP*TModelo[[#This Row],[Outflow]])</f>
        <v>0</v>
      </c>
      <c r="Z201" s="24">
        <f>TModelo[[#This Row],[Act]]*(TModelo[[#This Row],[IniUSD]]+TModelo[[#This Row],[IntUSD]]+PesoUSD*TModelo[[#This Row],[Outflow]])</f>
        <v>0</v>
      </c>
      <c r="AA201" s="24">
        <f>TModelo[[#This Row],[BalCDT]]+TModelo[[#This Row],[BalCOLCAP]]+TModelo[[#This Row],[BalUSD]]</f>
        <v>0</v>
      </c>
      <c r="AB201" s="24">
        <f>IF(TModelo[[#This Row],[CumInfl]]&gt;0,TModelo[[#This Row],[TotalPreLiq]]/TModelo[[#This Row],[CumInfl]],0)</f>
        <v>0</v>
      </c>
      <c r="AC201" s="41">
        <f>(1+PerRate)^(-TModelo[[#This Row],[Period]])</f>
        <v>0.25770704951495899</v>
      </c>
      <c r="AD201" s="42">
        <f>TModelo[[#This Row],[NetCF]]*TModelo[[#This Row],[fd]]</f>
        <v>0</v>
      </c>
    </row>
    <row r="202" spans="2:30" ht="16.95" customHeight="1">
      <c r="B202" s="11">
        <v>175</v>
      </c>
      <c r="C202" s="25">
        <f>EDATE(FechaInicio,TModelo[[#This Row],[Period]])</f>
        <v>51620</v>
      </c>
      <c r="D202" s="11">
        <f>IF(AND(TModelo[[#This Row],[Period]]&gt;=1,TModelo[[#This Row],[Period]]&lt;=HorizonteMeses),1,0)</f>
        <v>0</v>
      </c>
      <c r="E202" s="40">
        <f>TModelo[[#This Row],[Act]]*(INFb+(INFpi0-INFb)*(1-INFa)^TModelo[[#This Row],[Period]])</f>
        <v>0</v>
      </c>
      <c r="F202" s="28">
        <f>IF(TModelo[[#This Row],[Period]]&lt;=HorizonteMeses,F201*(1+TModelo[[#This Row],[InflMes]]),0)</f>
        <v>0</v>
      </c>
      <c r="G202" s="21">
        <f>TModelo[[#This Row],[Act]]*(CDTb+(CDTx0-CDTb)*(1-CDTa)^TModelo[[#This Row],[Period]]+CDTspread)</f>
        <v>0</v>
      </c>
      <c r="H202" s="40">
        <f>TModelo[[#This Row],[Act]]*((1+TModelo[[#This Row],[TasaCDT]])^(1/12)-1)*(1-Retencion)</f>
        <v>0</v>
      </c>
      <c r="I202" s="40">
        <f>TModelo[[#This Row],[Act]]*(EXP(MuCOLCAP+SigmaCOLCAP^2/2)-1)</f>
        <v>0</v>
      </c>
      <c r="J202" s="40">
        <f>TModelo[[#This Row],[Act]]*(EXP(MuTRM+SigmaTRM^2/2)-1)</f>
        <v>0</v>
      </c>
      <c r="K202" s="11">
        <f>TModelo[[#This Row],[Act]]*IF(Rebalanceo="Mensual",1,IF(Rebalanceo="Anual",IF(MOD(TModelo[[#This Row],[Period]]-1,12)=0,1,0),0))</f>
        <v>0</v>
      </c>
      <c r="L202" s="24">
        <f>TModelo[[#This Row],[Act]]*AporteMensual*IF(CrecimientoAporte="Con IPC",F201,1)</f>
        <v>0</v>
      </c>
      <c r="M202" s="24">
        <f>IF(TModelo[[#This Row],[Period]]=HorizonteMeses,TModelo[[#This Row],[TotalPreLiq]],0)</f>
        <v>0</v>
      </c>
      <c r="N202" s="24">
        <f>TModelo[[#This Row],[Inflow]]-TModelo[[#This Row],[Outflow]]</f>
        <v>0</v>
      </c>
      <c r="O202" s="24">
        <f t="shared" si="2"/>
        <v>0</v>
      </c>
      <c r="P202" s="24">
        <f>TModelo[[#This Row],[IntCDT]]+TModelo[[#This Row],[IntCOLCAP]]+TModelo[[#This Row],[IntUSD]]</f>
        <v>0</v>
      </c>
      <c r="Q202" s="24">
        <f>TModelo[[#This Row],[InitialBalance]]+TModelo[[#This Row],[Interest]]+TModelo[[#This Row],[Outflow]]-TModelo[[#This Row],[Inflow]]</f>
        <v>0</v>
      </c>
      <c r="R202" s="24">
        <f>TModelo[[#This Row],[Act]]*IF(TModelo[[#This Row],[Rebal]]=1,PesoCDT*(X201+Y201+Z201),X201)</f>
        <v>0</v>
      </c>
      <c r="S202" s="24">
        <f>TModelo[[#This Row],[Act]]*IF(TModelo[[#This Row],[Rebal]]=1,PesoCOLCAP*(X201+Y201+Z201),Y201)</f>
        <v>0</v>
      </c>
      <c r="T202" s="24">
        <f>TModelo[[#This Row],[Act]]*IF(TModelo[[#This Row],[Rebal]]=1,PesoUSD*(X201+Y201+Z201),Z201)</f>
        <v>0</v>
      </c>
      <c r="U202" s="24">
        <f>TModelo[[#This Row],[IniCDT]]*TModelo[[#This Row],[RetCDT]]</f>
        <v>0</v>
      </c>
      <c r="V202" s="24">
        <f>TModelo[[#This Row],[IniCOLCAP]]*TModelo[[#This Row],[RetCOLCAP]]</f>
        <v>0</v>
      </c>
      <c r="W202" s="24">
        <f>TModelo[[#This Row],[IniUSD]]*TModelo[[#This Row],[RetUSD]]</f>
        <v>0</v>
      </c>
      <c r="X202" s="24">
        <f>TModelo[[#This Row],[Act]]*(TModelo[[#This Row],[IniCDT]]+TModelo[[#This Row],[IntCDT]]+PesoCDT*TModelo[[#This Row],[Outflow]])</f>
        <v>0</v>
      </c>
      <c r="Y202" s="24">
        <f>TModelo[[#This Row],[Act]]*(TModelo[[#This Row],[IniCOLCAP]]+TModelo[[#This Row],[IntCOLCAP]]+PesoCOLCAP*TModelo[[#This Row],[Outflow]])</f>
        <v>0</v>
      </c>
      <c r="Z202" s="24">
        <f>TModelo[[#This Row],[Act]]*(TModelo[[#This Row],[IniUSD]]+TModelo[[#This Row],[IntUSD]]+PesoUSD*TModelo[[#This Row],[Outflow]])</f>
        <v>0</v>
      </c>
      <c r="AA202" s="24">
        <f>TModelo[[#This Row],[BalCDT]]+TModelo[[#This Row],[BalCOLCAP]]+TModelo[[#This Row],[BalUSD]]</f>
        <v>0</v>
      </c>
      <c r="AB202" s="24">
        <f>IF(TModelo[[#This Row],[CumInfl]]&gt;0,TModelo[[#This Row],[TotalPreLiq]]/TModelo[[#This Row],[CumInfl]],0)</f>
        <v>0</v>
      </c>
      <c r="AC202" s="41">
        <f>(1+PerRate)^(-TModelo[[#This Row],[Period]])</f>
        <v>0.25570661733757138</v>
      </c>
      <c r="AD202" s="42">
        <f>TModelo[[#This Row],[NetCF]]*TModelo[[#This Row],[fd]]</f>
        <v>0</v>
      </c>
    </row>
    <row r="203" spans="2:30" ht="16.95" customHeight="1">
      <c r="B203" s="11">
        <v>176</v>
      </c>
      <c r="C203" s="25">
        <f>EDATE(FechaInicio,TModelo[[#This Row],[Period]])</f>
        <v>51650</v>
      </c>
      <c r="D203" s="11">
        <f>IF(AND(TModelo[[#This Row],[Period]]&gt;=1,TModelo[[#This Row],[Period]]&lt;=HorizonteMeses),1,0)</f>
        <v>0</v>
      </c>
      <c r="E203" s="40">
        <f>TModelo[[#This Row],[Act]]*(INFb+(INFpi0-INFb)*(1-INFa)^TModelo[[#This Row],[Period]])</f>
        <v>0</v>
      </c>
      <c r="F203" s="28">
        <f>IF(TModelo[[#This Row],[Period]]&lt;=HorizonteMeses,F202*(1+TModelo[[#This Row],[InflMes]]),0)</f>
        <v>0</v>
      </c>
      <c r="G203" s="21">
        <f>TModelo[[#This Row],[Act]]*(CDTb+(CDTx0-CDTb)*(1-CDTa)^TModelo[[#This Row],[Period]]+CDTspread)</f>
        <v>0</v>
      </c>
      <c r="H203" s="40">
        <f>TModelo[[#This Row],[Act]]*((1+TModelo[[#This Row],[TasaCDT]])^(1/12)-1)*(1-Retencion)</f>
        <v>0</v>
      </c>
      <c r="I203" s="40">
        <f>TModelo[[#This Row],[Act]]*(EXP(MuCOLCAP+SigmaCOLCAP^2/2)-1)</f>
        <v>0</v>
      </c>
      <c r="J203" s="40">
        <f>TModelo[[#This Row],[Act]]*(EXP(MuTRM+SigmaTRM^2/2)-1)</f>
        <v>0</v>
      </c>
      <c r="K203" s="11">
        <f>TModelo[[#This Row],[Act]]*IF(Rebalanceo="Mensual",1,IF(Rebalanceo="Anual",IF(MOD(TModelo[[#This Row],[Period]]-1,12)=0,1,0),0))</f>
        <v>0</v>
      </c>
      <c r="L203" s="24">
        <f>TModelo[[#This Row],[Act]]*AporteMensual*IF(CrecimientoAporte="Con IPC",F202,1)</f>
        <v>0</v>
      </c>
      <c r="M203" s="24">
        <f>IF(TModelo[[#This Row],[Period]]=HorizonteMeses,TModelo[[#This Row],[TotalPreLiq]],0)</f>
        <v>0</v>
      </c>
      <c r="N203" s="24">
        <f>TModelo[[#This Row],[Inflow]]-TModelo[[#This Row],[Outflow]]</f>
        <v>0</v>
      </c>
      <c r="O203" s="24">
        <f t="shared" si="2"/>
        <v>0</v>
      </c>
      <c r="P203" s="24">
        <f>TModelo[[#This Row],[IntCDT]]+TModelo[[#This Row],[IntCOLCAP]]+TModelo[[#This Row],[IntUSD]]</f>
        <v>0</v>
      </c>
      <c r="Q203" s="24">
        <f>TModelo[[#This Row],[InitialBalance]]+TModelo[[#This Row],[Interest]]+TModelo[[#This Row],[Outflow]]-TModelo[[#This Row],[Inflow]]</f>
        <v>0</v>
      </c>
      <c r="R203" s="24">
        <f>TModelo[[#This Row],[Act]]*IF(TModelo[[#This Row],[Rebal]]=1,PesoCDT*(X202+Y202+Z202),X202)</f>
        <v>0</v>
      </c>
      <c r="S203" s="24">
        <f>TModelo[[#This Row],[Act]]*IF(TModelo[[#This Row],[Rebal]]=1,PesoCOLCAP*(X202+Y202+Z202),Y202)</f>
        <v>0</v>
      </c>
      <c r="T203" s="24">
        <f>TModelo[[#This Row],[Act]]*IF(TModelo[[#This Row],[Rebal]]=1,PesoUSD*(X202+Y202+Z202),Z202)</f>
        <v>0</v>
      </c>
      <c r="U203" s="24">
        <f>TModelo[[#This Row],[IniCDT]]*TModelo[[#This Row],[RetCDT]]</f>
        <v>0</v>
      </c>
      <c r="V203" s="24">
        <f>TModelo[[#This Row],[IniCOLCAP]]*TModelo[[#This Row],[RetCOLCAP]]</f>
        <v>0</v>
      </c>
      <c r="W203" s="24">
        <f>TModelo[[#This Row],[IniUSD]]*TModelo[[#This Row],[RetUSD]]</f>
        <v>0</v>
      </c>
      <c r="X203" s="24">
        <f>TModelo[[#This Row],[Act]]*(TModelo[[#This Row],[IniCDT]]+TModelo[[#This Row],[IntCDT]]+PesoCDT*TModelo[[#This Row],[Outflow]])</f>
        <v>0</v>
      </c>
      <c r="Y203" s="24">
        <f>TModelo[[#This Row],[Act]]*(TModelo[[#This Row],[IniCOLCAP]]+TModelo[[#This Row],[IntCOLCAP]]+PesoCOLCAP*TModelo[[#This Row],[Outflow]])</f>
        <v>0</v>
      </c>
      <c r="Z203" s="24">
        <f>TModelo[[#This Row],[Act]]*(TModelo[[#This Row],[IniUSD]]+TModelo[[#This Row],[IntUSD]]+PesoUSD*TModelo[[#This Row],[Outflow]])</f>
        <v>0</v>
      </c>
      <c r="AA203" s="24">
        <f>TModelo[[#This Row],[BalCDT]]+TModelo[[#This Row],[BalCOLCAP]]+TModelo[[#This Row],[BalUSD]]</f>
        <v>0</v>
      </c>
      <c r="AB203" s="24">
        <f>IF(TModelo[[#This Row],[CumInfl]]&gt;0,TModelo[[#This Row],[TotalPreLiq]]/TModelo[[#This Row],[CumInfl]],0)</f>
        <v>0</v>
      </c>
      <c r="AC203" s="41">
        <f>(1+PerRate)^(-TModelo[[#This Row],[Period]])</f>
        <v>0.25372171336907001</v>
      </c>
      <c r="AD203" s="42">
        <f>TModelo[[#This Row],[NetCF]]*TModelo[[#This Row],[fd]]</f>
        <v>0</v>
      </c>
    </row>
    <row r="204" spans="2:30" ht="16.95" customHeight="1">
      <c r="B204" s="11">
        <v>177</v>
      </c>
      <c r="C204" s="25">
        <f>EDATE(FechaInicio,TModelo[[#This Row],[Period]])</f>
        <v>51681</v>
      </c>
      <c r="D204" s="11">
        <f>IF(AND(TModelo[[#This Row],[Period]]&gt;=1,TModelo[[#This Row],[Period]]&lt;=HorizonteMeses),1,0)</f>
        <v>0</v>
      </c>
      <c r="E204" s="40">
        <f>TModelo[[#This Row],[Act]]*(INFb+(INFpi0-INFb)*(1-INFa)^TModelo[[#This Row],[Period]])</f>
        <v>0</v>
      </c>
      <c r="F204" s="28">
        <f>IF(TModelo[[#This Row],[Period]]&lt;=HorizonteMeses,F203*(1+TModelo[[#This Row],[InflMes]]),0)</f>
        <v>0</v>
      </c>
      <c r="G204" s="21">
        <f>TModelo[[#This Row],[Act]]*(CDTb+(CDTx0-CDTb)*(1-CDTa)^TModelo[[#This Row],[Period]]+CDTspread)</f>
        <v>0</v>
      </c>
      <c r="H204" s="40">
        <f>TModelo[[#This Row],[Act]]*((1+TModelo[[#This Row],[TasaCDT]])^(1/12)-1)*(1-Retencion)</f>
        <v>0</v>
      </c>
      <c r="I204" s="40">
        <f>TModelo[[#This Row],[Act]]*(EXP(MuCOLCAP+SigmaCOLCAP^2/2)-1)</f>
        <v>0</v>
      </c>
      <c r="J204" s="40">
        <f>TModelo[[#This Row],[Act]]*(EXP(MuTRM+SigmaTRM^2/2)-1)</f>
        <v>0</v>
      </c>
      <c r="K204" s="11">
        <f>TModelo[[#This Row],[Act]]*IF(Rebalanceo="Mensual",1,IF(Rebalanceo="Anual",IF(MOD(TModelo[[#This Row],[Period]]-1,12)=0,1,0),0))</f>
        <v>0</v>
      </c>
      <c r="L204" s="24">
        <f>TModelo[[#This Row],[Act]]*AporteMensual*IF(CrecimientoAporte="Con IPC",F203,1)</f>
        <v>0</v>
      </c>
      <c r="M204" s="24">
        <f>IF(TModelo[[#This Row],[Period]]=HorizonteMeses,TModelo[[#This Row],[TotalPreLiq]],0)</f>
        <v>0</v>
      </c>
      <c r="N204" s="24">
        <f>TModelo[[#This Row],[Inflow]]-TModelo[[#This Row],[Outflow]]</f>
        <v>0</v>
      </c>
      <c r="O204" s="24">
        <f t="shared" si="2"/>
        <v>0</v>
      </c>
      <c r="P204" s="24">
        <f>TModelo[[#This Row],[IntCDT]]+TModelo[[#This Row],[IntCOLCAP]]+TModelo[[#This Row],[IntUSD]]</f>
        <v>0</v>
      </c>
      <c r="Q204" s="24">
        <f>TModelo[[#This Row],[InitialBalance]]+TModelo[[#This Row],[Interest]]+TModelo[[#This Row],[Outflow]]-TModelo[[#This Row],[Inflow]]</f>
        <v>0</v>
      </c>
      <c r="R204" s="24">
        <f>TModelo[[#This Row],[Act]]*IF(TModelo[[#This Row],[Rebal]]=1,PesoCDT*(X203+Y203+Z203),X203)</f>
        <v>0</v>
      </c>
      <c r="S204" s="24">
        <f>TModelo[[#This Row],[Act]]*IF(TModelo[[#This Row],[Rebal]]=1,PesoCOLCAP*(X203+Y203+Z203),Y203)</f>
        <v>0</v>
      </c>
      <c r="T204" s="24">
        <f>TModelo[[#This Row],[Act]]*IF(TModelo[[#This Row],[Rebal]]=1,PesoUSD*(X203+Y203+Z203),Z203)</f>
        <v>0</v>
      </c>
      <c r="U204" s="24">
        <f>TModelo[[#This Row],[IniCDT]]*TModelo[[#This Row],[RetCDT]]</f>
        <v>0</v>
      </c>
      <c r="V204" s="24">
        <f>TModelo[[#This Row],[IniCOLCAP]]*TModelo[[#This Row],[RetCOLCAP]]</f>
        <v>0</v>
      </c>
      <c r="W204" s="24">
        <f>TModelo[[#This Row],[IniUSD]]*TModelo[[#This Row],[RetUSD]]</f>
        <v>0</v>
      </c>
      <c r="X204" s="24">
        <f>TModelo[[#This Row],[Act]]*(TModelo[[#This Row],[IniCDT]]+TModelo[[#This Row],[IntCDT]]+PesoCDT*TModelo[[#This Row],[Outflow]])</f>
        <v>0</v>
      </c>
      <c r="Y204" s="24">
        <f>TModelo[[#This Row],[Act]]*(TModelo[[#This Row],[IniCOLCAP]]+TModelo[[#This Row],[IntCOLCAP]]+PesoCOLCAP*TModelo[[#This Row],[Outflow]])</f>
        <v>0</v>
      </c>
      <c r="Z204" s="24">
        <f>TModelo[[#This Row],[Act]]*(TModelo[[#This Row],[IniUSD]]+TModelo[[#This Row],[IntUSD]]+PesoUSD*TModelo[[#This Row],[Outflow]])</f>
        <v>0</v>
      </c>
      <c r="AA204" s="24">
        <f>TModelo[[#This Row],[BalCDT]]+TModelo[[#This Row],[BalCOLCAP]]+TModelo[[#This Row],[BalUSD]]</f>
        <v>0</v>
      </c>
      <c r="AB204" s="24">
        <f>IF(TModelo[[#This Row],[CumInfl]]&gt;0,TModelo[[#This Row],[TotalPreLiq]]/TModelo[[#This Row],[CumInfl]],0)</f>
        <v>0</v>
      </c>
      <c r="AC204" s="41">
        <f>(1+PerRate)^(-TModelo[[#This Row],[Period]])</f>
        <v>0.25175221707286588</v>
      </c>
      <c r="AD204" s="42">
        <f>TModelo[[#This Row],[NetCF]]*TModelo[[#This Row],[fd]]</f>
        <v>0</v>
      </c>
    </row>
    <row r="205" spans="2:30" ht="16.95" customHeight="1">
      <c r="B205" s="11">
        <v>178</v>
      </c>
      <c r="C205" s="25">
        <f>EDATE(FechaInicio,TModelo[[#This Row],[Period]])</f>
        <v>51711</v>
      </c>
      <c r="D205" s="11">
        <f>IF(AND(TModelo[[#This Row],[Period]]&gt;=1,TModelo[[#This Row],[Period]]&lt;=HorizonteMeses),1,0)</f>
        <v>0</v>
      </c>
      <c r="E205" s="40">
        <f>TModelo[[#This Row],[Act]]*(INFb+(INFpi0-INFb)*(1-INFa)^TModelo[[#This Row],[Period]])</f>
        <v>0</v>
      </c>
      <c r="F205" s="28">
        <f>IF(TModelo[[#This Row],[Period]]&lt;=HorizonteMeses,F204*(1+TModelo[[#This Row],[InflMes]]),0)</f>
        <v>0</v>
      </c>
      <c r="G205" s="21">
        <f>TModelo[[#This Row],[Act]]*(CDTb+(CDTx0-CDTb)*(1-CDTa)^TModelo[[#This Row],[Period]]+CDTspread)</f>
        <v>0</v>
      </c>
      <c r="H205" s="40">
        <f>TModelo[[#This Row],[Act]]*((1+TModelo[[#This Row],[TasaCDT]])^(1/12)-1)*(1-Retencion)</f>
        <v>0</v>
      </c>
      <c r="I205" s="40">
        <f>TModelo[[#This Row],[Act]]*(EXP(MuCOLCAP+SigmaCOLCAP^2/2)-1)</f>
        <v>0</v>
      </c>
      <c r="J205" s="40">
        <f>TModelo[[#This Row],[Act]]*(EXP(MuTRM+SigmaTRM^2/2)-1)</f>
        <v>0</v>
      </c>
      <c r="K205" s="11">
        <f>TModelo[[#This Row],[Act]]*IF(Rebalanceo="Mensual",1,IF(Rebalanceo="Anual",IF(MOD(TModelo[[#This Row],[Period]]-1,12)=0,1,0),0))</f>
        <v>0</v>
      </c>
      <c r="L205" s="24">
        <f>TModelo[[#This Row],[Act]]*AporteMensual*IF(CrecimientoAporte="Con IPC",F204,1)</f>
        <v>0</v>
      </c>
      <c r="M205" s="24">
        <f>IF(TModelo[[#This Row],[Period]]=HorizonteMeses,TModelo[[#This Row],[TotalPreLiq]],0)</f>
        <v>0</v>
      </c>
      <c r="N205" s="24">
        <f>TModelo[[#This Row],[Inflow]]-TModelo[[#This Row],[Outflow]]</f>
        <v>0</v>
      </c>
      <c r="O205" s="24">
        <f t="shared" si="2"/>
        <v>0</v>
      </c>
      <c r="P205" s="24">
        <f>TModelo[[#This Row],[IntCDT]]+TModelo[[#This Row],[IntCOLCAP]]+TModelo[[#This Row],[IntUSD]]</f>
        <v>0</v>
      </c>
      <c r="Q205" s="24">
        <f>TModelo[[#This Row],[InitialBalance]]+TModelo[[#This Row],[Interest]]+TModelo[[#This Row],[Outflow]]-TModelo[[#This Row],[Inflow]]</f>
        <v>0</v>
      </c>
      <c r="R205" s="24">
        <f>TModelo[[#This Row],[Act]]*IF(TModelo[[#This Row],[Rebal]]=1,PesoCDT*(X204+Y204+Z204),X204)</f>
        <v>0</v>
      </c>
      <c r="S205" s="24">
        <f>TModelo[[#This Row],[Act]]*IF(TModelo[[#This Row],[Rebal]]=1,PesoCOLCAP*(X204+Y204+Z204),Y204)</f>
        <v>0</v>
      </c>
      <c r="T205" s="24">
        <f>TModelo[[#This Row],[Act]]*IF(TModelo[[#This Row],[Rebal]]=1,PesoUSD*(X204+Y204+Z204),Z204)</f>
        <v>0</v>
      </c>
      <c r="U205" s="24">
        <f>TModelo[[#This Row],[IniCDT]]*TModelo[[#This Row],[RetCDT]]</f>
        <v>0</v>
      </c>
      <c r="V205" s="24">
        <f>TModelo[[#This Row],[IniCOLCAP]]*TModelo[[#This Row],[RetCOLCAP]]</f>
        <v>0</v>
      </c>
      <c r="W205" s="24">
        <f>TModelo[[#This Row],[IniUSD]]*TModelo[[#This Row],[RetUSD]]</f>
        <v>0</v>
      </c>
      <c r="X205" s="24">
        <f>TModelo[[#This Row],[Act]]*(TModelo[[#This Row],[IniCDT]]+TModelo[[#This Row],[IntCDT]]+PesoCDT*TModelo[[#This Row],[Outflow]])</f>
        <v>0</v>
      </c>
      <c r="Y205" s="24">
        <f>TModelo[[#This Row],[Act]]*(TModelo[[#This Row],[IniCOLCAP]]+TModelo[[#This Row],[IntCOLCAP]]+PesoCOLCAP*TModelo[[#This Row],[Outflow]])</f>
        <v>0</v>
      </c>
      <c r="Z205" s="24">
        <f>TModelo[[#This Row],[Act]]*(TModelo[[#This Row],[IniUSD]]+TModelo[[#This Row],[IntUSD]]+PesoUSD*TModelo[[#This Row],[Outflow]])</f>
        <v>0</v>
      </c>
      <c r="AA205" s="24">
        <f>TModelo[[#This Row],[BalCDT]]+TModelo[[#This Row],[BalCOLCAP]]+TModelo[[#This Row],[BalUSD]]</f>
        <v>0</v>
      </c>
      <c r="AB205" s="24">
        <f>IF(TModelo[[#This Row],[CumInfl]]&gt;0,TModelo[[#This Row],[TotalPreLiq]]/TModelo[[#This Row],[CumInfl]],0)</f>
        <v>0</v>
      </c>
      <c r="AC205" s="41">
        <f>(1+PerRate)^(-TModelo[[#This Row],[Period]])</f>
        <v>0.24979800884802653</v>
      </c>
      <c r="AD205" s="42">
        <f>TModelo[[#This Row],[NetCF]]*TModelo[[#This Row],[fd]]</f>
        <v>0</v>
      </c>
    </row>
    <row r="206" spans="2:30" ht="16.95" customHeight="1">
      <c r="B206" s="11">
        <v>179</v>
      </c>
      <c r="C206" s="25">
        <f>EDATE(FechaInicio,TModelo[[#This Row],[Period]])</f>
        <v>51742</v>
      </c>
      <c r="D206" s="11">
        <f>IF(AND(TModelo[[#This Row],[Period]]&gt;=1,TModelo[[#This Row],[Period]]&lt;=HorizonteMeses),1,0)</f>
        <v>0</v>
      </c>
      <c r="E206" s="40">
        <f>TModelo[[#This Row],[Act]]*(INFb+(INFpi0-INFb)*(1-INFa)^TModelo[[#This Row],[Period]])</f>
        <v>0</v>
      </c>
      <c r="F206" s="28">
        <f>IF(TModelo[[#This Row],[Period]]&lt;=HorizonteMeses,F205*(1+TModelo[[#This Row],[InflMes]]),0)</f>
        <v>0</v>
      </c>
      <c r="G206" s="21">
        <f>TModelo[[#This Row],[Act]]*(CDTb+(CDTx0-CDTb)*(1-CDTa)^TModelo[[#This Row],[Period]]+CDTspread)</f>
        <v>0</v>
      </c>
      <c r="H206" s="40">
        <f>TModelo[[#This Row],[Act]]*((1+TModelo[[#This Row],[TasaCDT]])^(1/12)-1)*(1-Retencion)</f>
        <v>0</v>
      </c>
      <c r="I206" s="40">
        <f>TModelo[[#This Row],[Act]]*(EXP(MuCOLCAP+SigmaCOLCAP^2/2)-1)</f>
        <v>0</v>
      </c>
      <c r="J206" s="40">
        <f>TModelo[[#This Row],[Act]]*(EXP(MuTRM+SigmaTRM^2/2)-1)</f>
        <v>0</v>
      </c>
      <c r="K206" s="11">
        <f>TModelo[[#This Row],[Act]]*IF(Rebalanceo="Mensual",1,IF(Rebalanceo="Anual",IF(MOD(TModelo[[#This Row],[Period]]-1,12)=0,1,0),0))</f>
        <v>0</v>
      </c>
      <c r="L206" s="24">
        <f>TModelo[[#This Row],[Act]]*AporteMensual*IF(CrecimientoAporte="Con IPC",F205,1)</f>
        <v>0</v>
      </c>
      <c r="M206" s="24">
        <f>IF(TModelo[[#This Row],[Period]]=HorizonteMeses,TModelo[[#This Row],[TotalPreLiq]],0)</f>
        <v>0</v>
      </c>
      <c r="N206" s="24">
        <f>TModelo[[#This Row],[Inflow]]-TModelo[[#This Row],[Outflow]]</f>
        <v>0</v>
      </c>
      <c r="O206" s="24">
        <f t="shared" si="2"/>
        <v>0</v>
      </c>
      <c r="P206" s="24">
        <f>TModelo[[#This Row],[IntCDT]]+TModelo[[#This Row],[IntCOLCAP]]+TModelo[[#This Row],[IntUSD]]</f>
        <v>0</v>
      </c>
      <c r="Q206" s="24">
        <f>TModelo[[#This Row],[InitialBalance]]+TModelo[[#This Row],[Interest]]+TModelo[[#This Row],[Outflow]]-TModelo[[#This Row],[Inflow]]</f>
        <v>0</v>
      </c>
      <c r="R206" s="24">
        <f>TModelo[[#This Row],[Act]]*IF(TModelo[[#This Row],[Rebal]]=1,PesoCDT*(X205+Y205+Z205),X205)</f>
        <v>0</v>
      </c>
      <c r="S206" s="24">
        <f>TModelo[[#This Row],[Act]]*IF(TModelo[[#This Row],[Rebal]]=1,PesoCOLCAP*(X205+Y205+Z205),Y205)</f>
        <v>0</v>
      </c>
      <c r="T206" s="24">
        <f>TModelo[[#This Row],[Act]]*IF(TModelo[[#This Row],[Rebal]]=1,PesoUSD*(X205+Y205+Z205),Z205)</f>
        <v>0</v>
      </c>
      <c r="U206" s="24">
        <f>TModelo[[#This Row],[IniCDT]]*TModelo[[#This Row],[RetCDT]]</f>
        <v>0</v>
      </c>
      <c r="V206" s="24">
        <f>TModelo[[#This Row],[IniCOLCAP]]*TModelo[[#This Row],[RetCOLCAP]]</f>
        <v>0</v>
      </c>
      <c r="W206" s="24">
        <f>TModelo[[#This Row],[IniUSD]]*TModelo[[#This Row],[RetUSD]]</f>
        <v>0</v>
      </c>
      <c r="X206" s="24">
        <f>TModelo[[#This Row],[Act]]*(TModelo[[#This Row],[IniCDT]]+TModelo[[#This Row],[IntCDT]]+PesoCDT*TModelo[[#This Row],[Outflow]])</f>
        <v>0</v>
      </c>
      <c r="Y206" s="24">
        <f>TModelo[[#This Row],[Act]]*(TModelo[[#This Row],[IniCOLCAP]]+TModelo[[#This Row],[IntCOLCAP]]+PesoCOLCAP*TModelo[[#This Row],[Outflow]])</f>
        <v>0</v>
      </c>
      <c r="Z206" s="24">
        <f>TModelo[[#This Row],[Act]]*(TModelo[[#This Row],[IniUSD]]+TModelo[[#This Row],[IntUSD]]+PesoUSD*TModelo[[#This Row],[Outflow]])</f>
        <v>0</v>
      </c>
      <c r="AA206" s="24">
        <f>TModelo[[#This Row],[BalCDT]]+TModelo[[#This Row],[BalCOLCAP]]+TModelo[[#This Row],[BalUSD]]</f>
        <v>0</v>
      </c>
      <c r="AB206" s="24">
        <f>IF(TModelo[[#This Row],[CumInfl]]&gt;0,TModelo[[#This Row],[TotalPreLiq]]/TModelo[[#This Row],[CumInfl]],0)</f>
        <v>0</v>
      </c>
      <c r="AC206" s="41">
        <f>(1+PerRate)^(-TModelo[[#This Row],[Period]])</f>
        <v>0.24785897002201279</v>
      </c>
      <c r="AD206" s="42">
        <f>TModelo[[#This Row],[NetCF]]*TModelo[[#This Row],[fd]]</f>
        <v>0</v>
      </c>
    </row>
    <row r="207" spans="2:30" ht="16.95" customHeight="1">
      <c r="B207" s="11">
        <v>180</v>
      </c>
      <c r="C207" s="25">
        <f>EDATE(FechaInicio,TModelo[[#This Row],[Period]])</f>
        <v>51773</v>
      </c>
      <c r="D207" s="11">
        <f>IF(AND(TModelo[[#This Row],[Period]]&gt;=1,TModelo[[#This Row],[Period]]&lt;=HorizonteMeses),1,0)</f>
        <v>0</v>
      </c>
      <c r="E207" s="40">
        <f>TModelo[[#This Row],[Act]]*(INFb+(INFpi0-INFb)*(1-INFa)^TModelo[[#This Row],[Period]])</f>
        <v>0</v>
      </c>
      <c r="F207" s="28">
        <f>IF(TModelo[[#This Row],[Period]]&lt;=HorizonteMeses,F206*(1+TModelo[[#This Row],[InflMes]]),0)</f>
        <v>0</v>
      </c>
      <c r="G207" s="21">
        <f>TModelo[[#This Row],[Act]]*(CDTb+(CDTx0-CDTb)*(1-CDTa)^TModelo[[#This Row],[Period]]+CDTspread)</f>
        <v>0</v>
      </c>
      <c r="H207" s="40">
        <f>TModelo[[#This Row],[Act]]*((1+TModelo[[#This Row],[TasaCDT]])^(1/12)-1)*(1-Retencion)</f>
        <v>0</v>
      </c>
      <c r="I207" s="40">
        <f>TModelo[[#This Row],[Act]]*(EXP(MuCOLCAP+SigmaCOLCAP^2/2)-1)</f>
        <v>0</v>
      </c>
      <c r="J207" s="40">
        <f>TModelo[[#This Row],[Act]]*(EXP(MuTRM+SigmaTRM^2/2)-1)</f>
        <v>0</v>
      </c>
      <c r="K207" s="11">
        <f>TModelo[[#This Row],[Act]]*IF(Rebalanceo="Mensual",1,IF(Rebalanceo="Anual",IF(MOD(TModelo[[#This Row],[Period]]-1,12)=0,1,0),0))</f>
        <v>0</v>
      </c>
      <c r="L207" s="24">
        <f>TModelo[[#This Row],[Act]]*AporteMensual*IF(CrecimientoAporte="Con IPC",F206,1)</f>
        <v>0</v>
      </c>
      <c r="M207" s="24">
        <f>IF(TModelo[[#This Row],[Period]]=HorizonteMeses,TModelo[[#This Row],[TotalPreLiq]],0)</f>
        <v>0</v>
      </c>
      <c r="N207" s="24">
        <f>TModelo[[#This Row],[Inflow]]-TModelo[[#This Row],[Outflow]]</f>
        <v>0</v>
      </c>
      <c r="O207" s="24">
        <f t="shared" si="2"/>
        <v>0</v>
      </c>
      <c r="P207" s="24">
        <f>TModelo[[#This Row],[IntCDT]]+TModelo[[#This Row],[IntCOLCAP]]+TModelo[[#This Row],[IntUSD]]</f>
        <v>0</v>
      </c>
      <c r="Q207" s="24">
        <f>TModelo[[#This Row],[InitialBalance]]+TModelo[[#This Row],[Interest]]+TModelo[[#This Row],[Outflow]]-TModelo[[#This Row],[Inflow]]</f>
        <v>0</v>
      </c>
      <c r="R207" s="24">
        <f>TModelo[[#This Row],[Act]]*IF(TModelo[[#This Row],[Rebal]]=1,PesoCDT*(X206+Y206+Z206),X206)</f>
        <v>0</v>
      </c>
      <c r="S207" s="24">
        <f>TModelo[[#This Row],[Act]]*IF(TModelo[[#This Row],[Rebal]]=1,PesoCOLCAP*(X206+Y206+Z206),Y206)</f>
        <v>0</v>
      </c>
      <c r="T207" s="24">
        <f>TModelo[[#This Row],[Act]]*IF(TModelo[[#This Row],[Rebal]]=1,PesoUSD*(X206+Y206+Z206),Z206)</f>
        <v>0</v>
      </c>
      <c r="U207" s="24">
        <f>TModelo[[#This Row],[IniCDT]]*TModelo[[#This Row],[RetCDT]]</f>
        <v>0</v>
      </c>
      <c r="V207" s="24">
        <f>TModelo[[#This Row],[IniCOLCAP]]*TModelo[[#This Row],[RetCOLCAP]]</f>
        <v>0</v>
      </c>
      <c r="W207" s="24">
        <f>TModelo[[#This Row],[IniUSD]]*TModelo[[#This Row],[RetUSD]]</f>
        <v>0</v>
      </c>
      <c r="X207" s="24">
        <f>TModelo[[#This Row],[Act]]*(TModelo[[#This Row],[IniCDT]]+TModelo[[#This Row],[IntCDT]]+PesoCDT*TModelo[[#This Row],[Outflow]])</f>
        <v>0</v>
      </c>
      <c r="Y207" s="24">
        <f>TModelo[[#This Row],[Act]]*(TModelo[[#This Row],[IniCOLCAP]]+TModelo[[#This Row],[IntCOLCAP]]+PesoCOLCAP*TModelo[[#This Row],[Outflow]])</f>
        <v>0</v>
      </c>
      <c r="Z207" s="24">
        <f>TModelo[[#This Row],[Act]]*(TModelo[[#This Row],[IniUSD]]+TModelo[[#This Row],[IntUSD]]+PesoUSD*TModelo[[#This Row],[Outflow]])</f>
        <v>0</v>
      </c>
      <c r="AA207" s="24">
        <f>TModelo[[#This Row],[BalCDT]]+TModelo[[#This Row],[BalCOLCAP]]+TModelo[[#This Row],[BalUSD]]</f>
        <v>0</v>
      </c>
      <c r="AB207" s="24">
        <f>IF(TModelo[[#This Row],[CumInfl]]&gt;0,TModelo[[#This Row],[TotalPreLiq]]/TModelo[[#This Row],[CumInfl]],0)</f>
        <v>0</v>
      </c>
      <c r="AC207" s="41">
        <f>(1+PerRate)^(-TModelo[[#This Row],[Period]])</f>
        <v>0.24593498284347273</v>
      </c>
      <c r="AD207" s="42">
        <f>TModelo[[#This Row],[NetCF]]*TModelo[[#This Row],[fd]]</f>
        <v>0</v>
      </c>
    </row>
    <row r="208" spans="2:30" ht="16.95" customHeight="1">
      <c r="B208" s="11">
        <v>181</v>
      </c>
      <c r="C208" s="25">
        <f>EDATE(FechaInicio,TModelo[[#This Row],[Period]])</f>
        <v>51803</v>
      </c>
      <c r="D208" s="11">
        <f>IF(AND(TModelo[[#This Row],[Period]]&gt;=1,TModelo[[#This Row],[Period]]&lt;=HorizonteMeses),1,0)</f>
        <v>0</v>
      </c>
      <c r="E208" s="40">
        <f>TModelo[[#This Row],[Act]]*(INFb+(INFpi0-INFb)*(1-INFa)^TModelo[[#This Row],[Period]])</f>
        <v>0</v>
      </c>
      <c r="F208" s="28">
        <f>IF(TModelo[[#This Row],[Period]]&lt;=HorizonteMeses,F207*(1+TModelo[[#This Row],[InflMes]]),0)</f>
        <v>0</v>
      </c>
      <c r="G208" s="21">
        <f>TModelo[[#This Row],[Act]]*(CDTb+(CDTx0-CDTb)*(1-CDTa)^TModelo[[#This Row],[Period]]+CDTspread)</f>
        <v>0</v>
      </c>
      <c r="H208" s="40">
        <f>TModelo[[#This Row],[Act]]*((1+TModelo[[#This Row],[TasaCDT]])^(1/12)-1)*(1-Retencion)</f>
        <v>0</v>
      </c>
      <c r="I208" s="40">
        <f>TModelo[[#This Row],[Act]]*(EXP(MuCOLCAP+SigmaCOLCAP^2/2)-1)</f>
        <v>0</v>
      </c>
      <c r="J208" s="40">
        <f>TModelo[[#This Row],[Act]]*(EXP(MuTRM+SigmaTRM^2/2)-1)</f>
        <v>0</v>
      </c>
      <c r="K208" s="11">
        <f>TModelo[[#This Row],[Act]]*IF(Rebalanceo="Mensual",1,IF(Rebalanceo="Anual",IF(MOD(TModelo[[#This Row],[Period]]-1,12)=0,1,0),0))</f>
        <v>0</v>
      </c>
      <c r="L208" s="24">
        <f>TModelo[[#This Row],[Act]]*AporteMensual*IF(CrecimientoAporte="Con IPC",F207,1)</f>
        <v>0</v>
      </c>
      <c r="M208" s="24">
        <f>IF(TModelo[[#This Row],[Period]]=HorizonteMeses,TModelo[[#This Row],[TotalPreLiq]],0)</f>
        <v>0</v>
      </c>
      <c r="N208" s="24">
        <f>TModelo[[#This Row],[Inflow]]-TModelo[[#This Row],[Outflow]]</f>
        <v>0</v>
      </c>
      <c r="O208" s="24">
        <f t="shared" si="2"/>
        <v>0</v>
      </c>
      <c r="P208" s="24">
        <f>TModelo[[#This Row],[IntCDT]]+TModelo[[#This Row],[IntCOLCAP]]+TModelo[[#This Row],[IntUSD]]</f>
        <v>0</v>
      </c>
      <c r="Q208" s="24">
        <f>TModelo[[#This Row],[InitialBalance]]+TModelo[[#This Row],[Interest]]+TModelo[[#This Row],[Outflow]]-TModelo[[#This Row],[Inflow]]</f>
        <v>0</v>
      </c>
      <c r="R208" s="24">
        <f>TModelo[[#This Row],[Act]]*IF(TModelo[[#This Row],[Rebal]]=1,PesoCDT*(X207+Y207+Z207),X207)</f>
        <v>0</v>
      </c>
      <c r="S208" s="24">
        <f>TModelo[[#This Row],[Act]]*IF(TModelo[[#This Row],[Rebal]]=1,PesoCOLCAP*(X207+Y207+Z207),Y207)</f>
        <v>0</v>
      </c>
      <c r="T208" s="24">
        <f>TModelo[[#This Row],[Act]]*IF(TModelo[[#This Row],[Rebal]]=1,PesoUSD*(X207+Y207+Z207),Z207)</f>
        <v>0</v>
      </c>
      <c r="U208" s="24">
        <f>TModelo[[#This Row],[IniCDT]]*TModelo[[#This Row],[RetCDT]]</f>
        <v>0</v>
      </c>
      <c r="V208" s="24">
        <f>TModelo[[#This Row],[IniCOLCAP]]*TModelo[[#This Row],[RetCOLCAP]]</f>
        <v>0</v>
      </c>
      <c r="W208" s="24">
        <f>TModelo[[#This Row],[IniUSD]]*TModelo[[#This Row],[RetUSD]]</f>
        <v>0</v>
      </c>
      <c r="X208" s="24">
        <f>TModelo[[#This Row],[Act]]*(TModelo[[#This Row],[IniCDT]]+TModelo[[#This Row],[IntCDT]]+PesoCDT*TModelo[[#This Row],[Outflow]])</f>
        <v>0</v>
      </c>
      <c r="Y208" s="24">
        <f>TModelo[[#This Row],[Act]]*(TModelo[[#This Row],[IniCOLCAP]]+TModelo[[#This Row],[IntCOLCAP]]+PesoCOLCAP*TModelo[[#This Row],[Outflow]])</f>
        <v>0</v>
      </c>
      <c r="Z208" s="24">
        <f>TModelo[[#This Row],[Act]]*(TModelo[[#This Row],[IniUSD]]+TModelo[[#This Row],[IntUSD]]+PesoUSD*TModelo[[#This Row],[Outflow]])</f>
        <v>0</v>
      </c>
      <c r="AA208" s="24">
        <f>TModelo[[#This Row],[BalCDT]]+TModelo[[#This Row],[BalCOLCAP]]+TModelo[[#This Row],[BalUSD]]</f>
        <v>0</v>
      </c>
      <c r="AB208" s="24">
        <f>IF(TModelo[[#This Row],[CumInfl]]&gt;0,TModelo[[#This Row],[TotalPreLiq]]/TModelo[[#This Row],[CumInfl]],0)</f>
        <v>0</v>
      </c>
      <c r="AC208" s="41">
        <f>(1+PerRate)^(-TModelo[[#This Row],[Period]])</f>
        <v>0.24402593047509047</v>
      </c>
      <c r="AD208" s="42">
        <f>TModelo[[#This Row],[NetCF]]*TModelo[[#This Row],[fd]]</f>
        <v>0</v>
      </c>
    </row>
    <row r="209" spans="2:30" ht="16.95" customHeight="1">
      <c r="B209" s="11">
        <v>182</v>
      </c>
      <c r="C209" s="25">
        <f>EDATE(FechaInicio,TModelo[[#This Row],[Period]])</f>
        <v>51834</v>
      </c>
      <c r="D209" s="11">
        <f>IF(AND(TModelo[[#This Row],[Period]]&gt;=1,TModelo[[#This Row],[Period]]&lt;=HorizonteMeses),1,0)</f>
        <v>0</v>
      </c>
      <c r="E209" s="40">
        <f>TModelo[[#This Row],[Act]]*(INFb+(INFpi0-INFb)*(1-INFa)^TModelo[[#This Row],[Period]])</f>
        <v>0</v>
      </c>
      <c r="F209" s="28">
        <f>IF(TModelo[[#This Row],[Period]]&lt;=HorizonteMeses,F208*(1+TModelo[[#This Row],[InflMes]]),0)</f>
        <v>0</v>
      </c>
      <c r="G209" s="21">
        <f>TModelo[[#This Row],[Act]]*(CDTb+(CDTx0-CDTb)*(1-CDTa)^TModelo[[#This Row],[Period]]+CDTspread)</f>
        <v>0</v>
      </c>
      <c r="H209" s="40">
        <f>TModelo[[#This Row],[Act]]*((1+TModelo[[#This Row],[TasaCDT]])^(1/12)-1)*(1-Retencion)</f>
        <v>0</v>
      </c>
      <c r="I209" s="40">
        <f>TModelo[[#This Row],[Act]]*(EXP(MuCOLCAP+SigmaCOLCAP^2/2)-1)</f>
        <v>0</v>
      </c>
      <c r="J209" s="40">
        <f>TModelo[[#This Row],[Act]]*(EXP(MuTRM+SigmaTRM^2/2)-1)</f>
        <v>0</v>
      </c>
      <c r="K209" s="11">
        <f>TModelo[[#This Row],[Act]]*IF(Rebalanceo="Mensual",1,IF(Rebalanceo="Anual",IF(MOD(TModelo[[#This Row],[Period]]-1,12)=0,1,0),0))</f>
        <v>0</v>
      </c>
      <c r="L209" s="24">
        <f>TModelo[[#This Row],[Act]]*AporteMensual*IF(CrecimientoAporte="Con IPC",F208,1)</f>
        <v>0</v>
      </c>
      <c r="M209" s="24">
        <f>IF(TModelo[[#This Row],[Period]]=HorizonteMeses,TModelo[[#This Row],[TotalPreLiq]],0)</f>
        <v>0</v>
      </c>
      <c r="N209" s="24">
        <f>TModelo[[#This Row],[Inflow]]-TModelo[[#This Row],[Outflow]]</f>
        <v>0</v>
      </c>
      <c r="O209" s="24">
        <f t="shared" si="2"/>
        <v>0</v>
      </c>
      <c r="P209" s="24">
        <f>TModelo[[#This Row],[IntCDT]]+TModelo[[#This Row],[IntCOLCAP]]+TModelo[[#This Row],[IntUSD]]</f>
        <v>0</v>
      </c>
      <c r="Q209" s="24">
        <f>TModelo[[#This Row],[InitialBalance]]+TModelo[[#This Row],[Interest]]+TModelo[[#This Row],[Outflow]]-TModelo[[#This Row],[Inflow]]</f>
        <v>0</v>
      </c>
      <c r="R209" s="24">
        <f>TModelo[[#This Row],[Act]]*IF(TModelo[[#This Row],[Rebal]]=1,PesoCDT*(X208+Y208+Z208),X208)</f>
        <v>0</v>
      </c>
      <c r="S209" s="24">
        <f>TModelo[[#This Row],[Act]]*IF(TModelo[[#This Row],[Rebal]]=1,PesoCOLCAP*(X208+Y208+Z208),Y208)</f>
        <v>0</v>
      </c>
      <c r="T209" s="24">
        <f>TModelo[[#This Row],[Act]]*IF(TModelo[[#This Row],[Rebal]]=1,PesoUSD*(X208+Y208+Z208),Z208)</f>
        <v>0</v>
      </c>
      <c r="U209" s="24">
        <f>TModelo[[#This Row],[IniCDT]]*TModelo[[#This Row],[RetCDT]]</f>
        <v>0</v>
      </c>
      <c r="V209" s="24">
        <f>TModelo[[#This Row],[IniCOLCAP]]*TModelo[[#This Row],[RetCOLCAP]]</f>
        <v>0</v>
      </c>
      <c r="W209" s="24">
        <f>TModelo[[#This Row],[IniUSD]]*TModelo[[#This Row],[RetUSD]]</f>
        <v>0</v>
      </c>
      <c r="X209" s="24">
        <f>TModelo[[#This Row],[Act]]*(TModelo[[#This Row],[IniCDT]]+TModelo[[#This Row],[IntCDT]]+PesoCDT*TModelo[[#This Row],[Outflow]])</f>
        <v>0</v>
      </c>
      <c r="Y209" s="24">
        <f>TModelo[[#This Row],[Act]]*(TModelo[[#This Row],[IniCOLCAP]]+TModelo[[#This Row],[IntCOLCAP]]+PesoCOLCAP*TModelo[[#This Row],[Outflow]])</f>
        <v>0</v>
      </c>
      <c r="Z209" s="24">
        <f>TModelo[[#This Row],[Act]]*(TModelo[[#This Row],[IniUSD]]+TModelo[[#This Row],[IntUSD]]+PesoUSD*TModelo[[#This Row],[Outflow]])</f>
        <v>0</v>
      </c>
      <c r="AA209" s="24">
        <f>TModelo[[#This Row],[BalCDT]]+TModelo[[#This Row],[BalCOLCAP]]+TModelo[[#This Row],[BalUSD]]</f>
        <v>0</v>
      </c>
      <c r="AB209" s="24">
        <f>IF(TModelo[[#This Row],[CumInfl]]&gt;0,TModelo[[#This Row],[TotalPreLiq]]/TModelo[[#This Row],[CumInfl]],0)</f>
        <v>0</v>
      </c>
      <c r="AC209" s="41">
        <f>(1+PerRate)^(-TModelo[[#This Row],[Period]])</f>
        <v>0.24213169698649131</v>
      </c>
      <c r="AD209" s="42">
        <f>TModelo[[#This Row],[NetCF]]*TModelo[[#This Row],[fd]]</f>
        <v>0</v>
      </c>
    </row>
    <row r="210" spans="2:30" ht="16.95" customHeight="1">
      <c r="B210" s="11">
        <v>183</v>
      </c>
      <c r="C210" s="25">
        <f>EDATE(FechaInicio,TModelo[[#This Row],[Period]])</f>
        <v>51864</v>
      </c>
      <c r="D210" s="11">
        <f>IF(AND(TModelo[[#This Row],[Period]]&gt;=1,TModelo[[#This Row],[Period]]&lt;=HorizonteMeses),1,0)</f>
        <v>0</v>
      </c>
      <c r="E210" s="40">
        <f>TModelo[[#This Row],[Act]]*(INFb+(INFpi0-INFb)*(1-INFa)^TModelo[[#This Row],[Period]])</f>
        <v>0</v>
      </c>
      <c r="F210" s="28">
        <f>IF(TModelo[[#This Row],[Period]]&lt;=HorizonteMeses,F209*(1+TModelo[[#This Row],[InflMes]]),0)</f>
        <v>0</v>
      </c>
      <c r="G210" s="21">
        <f>TModelo[[#This Row],[Act]]*(CDTb+(CDTx0-CDTb)*(1-CDTa)^TModelo[[#This Row],[Period]]+CDTspread)</f>
        <v>0</v>
      </c>
      <c r="H210" s="40">
        <f>TModelo[[#This Row],[Act]]*((1+TModelo[[#This Row],[TasaCDT]])^(1/12)-1)*(1-Retencion)</f>
        <v>0</v>
      </c>
      <c r="I210" s="40">
        <f>TModelo[[#This Row],[Act]]*(EXP(MuCOLCAP+SigmaCOLCAP^2/2)-1)</f>
        <v>0</v>
      </c>
      <c r="J210" s="40">
        <f>TModelo[[#This Row],[Act]]*(EXP(MuTRM+SigmaTRM^2/2)-1)</f>
        <v>0</v>
      </c>
      <c r="K210" s="11">
        <f>TModelo[[#This Row],[Act]]*IF(Rebalanceo="Mensual",1,IF(Rebalanceo="Anual",IF(MOD(TModelo[[#This Row],[Period]]-1,12)=0,1,0),0))</f>
        <v>0</v>
      </c>
      <c r="L210" s="24">
        <f>TModelo[[#This Row],[Act]]*AporteMensual*IF(CrecimientoAporte="Con IPC",F209,1)</f>
        <v>0</v>
      </c>
      <c r="M210" s="24">
        <f>IF(TModelo[[#This Row],[Period]]=HorizonteMeses,TModelo[[#This Row],[TotalPreLiq]],0)</f>
        <v>0</v>
      </c>
      <c r="N210" s="24">
        <f>TModelo[[#This Row],[Inflow]]-TModelo[[#This Row],[Outflow]]</f>
        <v>0</v>
      </c>
      <c r="O210" s="24">
        <f t="shared" si="2"/>
        <v>0</v>
      </c>
      <c r="P210" s="24">
        <f>TModelo[[#This Row],[IntCDT]]+TModelo[[#This Row],[IntCOLCAP]]+TModelo[[#This Row],[IntUSD]]</f>
        <v>0</v>
      </c>
      <c r="Q210" s="24">
        <f>TModelo[[#This Row],[InitialBalance]]+TModelo[[#This Row],[Interest]]+TModelo[[#This Row],[Outflow]]-TModelo[[#This Row],[Inflow]]</f>
        <v>0</v>
      </c>
      <c r="R210" s="24">
        <f>TModelo[[#This Row],[Act]]*IF(TModelo[[#This Row],[Rebal]]=1,PesoCDT*(X209+Y209+Z209),X209)</f>
        <v>0</v>
      </c>
      <c r="S210" s="24">
        <f>TModelo[[#This Row],[Act]]*IF(TModelo[[#This Row],[Rebal]]=1,PesoCOLCAP*(X209+Y209+Z209),Y209)</f>
        <v>0</v>
      </c>
      <c r="T210" s="24">
        <f>TModelo[[#This Row],[Act]]*IF(TModelo[[#This Row],[Rebal]]=1,PesoUSD*(X209+Y209+Z209),Z209)</f>
        <v>0</v>
      </c>
      <c r="U210" s="24">
        <f>TModelo[[#This Row],[IniCDT]]*TModelo[[#This Row],[RetCDT]]</f>
        <v>0</v>
      </c>
      <c r="V210" s="24">
        <f>TModelo[[#This Row],[IniCOLCAP]]*TModelo[[#This Row],[RetCOLCAP]]</f>
        <v>0</v>
      </c>
      <c r="W210" s="24">
        <f>TModelo[[#This Row],[IniUSD]]*TModelo[[#This Row],[RetUSD]]</f>
        <v>0</v>
      </c>
      <c r="X210" s="24">
        <f>TModelo[[#This Row],[Act]]*(TModelo[[#This Row],[IniCDT]]+TModelo[[#This Row],[IntCDT]]+PesoCDT*TModelo[[#This Row],[Outflow]])</f>
        <v>0</v>
      </c>
      <c r="Y210" s="24">
        <f>TModelo[[#This Row],[Act]]*(TModelo[[#This Row],[IniCOLCAP]]+TModelo[[#This Row],[IntCOLCAP]]+PesoCOLCAP*TModelo[[#This Row],[Outflow]])</f>
        <v>0</v>
      </c>
      <c r="Z210" s="24">
        <f>TModelo[[#This Row],[Act]]*(TModelo[[#This Row],[IniUSD]]+TModelo[[#This Row],[IntUSD]]+PesoUSD*TModelo[[#This Row],[Outflow]])</f>
        <v>0</v>
      </c>
      <c r="AA210" s="24">
        <f>TModelo[[#This Row],[BalCDT]]+TModelo[[#This Row],[BalCOLCAP]]+TModelo[[#This Row],[BalUSD]]</f>
        <v>0</v>
      </c>
      <c r="AB210" s="24">
        <f>IF(TModelo[[#This Row],[CumInfl]]&gt;0,TModelo[[#This Row],[TotalPreLiq]]/TModelo[[#This Row],[CumInfl]],0)</f>
        <v>0</v>
      </c>
      <c r="AC210" s="41">
        <f>(1+PerRate)^(-TModelo[[#This Row],[Period]])</f>
        <v>0.24025216734720167</v>
      </c>
      <c r="AD210" s="42">
        <f>TModelo[[#This Row],[NetCF]]*TModelo[[#This Row],[fd]]</f>
        <v>0</v>
      </c>
    </row>
    <row r="211" spans="2:30" ht="16.95" customHeight="1">
      <c r="B211" s="11">
        <v>184</v>
      </c>
      <c r="C211" s="25">
        <f>EDATE(FechaInicio,TModelo[[#This Row],[Period]])</f>
        <v>51895</v>
      </c>
      <c r="D211" s="11">
        <f>IF(AND(TModelo[[#This Row],[Period]]&gt;=1,TModelo[[#This Row],[Period]]&lt;=HorizonteMeses),1,0)</f>
        <v>0</v>
      </c>
      <c r="E211" s="40">
        <f>TModelo[[#This Row],[Act]]*(INFb+(INFpi0-INFb)*(1-INFa)^TModelo[[#This Row],[Period]])</f>
        <v>0</v>
      </c>
      <c r="F211" s="28">
        <f>IF(TModelo[[#This Row],[Period]]&lt;=HorizonteMeses,F210*(1+TModelo[[#This Row],[InflMes]]),0)</f>
        <v>0</v>
      </c>
      <c r="G211" s="21">
        <f>TModelo[[#This Row],[Act]]*(CDTb+(CDTx0-CDTb)*(1-CDTa)^TModelo[[#This Row],[Period]]+CDTspread)</f>
        <v>0</v>
      </c>
      <c r="H211" s="40">
        <f>TModelo[[#This Row],[Act]]*((1+TModelo[[#This Row],[TasaCDT]])^(1/12)-1)*(1-Retencion)</f>
        <v>0</v>
      </c>
      <c r="I211" s="40">
        <f>TModelo[[#This Row],[Act]]*(EXP(MuCOLCAP+SigmaCOLCAP^2/2)-1)</f>
        <v>0</v>
      </c>
      <c r="J211" s="40">
        <f>TModelo[[#This Row],[Act]]*(EXP(MuTRM+SigmaTRM^2/2)-1)</f>
        <v>0</v>
      </c>
      <c r="K211" s="11">
        <f>TModelo[[#This Row],[Act]]*IF(Rebalanceo="Mensual",1,IF(Rebalanceo="Anual",IF(MOD(TModelo[[#This Row],[Period]]-1,12)=0,1,0),0))</f>
        <v>0</v>
      </c>
      <c r="L211" s="24">
        <f>TModelo[[#This Row],[Act]]*AporteMensual*IF(CrecimientoAporte="Con IPC",F210,1)</f>
        <v>0</v>
      </c>
      <c r="M211" s="24">
        <f>IF(TModelo[[#This Row],[Period]]=HorizonteMeses,TModelo[[#This Row],[TotalPreLiq]],0)</f>
        <v>0</v>
      </c>
      <c r="N211" s="24">
        <f>TModelo[[#This Row],[Inflow]]-TModelo[[#This Row],[Outflow]]</f>
        <v>0</v>
      </c>
      <c r="O211" s="24">
        <f t="shared" si="2"/>
        <v>0</v>
      </c>
      <c r="P211" s="24">
        <f>TModelo[[#This Row],[IntCDT]]+TModelo[[#This Row],[IntCOLCAP]]+TModelo[[#This Row],[IntUSD]]</f>
        <v>0</v>
      </c>
      <c r="Q211" s="24">
        <f>TModelo[[#This Row],[InitialBalance]]+TModelo[[#This Row],[Interest]]+TModelo[[#This Row],[Outflow]]-TModelo[[#This Row],[Inflow]]</f>
        <v>0</v>
      </c>
      <c r="R211" s="24">
        <f>TModelo[[#This Row],[Act]]*IF(TModelo[[#This Row],[Rebal]]=1,PesoCDT*(X210+Y210+Z210),X210)</f>
        <v>0</v>
      </c>
      <c r="S211" s="24">
        <f>TModelo[[#This Row],[Act]]*IF(TModelo[[#This Row],[Rebal]]=1,PesoCOLCAP*(X210+Y210+Z210),Y210)</f>
        <v>0</v>
      </c>
      <c r="T211" s="24">
        <f>TModelo[[#This Row],[Act]]*IF(TModelo[[#This Row],[Rebal]]=1,PesoUSD*(X210+Y210+Z210),Z210)</f>
        <v>0</v>
      </c>
      <c r="U211" s="24">
        <f>TModelo[[#This Row],[IniCDT]]*TModelo[[#This Row],[RetCDT]]</f>
        <v>0</v>
      </c>
      <c r="V211" s="24">
        <f>TModelo[[#This Row],[IniCOLCAP]]*TModelo[[#This Row],[RetCOLCAP]]</f>
        <v>0</v>
      </c>
      <c r="W211" s="24">
        <f>TModelo[[#This Row],[IniUSD]]*TModelo[[#This Row],[RetUSD]]</f>
        <v>0</v>
      </c>
      <c r="X211" s="24">
        <f>TModelo[[#This Row],[Act]]*(TModelo[[#This Row],[IniCDT]]+TModelo[[#This Row],[IntCDT]]+PesoCDT*TModelo[[#This Row],[Outflow]])</f>
        <v>0</v>
      </c>
      <c r="Y211" s="24">
        <f>TModelo[[#This Row],[Act]]*(TModelo[[#This Row],[IniCOLCAP]]+TModelo[[#This Row],[IntCOLCAP]]+PesoCOLCAP*TModelo[[#This Row],[Outflow]])</f>
        <v>0</v>
      </c>
      <c r="Z211" s="24">
        <f>TModelo[[#This Row],[Act]]*(TModelo[[#This Row],[IniUSD]]+TModelo[[#This Row],[IntUSD]]+PesoUSD*TModelo[[#This Row],[Outflow]])</f>
        <v>0</v>
      </c>
      <c r="AA211" s="24">
        <f>TModelo[[#This Row],[BalCDT]]+TModelo[[#This Row],[BalCOLCAP]]+TModelo[[#This Row],[BalUSD]]</f>
        <v>0</v>
      </c>
      <c r="AB211" s="24">
        <f>IF(TModelo[[#This Row],[CumInfl]]&gt;0,TModelo[[#This Row],[TotalPreLiq]]/TModelo[[#This Row],[CumInfl]],0)</f>
        <v>0</v>
      </c>
      <c r="AC211" s="41">
        <f>(1+PerRate)^(-TModelo[[#This Row],[Period]])</f>
        <v>0.23838722741966376</v>
      </c>
      <c r="AD211" s="42">
        <f>TModelo[[#This Row],[NetCF]]*TModelo[[#This Row],[fd]]</f>
        <v>0</v>
      </c>
    </row>
    <row r="212" spans="2:30" ht="16.95" customHeight="1">
      <c r="B212" s="11">
        <v>185</v>
      </c>
      <c r="C212" s="25">
        <f>EDATE(FechaInicio,TModelo[[#This Row],[Period]])</f>
        <v>51925</v>
      </c>
      <c r="D212" s="11">
        <f>IF(AND(TModelo[[#This Row],[Period]]&gt;=1,TModelo[[#This Row],[Period]]&lt;=HorizonteMeses),1,0)</f>
        <v>0</v>
      </c>
      <c r="E212" s="40">
        <f>TModelo[[#This Row],[Act]]*(INFb+(INFpi0-INFb)*(1-INFa)^TModelo[[#This Row],[Period]])</f>
        <v>0</v>
      </c>
      <c r="F212" s="28">
        <f>IF(TModelo[[#This Row],[Period]]&lt;=HorizonteMeses,F211*(1+TModelo[[#This Row],[InflMes]]),0)</f>
        <v>0</v>
      </c>
      <c r="G212" s="21">
        <f>TModelo[[#This Row],[Act]]*(CDTb+(CDTx0-CDTb)*(1-CDTa)^TModelo[[#This Row],[Period]]+CDTspread)</f>
        <v>0</v>
      </c>
      <c r="H212" s="40">
        <f>TModelo[[#This Row],[Act]]*((1+TModelo[[#This Row],[TasaCDT]])^(1/12)-1)*(1-Retencion)</f>
        <v>0</v>
      </c>
      <c r="I212" s="40">
        <f>TModelo[[#This Row],[Act]]*(EXP(MuCOLCAP+SigmaCOLCAP^2/2)-1)</f>
        <v>0</v>
      </c>
      <c r="J212" s="40">
        <f>TModelo[[#This Row],[Act]]*(EXP(MuTRM+SigmaTRM^2/2)-1)</f>
        <v>0</v>
      </c>
      <c r="K212" s="11">
        <f>TModelo[[#This Row],[Act]]*IF(Rebalanceo="Mensual",1,IF(Rebalanceo="Anual",IF(MOD(TModelo[[#This Row],[Period]]-1,12)=0,1,0),0))</f>
        <v>0</v>
      </c>
      <c r="L212" s="24">
        <f>TModelo[[#This Row],[Act]]*AporteMensual*IF(CrecimientoAporte="Con IPC",F211,1)</f>
        <v>0</v>
      </c>
      <c r="M212" s="24">
        <f>IF(TModelo[[#This Row],[Period]]=HorizonteMeses,TModelo[[#This Row],[TotalPreLiq]],0)</f>
        <v>0</v>
      </c>
      <c r="N212" s="24">
        <f>TModelo[[#This Row],[Inflow]]-TModelo[[#This Row],[Outflow]]</f>
        <v>0</v>
      </c>
      <c r="O212" s="24">
        <f t="shared" si="2"/>
        <v>0</v>
      </c>
      <c r="P212" s="24">
        <f>TModelo[[#This Row],[IntCDT]]+TModelo[[#This Row],[IntCOLCAP]]+TModelo[[#This Row],[IntUSD]]</f>
        <v>0</v>
      </c>
      <c r="Q212" s="24">
        <f>TModelo[[#This Row],[InitialBalance]]+TModelo[[#This Row],[Interest]]+TModelo[[#This Row],[Outflow]]-TModelo[[#This Row],[Inflow]]</f>
        <v>0</v>
      </c>
      <c r="R212" s="24">
        <f>TModelo[[#This Row],[Act]]*IF(TModelo[[#This Row],[Rebal]]=1,PesoCDT*(X211+Y211+Z211),X211)</f>
        <v>0</v>
      </c>
      <c r="S212" s="24">
        <f>TModelo[[#This Row],[Act]]*IF(TModelo[[#This Row],[Rebal]]=1,PesoCOLCAP*(X211+Y211+Z211),Y211)</f>
        <v>0</v>
      </c>
      <c r="T212" s="24">
        <f>TModelo[[#This Row],[Act]]*IF(TModelo[[#This Row],[Rebal]]=1,PesoUSD*(X211+Y211+Z211),Z211)</f>
        <v>0</v>
      </c>
      <c r="U212" s="24">
        <f>TModelo[[#This Row],[IniCDT]]*TModelo[[#This Row],[RetCDT]]</f>
        <v>0</v>
      </c>
      <c r="V212" s="24">
        <f>TModelo[[#This Row],[IniCOLCAP]]*TModelo[[#This Row],[RetCOLCAP]]</f>
        <v>0</v>
      </c>
      <c r="W212" s="24">
        <f>TModelo[[#This Row],[IniUSD]]*TModelo[[#This Row],[RetUSD]]</f>
        <v>0</v>
      </c>
      <c r="X212" s="24">
        <f>TModelo[[#This Row],[Act]]*(TModelo[[#This Row],[IniCDT]]+TModelo[[#This Row],[IntCDT]]+PesoCDT*TModelo[[#This Row],[Outflow]])</f>
        <v>0</v>
      </c>
      <c r="Y212" s="24">
        <f>TModelo[[#This Row],[Act]]*(TModelo[[#This Row],[IniCOLCAP]]+TModelo[[#This Row],[IntCOLCAP]]+PesoCOLCAP*TModelo[[#This Row],[Outflow]])</f>
        <v>0</v>
      </c>
      <c r="Z212" s="24">
        <f>TModelo[[#This Row],[Act]]*(TModelo[[#This Row],[IniUSD]]+TModelo[[#This Row],[IntUSD]]+PesoUSD*TModelo[[#This Row],[Outflow]])</f>
        <v>0</v>
      </c>
      <c r="AA212" s="24">
        <f>TModelo[[#This Row],[BalCDT]]+TModelo[[#This Row],[BalCOLCAP]]+TModelo[[#This Row],[BalUSD]]</f>
        <v>0</v>
      </c>
      <c r="AB212" s="24">
        <f>IF(TModelo[[#This Row],[CumInfl]]&gt;0,TModelo[[#This Row],[TotalPreLiq]]/TModelo[[#This Row],[CumInfl]],0)</f>
        <v>0</v>
      </c>
      <c r="AC212" s="41">
        <f>(1+PerRate)^(-TModelo[[#This Row],[Period]])</f>
        <v>0.23653676395230397</v>
      </c>
      <c r="AD212" s="42">
        <f>TModelo[[#This Row],[NetCF]]*TModelo[[#This Row],[fd]]</f>
        <v>0</v>
      </c>
    </row>
    <row r="213" spans="2:30" ht="16.95" customHeight="1">
      <c r="B213" s="11">
        <v>186</v>
      </c>
      <c r="C213" s="25">
        <f>EDATE(FechaInicio,TModelo[[#This Row],[Period]])</f>
        <v>51954</v>
      </c>
      <c r="D213" s="11">
        <f>IF(AND(TModelo[[#This Row],[Period]]&gt;=1,TModelo[[#This Row],[Period]]&lt;=HorizonteMeses),1,0)</f>
        <v>0</v>
      </c>
      <c r="E213" s="40">
        <f>TModelo[[#This Row],[Act]]*(INFb+(INFpi0-INFb)*(1-INFa)^TModelo[[#This Row],[Period]])</f>
        <v>0</v>
      </c>
      <c r="F213" s="28">
        <f>IF(TModelo[[#This Row],[Period]]&lt;=HorizonteMeses,F212*(1+TModelo[[#This Row],[InflMes]]),0)</f>
        <v>0</v>
      </c>
      <c r="G213" s="21">
        <f>TModelo[[#This Row],[Act]]*(CDTb+(CDTx0-CDTb)*(1-CDTa)^TModelo[[#This Row],[Period]]+CDTspread)</f>
        <v>0</v>
      </c>
      <c r="H213" s="40">
        <f>TModelo[[#This Row],[Act]]*((1+TModelo[[#This Row],[TasaCDT]])^(1/12)-1)*(1-Retencion)</f>
        <v>0</v>
      </c>
      <c r="I213" s="40">
        <f>TModelo[[#This Row],[Act]]*(EXP(MuCOLCAP+SigmaCOLCAP^2/2)-1)</f>
        <v>0</v>
      </c>
      <c r="J213" s="40">
        <f>TModelo[[#This Row],[Act]]*(EXP(MuTRM+SigmaTRM^2/2)-1)</f>
        <v>0</v>
      </c>
      <c r="K213" s="11">
        <f>TModelo[[#This Row],[Act]]*IF(Rebalanceo="Mensual",1,IF(Rebalanceo="Anual",IF(MOD(TModelo[[#This Row],[Period]]-1,12)=0,1,0),0))</f>
        <v>0</v>
      </c>
      <c r="L213" s="24">
        <f>TModelo[[#This Row],[Act]]*AporteMensual*IF(CrecimientoAporte="Con IPC",F212,1)</f>
        <v>0</v>
      </c>
      <c r="M213" s="24">
        <f>IF(TModelo[[#This Row],[Period]]=HorizonteMeses,TModelo[[#This Row],[TotalPreLiq]],0)</f>
        <v>0</v>
      </c>
      <c r="N213" s="24">
        <f>TModelo[[#This Row],[Inflow]]-TModelo[[#This Row],[Outflow]]</f>
        <v>0</v>
      </c>
      <c r="O213" s="24">
        <f t="shared" si="2"/>
        <v>0</v>
      </c>
      <c r="P213" s="24">
        <f>TModelo[[#This Row],[IntCDT]]+TModelo[[#This Row],[IntCOLCAP]]+TModelo[[#This Row],[IntUSD]]</f>
        <v>0</v>
      </c>
      <c r="Q213" s="24">
        <f>TModelo[[#This Row],[InitialBalance]]+TModelo[[#This Row],[Interest]]+TModelo[[#This Row],[Outflow]]-TModelo[[#This Row],[Inflow]]</f>
        <v>0</v>
      </c>
      <c r="R213" s="24">
        <f>TModelo[[#This Row],[Act]]*IF(TModelo[[#This Row],[Rebal]]=1,PesoCDT*(X212+Y212+Z212),X212)</f>
        <v>0</v>
      </c>
      <c r="S213" s="24">
        <f>TModelo[[#This Row],[Act]]*IF(TModelo[[#This Row],[Rebal]]=1,PesoCOLCAP*(X212+Y212+Z212),Y212)</f>
        <v>0</v>
      </c>
      <c r="T213" s="24">
        <f>TModelo[[#This Row],[Act]]*IF(TModelo[[#This Row],[Rebal]]=1,PesoUSD*(X212+Y212+Z212),Z212)</f>
        <v>0</v>
      </c>
      <c r="U213" s="24">
        <f>TModelo[[#This Row],[IniCDT]]*TModelo[[#This Row],[RetCDT]]</f>
        <v>0</v>
      </c>
      <c r="V213" s="24">
        <f>TModelo[[#This Row],[IniCOLCAP]]*TModelo[[#This Row],[RetCOLCAP]]</f>
        <v>0</v>
      </c>
      <c r="W213" s="24">
        <f>TModelo[[#This Row],[IniUSD]]*TModelo[[#This Row],[RetUSD]]</f>
        <v>0</v>
      </c>
      <c r="X213" s="24">
        <f>TModelo[[#This Row],[Act]]*(TModelo[[#This Row],[IniCDT]]+TModelo[[#This Row],[IntCDT]]+PesoCDT*TModelo[[#This Row],[Outflow]])</f>
        <v>0</v>
      </c>
      <c r="Y213" s="24">
        <f>TModelo[[#This Row],[Act]]*(TModelo[[#This Row],[IniCOLCAP]]+TModelo[[#This Row],[IntCOLCAP]]+PesoCOLCAP*TModelo[[#This Row],[Outflow]])</f>
        <v>0</v>
      </c>
      <c r="Z213" s="24">
        <f>TModelo[[#This Row],[Act]]*(TModelo[[#This Row],[IniUSD]]+TModelo[[#This Row],[IntUSD]]+PesoUSD*TModelo[[#This Row],[Outflow]])</f>
        <v>0</v>
      </c>
      <c r="AA213" s="24">
        <f>TModelo[[#This Row],[BalCDT]]+TModelo[[#This Row],[BalCOLCAP]]+TModelo[[#This Row],[BalUSD]]</f>
        <v>0</v>
      </c>
      <c r="AB213" s="24">
        <f>IF(TModelo[[#This Row],[CumInfl]]&gt;0,TModelo[[#This Row],[TotalPreLiq]]/TModelo[[#This Row],[CumInfl]],0)</f>
        <v>0</v>
      </c>
      <c r="AC213" s="41">
        <f>(1+PerRate)^(-TModelo[[#This Row],[Period]])</f>
        <v>0.23470066457265598</v>
      </c>
      <c r="AD213" s="42">
        <f>TModelo[[#This Row],[NetCF]]*TModelo[[#This Row],[fd]]</f>
        <v>0</v>
      </c>
    </row>
    <row r="214" spans="2:30" ht="16.95" customHeight="1">
      <c r="B214" s="11">
        <v>187</v>
      </c>
      <c r="C214" s="25">
        <f>EDATE(FechaInicio,TModelo[[#This Row],[Period]])</f>
        <v>51985</v>
      </c>
      <c r="D214" s="11">
        <f>IF(AND(TModelo[[#This Row],[Period]]&gt;=1,TModelo[[#This Row],[Period]]&lt;=HorizonteMeses),1,0)</f>
        <v>0</v>
      </c>
      <c r="E214" s="40">
        <f>TModelo[[#This Row],[Act]]*(INFb+(INFpi0-INFb)*(1-INFa)^TModelo[[#This Row],[Period]])</f>
        <v>0</v>
      </c>
      <c r="F214" s="28">
        <f>IF(TModelo[[#This Row],[Period]]&lt;=HorizonteMeses,F213*(1+TModelo[[#This Row],[InflMes]]),0)</f>
        <v>0</v>
      </c>
      <c r="G214" s="21">
        <f>TModelo[[#This Row],[Act]]*(CDTb+(CDTx0-CDTb)*(1-CDTa)^TModelo[[#This Row],[Period]]+CDTspread)</f>
        <v>0</v>
      </c>
      <c r="H214" s="40">
        <f>TModelo[[#This Row],[Act]]*((1+TModelo[[#This Row],[TasaCDT]])^(1/12)-1)*(1-Retencion)</f>
        <v>0</v>
      </c>
      <c r="I214" s="40">
        <f>TModelo[[#This Row],[Act]]*(EXP(MuCOLCAP+SigmaCOLCAP^2/2)-1)</f>
        <v>0</v>
      </c>
      <c r="J214" s="40">
        <f>TModelo[[#This Row],[Act]]*(EXP(MuTRM+SigmaTRM^2/2)-1)</f>
        <v>0</v>
      </c>
      <c r="K214" s="11">
        <f>TModelo[[#This Row],[Act]]*IF(Rebalanceo="Mensual",1,IF(Rebalanceo="Anual",IF(MOD(TModelo[[#This Row],[Period]]-1,12)=0,1,0),0))</f>
        <v>0</v>
      </c>
      <c r="L214" s="24">
        <f>TModelo[[#This Row],[Act]]*AporteMensual*IF(CrecimientoAporte="Con IPC",F213,1)</f>
        <v>0</v>
      </c>
      <c r="M214" s="24">
        <f>IF(TModelo[[#This Row],[Period]]=HorizonteMeses,TModelo[[#This Row],[TotalPreLiq]],0)</f>
        <v>0</v>
      </c>
      <c r="N214" s="24">
        <f>TModelo[[#This Row],[Inflow]]-TModelo[[#This Row],[Outflow]]</f>
        <v>0</v>
      </c>
      <c r="O214" s="24">
        <f t="shared" si="2"/>
        <v>0</v>
      </c>
      <c r="P214" s="24">
        <f>TModelo[[#This Row],[IntCDT]]+TModelo[[#This Row],[IntCOLCAP]]+TModelo[[#This Row],[IntUSD]]</f>
        <v>0</v>
      </c>
      <c r="Q214" s="24">
        <f>TModelo[[#This Row],[InitialBalance]]+TModelo[[#This Row],[Interest]]+TModelo[[#This Row],[Outflow]]-TModelo[[#This Row],[Inflow]]</f>
        <v>0</v>
      </c>
      <c r="R214" s="24">
        <f>TModelo[[#This Row],[Act]]*IF(TModelo[[#This Row],[Rebal]]=1,PesoCDT*(X213+Y213+Z213),X213)</f>
        <v>0</v>
      </c>
      <c r="S214" s="24">
        <f>TModelo[[#This Row],[Act]]*IF(TModelo[[#This Row],[Rebal]]=1,PesoCOLCAP*(X213+Y213+Z213),Y213)</f>
        <v>0</v>
      </c>
      <c r="T214" s="24">
        <f>TModelo[[#This Row],[Act]]*IF(TModelo[[#This Row],[Rebal]]=1,PesoUSD*(X213+Y213+Z213),Z213)</f>
        <v>0</v>
      </c>
      <c r="U214" s="24">
        <f>TModelo[[#This Row],[IniCDT]]*TModelo[[#This Row],[RetCDT]]</f>
        <v>0</v>
      </c>
      <c r="V214" s="24">
        <f>TModelo[[#This Row],[IniCOLCAP]]*TModelo[[#This Row],[RetCOLCAP]]</f>
        <v>0</v>
      </c>
      <c r="W214" s="24">
        <f>TModelo[[#This Row],[IniUSD]]*TModelo[[#This Row],[RetUSD]]</f>
        <v>0</v>
      </c>
      <c r="X214" s="24">
        <f>TModelo[[#This Row],[Act]]*(TModelo[[#This Row],[IniCDT]]+TModelo[[#This Row],[IntCDT]]+PesoCDT*TModelo[[#This Row],[Outflow]])</f>
        <v>0</v>
      </c>
      <c r="Y214" s="24">
        <f>TModelo[[#This Row],[Act]]*(TModelo[[#This Row],[IniCOLCAP]]+TModelo[[#This Row],[IntCOLCAP]]+PesoCOLCAP*TModelo[[#This Row],[Outflow]])</f>
        <v>0</v>
      </c>
      <c r="Z214" s="24">
        <f>TModelo[[#This Row],[Act]]*(TModelo[[#This Row],[IniUSD]]+TModelo[[#This Row],[IntUSD]]+PesoUSD*TModelo[[#This Row],[Outflow]])</f>
        <v>0</v>
      </c>
      <c r="AA214" s="24">
        <f>TModelo[[#This Row],[BalCDT]]+TModelo[[#This Row],[BalCOLCAP]]+TModelo[[#This Row],[BalUSD]]</f>
        <v>0</v>
      </c>
      <c r="AB214" s="24">
        <f>IF(TModelo[[#This Row],[CumInfl]]&gt;0,TModelo[[#This Row],[TotalPreLiq]]/TModelo[[#This Row],[CumInfl]],0)</f>
        <v>0</v>
      </c>
      <c r="AC214" s="41">
        <f>(1+PerRate)^(-TModelo[[#This Row],[Period]])</f>
        <v>0.23287881778053654</v>
      </c>
      <c r="AD214" s="42">
        <f>TModelo[[#This Row],[NetCF]]*TModelo[[#This Row],[fd]]</f>
        <v>0</v>
      </c>
    </row>
    <row r="215" spans="2:30" ht="16.95" customHeight="1">
      <c r="B215" s="11">
        <v>188</v>
      </c>
      <c r="C215" s="25">
        <f>EDATE(FechaInicio,TModelo[[#This Row],[Period]])</f>
        <v>52015</v>
      </c>
      <c r="D215" s="11">
        <f>IF(AND(TModelo[[#This Row],[Period]]&gt;=1,TModelo[[#This Row],[Period]]&lt;=HorizonteMeses),1,0)</f>
        <v>0</v>
      </c>
      <c r="E215" s="40">
        <f>TModelo[[#This Row],[Act]]*(INFb+(INFpi0-INFb)*(1-INFa)^TModelo[[#This Row],[Period]])</f>
        <v>0</v>
      </c>
      <c r="F215" s="28">
        <f>IF(TModelo[[#This Row],[Period]]&lt;=HorizonteMeses,F214*(1+TModelo[[#This Row],[InflMes]]),0)</f>
        <v>0</v>
      </c>
      <c r="G215" s="21">
        <f>TModelo[[#This Row],[Act]]*(CDTb+(CDTx0-CDTb)*(1-CDTa)^TModelo[[#This Row],[Period]]+CDTspread)</f>
        <v>0</v>
      </c>
      <c r="H215" s="40">
        <f>TModelo[[#This Row],[Act]]*((1+TModelo[[#This Row],[TasaCDT]])^(1/12)-1)*(1-Retencion)</f>
        <v>0</v>
      </c>
      <c r="I215" s="40">
        <f>TModelo[[#This Row],[Act]]*(EXP(MuCOLCAP+SigmaCOLCAP^2/2)-1)</f>
        <v>0</v>
      </c>
      <c r="J215" s="40">
        <f>TModelo[[#This Row],[Act]]*(EXP(MuTRM+SigmaTRM^2/2)-1)</f>
        <v>0</v>
      </c>
      <c r="K215" s="11">
        <f>TModelo[[#This Row],[Act]]*IF(Rebalanceo="Mensual",1,IF(Rebalanceo="Anual",IF(MOD(TModelo[[#This Row],[Period]]-1,12)=0,1,0),0))</f>
        <v>0</v>
      </c>
      <c r="L215" s="24">
        <f>TModelo[[#This Row],[Act]]*AporteMensual*IF(CrecimientoAporte="Con IPC",F214,1)</f>
        <v>0</v>
      </c>
      <c r="M215" s="24">
        <f>IF(TModelo[[#This Row],[Period]]=HorizonteMeses,TModelo[[#This Row],[TotalPreLiq]],0)</f>
        <v>0</v>
      </c>
      <c r="N215" s="24">
        <f>TModelo[[#This Row],[Inflow]]-TModelo[[#This Row],[Outflow]]</f>
        <v>0</v>
      </c>
      <c r="O215" s="24">
        <f t="shared" si="2"/>
        <v>0</v>
      </c>
      <c r="P215" s="24">
        <f>TModelo[[#This Row],[IntCDT]]+TModelo[[#This Row],[IntCOLCAP]]+TModelo[[#This Row],[IntUSD]]</f>
        <v>0</v>
      </c>
      <c r="Q215" s="24">
        <f>TModelo[[#This Row],[InitialBalance]]+TModelo[[#This Row],[Interest]]+TModelo[[#This Row],[Outflow]]-TModelo[[#This Row],[Inflow]]</f>
        <v>0</v>
      </c>
      <c r="R215" s="24">
        <f>TModelo[[#This Row],[Act]]*IF(TModelo[[#This Row],[Rebal]]=1,PesoCDT*(X214+Y214+Z214),X214)</f>
        <v>0</v>
      </c>
      <c r="S215" s="24">
        <f>TModelo[[#This Row],[Act]]*IF(TModelo[[#This Row],[Rebal]]=1,PesoCOLCAP*(X214+Y214+Z214),Y214)</f>
        <v>0</v>
      </c>
      <c r="T215" s="24">
        <f>TModelo[[#This Row],[Act]]*IF(TModelo[[#This Row],[Rebal]]=1,PesoUSD*(X214+Y214+Z214),Z214)</f>
        <v>0</v>
      </c>
      <c r="U215" s="24">
        <f>TModelo[[#This Row],[IniCDT]]*TModelo[[#This Row],[RetCDT]]</f>
        <v>0</v>
      </c>
      <c r="V215" s="24">
        <f>TModelo[[#This Row],[IniCOLCAP]]*TModelo[[#This Row],[RetCOLCAP]]</f>
        <v>0</v>
      </c>
      <c r="W215" s="24">
        <f>TModelo[[#This Row],[IniUSD]]*TModelo[[#This Row],[RetUSD]]</f>
        <v>0</v>
      </c>
      <c r="X215" s="24">
        <f>TModelo[[#This Row],[Act]]*(TModelo[[#This Row],[IniCDT]]+TModelo[[#This Row],[IntCDT]]+PesoCDT*TModelo[[#This Row],[Outflow]])</f>
        <v>0</v>
      </c>
      <c r="Y215" s="24">
        <f>TModelo[[#This Row],[Act]]*(TModelo[[#This Row],[IniCOLCAP]]+TModelo[[#This Row],[IntCOLCAP]]+PesoCOLCAP*TModelo[[#This Row],[Outflow]])</f>
        <v>0</v>
      </c>
      <c r="Z215" s="24">
        <f>TModelo[[#This Row],[Act]]*(TModelo[[#This Row],[IniUSD]]+TModelo[[#This Row],[IntUSD]]+PesoUSD*TModelo[[#This Row],[Outflow]])</f>
        <v>0</v>
      </c>
      <c r="AA215" s="24">
        <f>TModelo[[#This Row],[BalCDT]]+TModelo[[#This Row],[BalCOLCAP]]+TModelo[[#This Row],[BalUSD]]</f>
        <v>0</v>
      </c>
      <c r="AB215" s="24">
        <f>IF(TModelo[[#This Row],[CumInfl]]&gt;0,TModelo[[#This Row],[TotalPreLiq]]/TModelo[[#This Row],[CumInfl]],0)</f>
        <v>0</v>
      </c>
      <c r="AC215" s="41">
        <f>(1+PerRate)^(-TModelo[[#This Row],[Period]])</f>
        <v>0.23107111294127444</v>
      </c>
      <c r="AD215" s="42">
        <f>TModelo[[#This Row],[NetCF]]*TModelo[[#This Row],[fd]]</f>
        <v>0</v>
      </c>
    </row>
    <row r="216" spans="2:30" ht="16.95" customHeight="1">
      <c r="B216" s="11">
        <v>189</v>
      </c>
      <c r="C216" s="25">
        <f>EDATE(FechaInicio,TModelo[[#This Row],[Period]])</f>
        <v>52046</v>
      </c>
      <c r="D216" s="11">
        <f>IF(AND(TModelo[[#This Row],[Period]]&gt;=1,TModelo[[#This Row],[Period]]&lt;=HorizonteMeses),1,0)</f>
        <v>0</v>
      </c>
      <c r="E216" s="40">
        <f>TModelo[[#This Row],[Act]]*(INFb+(INFpi0-INFb)*(1-INFa)^TModelo[[#This Row],[Period]])</f>
        <v>0</v>
      </c>
      <c r="F216" s="28">
        <f>IF(TModelo[[#This Row],[Period]]&lt;=HorizonteMeses,F215*(1+TModelo[[#This Row],[InflMes]]),0)</f>
        <v>0</v>
      </c>
      <c r="G216" s="21">
        <f>TModelo[[#This Row],[Act]]*(CDTb+(CDTx0-CDTb)*(1-CDTa)^TModelo[[#This Row],[Period]]+CDTspread)</f>
        <v>0</v>
      </c>
      <c r="H216" s="40">
        <f>TModelo[[#This Row],[Act]]*((1+TModelo[[#This Row],[TasaCDT]])^(1/12)-1)*(1-Retencion)</f>
        <v>0</v>
      </c>
      <c r="I216" s="40">
        <f>TModelo[[#This Row],[Act]]*(EXP(MuCOLCAP+SigmaCOLCAP^2/2)-1)</f>
        <v>0</v>
      </c>
      <c r="J216" s="40">
        <f>TModelo[[#This Row],[Act]]*(EXP(MuTRM+SigmaTRM^2/2)-1)</f>
        <v>0</v>
      </c>
      <c r="K216" s="11">
        <f>TModelo[[#This Row],[Act]]*IF(Rebalanceo="Mensual",1,IF(Rebalanceo="Anual",IF(MOD(TModelo[[#This Row],[Period]]-1,12)=0,1,0),0))</f>
        <v>0</v>
      </c>
      <c r="L216" s="24">
        <f>TModelo[[#This Row],[Act]]*AporteMensual*IF(CrecimientoAporte="Con IPC",F215,1)</f>
        <v>0</v>
      </c>
      <c r="M216" s="24">
        <f>IF(TModelo[[#This Row],[Period]]=HorizonteMeses,TModelo[[#This Row],[TotalPreLiq]],0)</f>
        <v>0</v>
      </c>
      <c r="N216" s="24">
        <f>TModelo[[#This Row],[Inflow]]-TModelo[[#This Row],[Outflow]]</f>
        <v>0</v>
      </c>
      <c r="O216" s="24">
        <f t="shared" si="2"/>
        <v>0</v>
      </c>
      <c r="P216" s="24">
        <f>TModelo[[#This Row],[IntCDT]]+TModelo[[#This Row],[IntCOLCAP]]+TModelo[[#This Row],[IntUSD]]</f>
        <v>0</v>
      </c>
      <c r="Q216" s="24">
        <f>TModelo[[#This Row],[InitialBalance]]+TModelo[[#This Row],[Interest]]+TModelo[[#This Row],[Outflow]]-TModelo[[#This Row],[Inflow]]</f>
        <v>0</v>
      </c>
      <c r="R216" s="24">
        <f>TModelo[[#This Row],[Act]]*IF(TModelo[[#This Row],[Rebal]]=1,PesoCDT*(X215+Y215+Z215),X215)</f>
        <v>0</v>
      </c>
      <c r="S216" s="24">
        <f>TModelo[[#This Row],[Act]]*IF(TModelo[[#This Row],[Rebal]]=1,PesoCOLCAP*(X215+Y215+Z215),Y215)</f>
        <v>0</v>
      </c>
      <c r="T216" s="24">
        <f>TModelo[[#This Row],[Act]]*IF(TModelo[[#This Row],[Rebal]]=1,PesoUSD*(X215+Y215+Z215),Z215)</f>
        <v>0</v>
      </c>
      <c r="U216" s="24">
        <f>TModelo[[#This Row],[IniCDT]]*TModelo[[#This Row],[RetCDT]]</f>
        <v>0</v>
      </c>
      <c r="V216" s="24">
        <f>TModelo[[#This Row],[IniCOLCAP]]*TModelo[[#This Row],[RetCOLCAP]]</f>
        <v>0</v>
      </c>
      <c r="W216" s="24">
        <f>TModelo[[#This Row],[IniUSD]]*TModelo[[#This Row],[RetUSD]]</f>
        <v>0</v>
      </c>
      <c r="X216" s="24">
        <f>TModelo[[#This Row],[Act]]*(TModelo[[#This Row],[IniCDT]]+TModelo[[#This Row],[IntCDT]]+PesoCDT*TModelo[[#This Row],[Outflow]])</f>
        <v>0</v>
      </c>
      <c r="Y216" s="24">
        <f>TModelo[[#This Row],[Act]]*(TModelo[[#This Row],[IniCOLCAP]]+TModelo[[#This Row],[IntCOLCAP]]+PesoCOLCAP*TModelo[[#This Row],[Outflow]])</f>
        <v>0</v>
      </c>
      <c r="Z216" s="24">
        <f>TModelo[[#This Row],[Act]]*(TModelo[[#This Row],[IniUSD]]+TModelo[[#This Row],[IntUSD]]+PesoUSD*TModelo[[#This Row],[Outflow]])</f>
        <v>0</v>
      </c>
      <c r="AA216" s="24">
        <f>TModelo[[#This Row],[BalCDT]]+TModelo[[#This Row],[BalCOLCAP]]+TModelo[[#This Row],[BalUSD]]</f>
        <v>0</v>
      </c>
      <c r="AB216" s="24">
        <f>IF(TModelo[[#This Row],[CumInfl]]&gt;0,TModelo[[#This Row],[TotalPreLiq]]/TModelo[[#This Row],[CumInfl]],0)</f>
        <v>0</v>
      </c>
      <c r="AC216" s="41">
        <f>(1+PerRate)^(-TModelo[[#This Row],[Period]])</f>
        <v>0.22927744027899188</v>
      </c>
      <c r="AD216" s="42">
        <f>TModelo[[#This Row],[NetCF]]*TModelo[[#This Row],[fd]]</f>
        <v>0</v>
      </c>
    </row>
    <row r="217" spans="2:30" ht="16.95" customHeight="1">
      <c r="B217" s="11">
        <v>190</v>
      </c>
      <c r="C217" s="25">
        <f>EDATE(FechaInicio,TModelo[[#This Row],[Period]])</f>
        <v>52076</v>
      </c>
      <c r="D217" s="11">
        <f>IF(AND(TModelo[[#This Row],[Period]]&gt;=1,TModelo[[#This Row],[Period]]&lt;=HorizonteMeses),1,0)</f>
        <v>0</v>
      </c>
      <c r="E217" s="40">
        <f>TModelo[[#This Row],[Act]]*(INFb+(INFpi0-INFb)*(1-INFa)^TModelo[[#This Row],[Period]])</f>
        <v>0</v>
      </c>
      <c r="F217" s="28">
        <f>IF(TModelo[[#This Row],[Period]]&lt;=HorizonteMeses,F216*(1+TModelo[[#This Row],[InflMes]]),0)</f>
        <v>0</v>
      </c>
      <c r="G217" s="21">
        <f>TModelo[[#This Row],[Act]]*(CDTb+(CDTx0-CDTb)*(1-CDTa)^TModelo[[#This Row],[Period]]+CDTspread)</f>
        <v>0</v>
      </c>
      <c r="H217" s="40">
        <f>TModelo[[#This Row],[Act]]*((1+TModelo[[#This Row],[TasaCDT]])^(1/12)-1)*(1-Retencion)</f>
        <v>0</v>
      </c>
      <c r="I217" s="40">
        <f>TModelo[[#This Row],[Act]]*(EXP(MuCOLCAP+SigmaCOLCAP^2/2)-1)</f>
        <v>0</v>
      </c>
      <c r="J217" s="40">
        <f>TModelo[[#This Row],[Act]]*(EXP(MuTRM+SigmaTRM^2/2)-1)</f>
        <v>0</v>
      </c>
      <c r="K217" s="11">
        <f>TModelo[[#This Row],[Act]]*IF(Rebalanceo="Mensual",1,IF(Rebalanceo="Anual",IF(MOD(TModelo[[#This Row],[Period]]-1,12)=0,1,0),0))</f>
        <v>0</v>
      </c>
      <c r="L217" s="24">
        <f>TModelo[[#This Row],[Act]]*AporteMensual*IF(CrecimientoAporte="Con IPC",F216,1)</f>
        <v>0</v>
      </c>
      <c r="M217" s="24">
        <f>IF(TModelo[[#This Row],[Period]]=HorizonteMeses,TModelo[[#This Row],[TotalPreLiq]],0)</f>
        <v>0</v>
      </c>
      <c r="N217" s="24">
        <f>TModelo[[#This Row],[Inflow]]-TModelo[[#This Row],[Outflow]]</f>
        <v>0</v>
      </c>
      <c r="O217" s="24">
        <f t="shared" si="2"/>
        <v>0</v>
      </c>
      <c r="P217" s="24">
        <f>TModelo[[#This Row],[IntCDT]]+TModelo[[#This Row],[IntCOLCAP]]+TModelo[[#This Row],[IntUSD]]</f>
        <v>0</v>
      </c>
      <c r="Q217" s="24">
        <f>TModelo[[#This Row],[InitialBalance]]+TModelo[[#This Row],[Interest]]+TModelo[[#This Row],[Outflow]]-TModelo[[#This Row],[Inflow]]</f>
        <v>0</v>
      </c>
      <c r="R217" s="24">
        <f>TModelo[[#This Row],[Act]]*IF(TModelo[[#This Row],[Rebal]]=1,PesoCDT*(X216+Y216+Z216),X216)</f>
        <v>0</v>
      </c>
      <c r="S217" s="24">
        <f>TModelo[[#This Row],[Act]]*IF(TModelo[[#This Row],[Rebal]]=1,PesoCOLCAP*(X216+Y216+Z216),Y216)</f>
        <v>0</v>
      </c>
      <c r="T217" s="24">
        <f>TModelo[[#This Row],[Act]]*IF(TModelo[[#This Row],[Rebal]]=1,PesoUSD*(X216+Y216+Z216),Z216)</f>
        <v>0</v>
      </c>
      <c r="U217" s="24">
        <f>TModelo[[#This Row],[IniCDT]]*TModelo[[#This Row],[RetCDT]]</f>
        <v>0</v>
      </c>
      <c r="V217" s="24">
        <f>TModelo[[#This Row],[IniCOLCAP]]*TModelo[[#This Row],[RetCOLCAP]]</f>
        <v>0</v>
      </c>
      <c r="W217" s="24">
        <f>TModelo[[#This Row],[IniUSD]]*TModelo[[#This Row],[RetUSD]]</f>
        <v>0</v>
      </c>
      <c r="X217" s="24">
        <f>TModelo[[#This Row],[Act]]*(TModelo[[#This Row],[IniCDT]]+TModelo[[#This Row],[IntCDT]]+PesoCDT*TModelo[[#This Row],[Outflow]])</f>
        <v>0</v>
      </c>
      <c r="Y217" s="24">
        <f>TModelo[[#This Row],[Act]]*(TModelo[[#This Row],[IniCOLCAP]]+TModelo[[#This Row],[IntCOLCAP]]+PesoCOLCAP*TModelo[[#This Row],[Outflow]])</f>
        <v>0</v>
      </c>
      <c r="Z217" s="24">
        <f>TModelo[[#This Row],[Act]]*(TModelo[[#This Row],[IniUSD]]+TModelo[[#This Row],[IntUSD]]+PesoUSD*TModelo[[#This Row],[Outflow]])</f>
        <v>0</v>
      </c>
      <c r="AA217" s="24">
        <f>TModelo[[#This Row],[BalCDT]]+TModelo[[#This Row],[BalCOLCAP]]+TModelo[[#This Row],[BalUSD]]</f>
        <v>0</v>
      </c>
      <c r="AB217" s="24">
        <f>IF(TModelo[[#This Row],[CumInfl]]&gt;0,TModelo[[#This Row],[TotalPreLiq]]/TModelo[[#This Row],[CumInfl]],0)</f>
        <v>0</v>
      </c>
      <c r="AC217" s="41">
        <f>(1+PerRate)^(-TModelo[[#This Row],[Period]])</f>
        <v>0.2274976908699384</v>
      </c>
      <c r="AD217" s="42">
        <f>TModelo[[#This Row],[NetCF]]*TModelo[[#This Row],[fd]]</f>
        <v>0</v>
      </c>
    </row>
    <row r="218" spans="2:30" ht="16.95" customHeight="1">
      <c r="B218" s="11">
        <v>191</v>
      </c>
      <c r="C218" s="25">
        <f>EDATE(FechaInicio,TModelo[[#This Row],[Period]])</f>
        <v>52107</v>
      </c>
      <c r="D218" s="11">
        <f>IF(AND(TModelo[[#This Row],[Period]]&gt;=1,TModelo[[#This Row],[Period]]&lt;=HorizonteMeses),1,0)</f>
        <v>0</v>
      </c>
      <c r="E218" s="40">
        <f>TModelo[[#This Row],[Act]]*(INFb+(INFpi0-INFb)*(1-INFa)^TModelo[[#This Row],[Period]])</f>
        <v>0</v>
      </c>
      <c r="F218" s="28">
        <f>IF(TModelo[[#This Row],[Period]]&lt;=HorizonteMeses,F217*(1+TModelo[[#This Row],[InflMes]]),0)</f>
        <v>0</v>
      </c>
      <c r="G218" s="21">
        <f>TModelo[[#This Row],[Act]]*(CDTb+(CDTx0-CDTb)*(1-CDTa)^TModelo[[#This Row],[Period]]+CDTspread)</f>
        <v>0</v>
      </c>
      <c r="H218" s="40">
        <f>TModelo[[#This Row],[Act]]*((1+TModelo[[#This Row],[TasaCDT]])^(1/12)-1)*(1-Retencion)</f>
        <v>0</v>
      </c>
      <c r="I218" s="40">
        <f>TModelo[[#This Row],[Act]]*(EXP(MuCOLCAP+SigmaCOLCAP^2/2)-1)</f>
        <v>0</v>
      </c>
      <c r="J218" s="40">
        <f>TModelo[[#This Row],[Act]]*(EXP(MuTRM+SigmaTRM^2/2)-1)</f>
        <v>0</v>
      </c>
      <c r="K218" s="11">
        <f>TModelo[[#This Row],[Act]]*IF(Rebalanceo="Mensual",1,IF(Rebalanceo="Anual",IF(MOD(TModelo[[#This Row],[Period]]-1,12)=0,1,0),0))</f>
        <v>0</v>
      </c>
      <c r="L218" s="24">
        <f>TModelo[[#This Row],[Act]]*AporteMensual*IF(CrecimientoAporte="Con IPC",F217,1)</f>
        <v>0</v>
      </c>
      <c r="M218" s="24">
        <f>IF(TModelo[[#This Row],[Period]]=HorizonteMeses,TModelo[[#This Row],[TotalPreLiq]],0)</f>
        <v>0</v>
      </c>
      <c r="N218" s="24">
        <f>TModelo[[#This Row],[Inflow]]-TModelo[[#This Row],[Outflow]]</f>
        <v>0</v>
      </c>
      <c r="O218" s="24">
        <f t="shared" si="2"/>
        <v>0</v>
      </c>
      <c r="P218" s="24">
        <f>TModelo[[#This Row],[IntCDT]]+TModelo[[#This Row],[IntCOLCAP]]+TModelo[[#This Row],[IntUSD]]</f>
        <v>0</v>
      </c>
      <c r="Q218" s="24">
        <f>TModelo[[#This Row],[InitialBalance]]+TModelo[[#This Row],[Interest]]+TModelo[[#This Row],[Outflow]]-TModelo[[#This Row],[Inflow]]</f>
        <v>0</v>
      </c>
      <c r="R218" s="24">
        <f>TModelo[[#This Row],[Act]]*IF(TModelo[[#This Row],[Rebal]]=1,PesoCDT*(X217+Y217+Z217),X217)</f>
        <v>0</v>
      </c>
      <c r="S218" s="24">
        <f>TModelo[[#This Row],[Act]]*IF(TModelo[[#This Row],[Rebal]]=1,PesoCOLCAP*(X217+Y217+Z217),Y217)</f>
        <v>0</v>
      </c>
      <c r="T218" s="24">
        <f>TModelo[[#This Row],[Act]]*IF(TModelo[[#This Row],[Rebal]]=1,PesoUSD*(X217+Y217+Z217),Z217)</f>
        <v>0</v>
      </c>
      <c r="U218" s="24">
        <f>TModelo[[#This Row],[IniCDT]]*TModelo[[#This Row],[RetCDT]]</f>
        <v>0</v>
      </c>
      <c r="V218" s="24">
        <f>TModelo[[#This Row],[IniCOLCAP]]*TModelo[[#This Row],[RetCOLCAP]]</f>
        <v>0</v>
      </c>
      <c r="W218" s="24">
        <f>TModelo[[#This Row],[IniUSD]]*TModelo[[#This Row],[RetUSD]]</f>
        <v>0</v>
      </c>
      <c r="X218" s="24">
        <f>TModelo[[#This Row],[Act]]*(TModelo[[#This Row],[IniCDT]]+TModelo[[#This Row],[IntCDT]]+PesoCDT*TModelo[[#This Row],[Outflow]])</f>
        <v>0</v>
      </c>
      <c r="Y218" s="24">
        <f>TModelo[[#This Row],[Act]]*(TModelo[[#This Row],[IniCOLCAP]]+TModelo[[#This Row],[IntCOLCAP]]+PesoCOLCAP*TModelo[[#This Row],[Outflow]])</f>
        <v>0</v>
      </c>
      <c r="Z218" s="24">
        <f>TModelo[[#This Row],[Act]]*(TModelo[[#This Row],[IniUSD]]+TModelo[[#This Row],[IntUSD]]+PesoUSD*TModelo[[#This Row],[Outflow]])</f>
        <v>0</v>
      </c>
      <c r="AA218" s="24">
        <f>TModelo[[#This Row],[BalCDT]]+TModelo[[#This Row],[BalCOLCAP]]+TModelo[[#This Row],[BalUSD]]</f>
        <v>0</v>
      </c>
      <c r="AB218" s="24">
        <f>IF(TModelo[[#This Row],[CumInfl]]&gt;0,TModelo[[#This Row],[TotalPreLiq]]/TModelo[[#This Row],[CumInfl]],0)</f>
        <v>0</v>
      </c>
      <c r="AC218" s="41">
        <f>(1+PerRate)^(-TModelo[[#This Row],[Period]])</f>
        <v>0.22573175663587636</v>
      </c>
      <c r="AD218" s="42">
        <f>TModelo[[#This Row],[NetCF]]*TModelo[[#This Row],[fd]]</f>
        <v>0</v>
      </c>
    </row>
    <row r="219" spans="2:30" ht="16.95" customHeight="1">
      <c r="B219" s="11">
        <v>192</v>
      </c>
      <c r="C219" s="25">
        <f>EDATE(FechaInicio,TModelo[[#This Row],[Period]])</f>
        <v>52138</v>
      </c>
      <c r="D219" s="11">
        <f>IF(AND(TModelo[[#This Row],[Period]]&gt;=1,TModelo[[#This Row],[Period]]&lt;=HorizonteMeses),1,0)</f>
        <v>0</v>
      </c>
      <c r="E219" s="40">
        <f>TModelo[[#This Row],[Act]]*(INFb+(INFpi0-INFb)*(1-INFa)^TModelo[[#This Row],[Period]])</f>
        <v>0</v>
      </c>
      <c r="F219" s="28">
        <f>IF(TModelo[[#This Row],[Period]]&lt;=HorizonteMeses,F218*(1+TModelo[[#This Row],[InflMes]]),0)</f>
        <v>0</v>
      </c>
      <c r="G219" s="21">
        <f>TModelo[[#This Row],[Act]]*(CDTb+(CDTx0-CDTb)*(1-CDTa)^TModelo[[#This Row],[Period]]+CDTspread)</f>
        <v>0</v>
      </c>
      <c r="H219" s="40">
        <f>TModelo[[#This Row],[Act]]*((1+TModelo[[#This Row],[TasaCDT]])^(1/12)-1)*(1-Retencion)</f>
        <v>0</v>
      </c>
      <c r="I219" s="40">
        <f>TModelo[[#This Row],[Act]]*(EXP(MuCOLCAP+SigmaCOLCAP^2/2)-1)</f>
        <v>0</v>
      </c>
      <c r="J219" s="40">
        <f>TModelo[[#This Row],[Act]]*(EXP(MuTRM+SigmaTRM^2/2)-1)</f>
        <v>0</v>
      </c>
      <c r="K219" s="11">
        <f>TModelo[[#This Row],[Act]]*IF(Rebalanceo="Mensual",1,IF(Rebalanceo="Anual",IF(MOD(TModelo[[#This Row],[Period]]-1,12)=0,1,0),0))</f>
        <v>0</v>
      </c>
      <c r="L219" s="24">
        <f>TModelo[[#This Row],[Act]]*AporteMensual*IF(CrecimientoAporte="Con IPC",F218,1)</f>
        <v>0</v>
      </c>
      <c r="M219" s="24">
        <f>IF(TModelo[[#This Row],[Period]]=HorizonteMeses,TModelo[[#This Row],[TotalPreLiq]],0)</f>
        <v>0</v>
      </c>
      <c r="N219" s="24">
        <f>TModelo[[#This Row],[Inflow]]-TModelo[[#This Row],[Outflow]]</f>
        <v>0</v>
      </c>
      <c r="O219" s="24">
        <f t="shared" si="2"/>
        <v>0</v>
      </c>
      <c r="P219" s="24">
        <f>TModelo[[#This Row],[IntCDT]]+TModelo[[#This Row],[IntCOLCAP]]+TModelo[[#This Row],[IntUSD]]</f>
        <v>0</v>
      </c>
      <c r="Q219" s="24">
        <f>TModelo[[#This Row],[InitialBalance]]+TModelo[[#This Row],[Interest]]+TModelo[[#This Row],[Outflow]]-TModelo[[#This Row],[Inflow]]</f>
        <v>0</v>
      </c>
      <c r="R219" s="24">
        <f>TModelo[[#This Row],[Act]]*IF(TModelo[[#This Row],[Rebal]]=1,PesoCDT*(X218+Y218+Z218),X218)</f>
        <v>0</v>
      </c>
      <c r="S219" s="24">
        <f>TModelo[[#This Row],[Act]]*IF(TModelo[[#This Row],[Rebal]]=1,PesoCOLCAP*(X218+Y218+Z218),Y218)</f>
        <v>0</v>
      </c>
      <c r="T219" s="24">
        <f>TModelo[[#This Row],[Act]]*IF(TModelo[[#This Row],[Rebal]]=1,PesoUSD*(X218+Y218+Z218),Z218)</f>
        <v>0</v>
      </c>
      <c r="U219" s="24">
        <f>TModelo[[#This Row],[IniCDT]]*TModelo[[#This Row],[RetCDT]]</f>
        <v>0</v>
      </c>
      <c r="V219" s="24">
        <f>TModelo[[#This Row],[IniCOLCAP]]*TModelo[[#This Row],[RetCOLCAP]]</f>
        <v>0</v>
      </c>
      <c r="W219" s="24">
        <f>TModelo[[#This Row],[IniUSD]]*TModelo[[#This Row],[RetUSD]]</f>
        <v>0</v>
      </c>
      <c r="X219" s="24">
        <f>TModelo[[#This Row],[Act]]*(TModelo[[#This Row],[IniCDT]]+TModelo[[#This Row],[IntCDT]]+PesoCDT*TModelo[[#This Row],[Outflow]])</f>
        <v>0</v>
      </c>
      <c r="Y219" s="24">
        <f>TModelo[[#This Row],[Act]]*(TModelo[[#This Row],[IniCOLCAP]]+TModelo[[#This Row],[IntCOLCAP]]+PesoCOLCAP*TModelo[[#This Row],[Outflow]])</f>
        <v>0</v>
      </c>
      <c r="Z219" s="24">
        <f>TModelo[[#This Row],[Act]]*(TModelo[[#This Row],[IniUSD]]+TModelo[[#This Row],[IntUSD]]+PesoUSD*TModelo[[#This Row],[Outflow]])</f>
        <v>0</v>
      </c>
      <c r="AA219" s="24">
        <f>TModelo[[#This Row],[BalCDT]]+TModelo[[#This Row],[BalCOLCAP]]+TModelo[[#This Row],[BalUSD]]</f>
        <v>0</v>
      </c>
      <c r="AB219" s="24">
        <f>IF(TModelo[[#This Row],[CumInfl]]&gt;0,TModelo[[#This Row],[TotalPreLiq]]/TModelo[[#This Row],[CumInfl]],0)</f>
        <v>0</v>
      </c>
      <c r="AC219" s="41">
        <f>(1+PerRate)^(-TModelo[[#This Row],[Period]])</f>
        <v>0.2239795303375173</v>
      </c>
      <c r="AD219" s="42">
        <f>TModelo[[#This Row],[NetCF]]*TModelo[[#This Row],[fd]]</f>
        <v>0</v>
      </c>
    </row>
    <row r="220" spans="2:30" ht="16.95" customHeight="1">
      <c r="B220" s="11">
        <v>193</v>
      </c>
      <c r="C220" s="25">
        <f>EDATE(FechaInicio,TModelo[[#This Row],[Period]])</f>
        <v>52168</v>
      </c>
      <c r="D220" s="11">
        <f>IF(AND(TModelo[[#This Row],[Period]]&gt;=1,TModelo[[#This Row],[Period]]&lt;=HorizonteMeses),1,0)</f>
        <v>0</v>
      </c>
      <c r="E220" s="40">
        <f>TModelo[[#This Row],[Act]]*(INFb+(INFpi0-INFb)*(1-INFa)^TModelo[[#This Row],[Period]])</f>
        <v>0</v>
      </c>
      <c r="F220" s="28">
        <f>IF(TModelo[[#This Row],[Period]]&lt;=HorizonteMeses,F219*(1+TModelo[[#This Row],[InflMes]]),0)</f>
        <v>0</v>
      </c>
      <c r="G220" s="21">
        <f>TModelo[[#This Row],[Act]]*(CDTb+(CDTx0-CDTb)*(1-CDTa)^TModelo[[#This Row],[Period]]+CDTspread)</f>
        <v>0</v>
      </c>
      <c r="H220" s="40">
        <f>TModelo[[#This Row],[Act]]*((1+TModelo[[#This Row],[TasaCDT]])^(1/12)-1)*(1-Retencion)</f>
        <v>0</v>
      </c>
      <c r="I220" s="40">
        <f>TModelo[[#This Row],[Act]]*(EXP(MuCOLCAP+SigmaCOLCAP^2/2)-1)</f>
        <v>0</v>
      </c>
      <c r="J220" s="40">
        <f>TModelo[[#This Row],[Act]]*(EXP(MuTRM+SigmaTRM^2/2)-1)</f>
        <v>0</v>
      </c>
      <c r="K220" s="11">
        <f>TModelo[[#This Row],[Act]]*IF(Rebalanceo="Mensual",1,IF(Rebalanceo="Anual",IF(MOD(TModelo[[#This Row],[Period]]-1,12)=0,1,0),0))</f>
        <v>0</v>
      </c>
      <c r="L220" s="24">
        <f>TModelo[[#This Row],[Act]]*AporteMensual*IF(CrecimientoAporte="Con IPC",F219,1)</f>
        <v>0</v>
      </c>
      <c r="M220" s="24">
        <f>IF(TModelo[[#This Row],[Period]]=HorizonteMeses,TModelo[[#This Row],[TotalPreLiq]],0)</f>
        <v>0</v>
      </c>
      <c r="N220" s="24">
        <f>TModelo[[#This Row],[Inflow]]-TModelo[[#This Row],[Outflow]]</f>
        <v>0</v>
      </c>
      <c r="O220" s="24">
        <f t="shared" ref="O220:O283" si="3">Q219</f>
        <v>0</v>
      </c>
      <c r="P220" s="24">
        <f>TModelo[[#This Row],[IntCDT]]+TModelo[[#This Row],[IntCOLCAP]]+TModelo[[#This Row],[IntUSD]]</f>
        <v>0</v>
      </c>
      <c r="Q220" s="24">
        <f>TModelo[[#This Row],[InitialBalance]]+TModelo[[#This Row],[Interest]]+TModelo[[#This Row],[Outflow]]-TModelo[[#This Row],[Inflow]]</f>
        <v>0</v>
      </c>
      <c r="R220" s="24">
        <f>TModelo[[#This Row],[Act]]*IF(TModelo[[#This Row],[Rebal]]=1,PesoCDT*(X219+Y219+Z219),X219)</f>
        <v>0</v>
      </c>
      <c r="S220" s="24">
        <f>TModelo[[#This Row],[Act]]*IF(TModelo[[#This Row],[Rebal]]=1,PesoCOLCAP*(X219+Y219+Z219),Y219)</f>
        <v>0</v>
      </c>
      <c r="T220" s="24">
        <f>TModelo[[#This Row],[Act]]*IF(TModelo[[#This Row],[Rebal]]=1,PesoUSD*(X219+Y219+Z219),Z219)</f>
        <v>0</v>
      </c>
      <c r="U220" s="24">
        <f>TModelo[[#This Row],[IniCDT]]*TModelo[[#This Row],[RetCDT]]</f>
        <v>0</v>
      </c>
      <c r="V220" s="24">
        <f>TModelo[[#This Row],[IniCOLCAP]]*TModelo[[#This Row],[RetCOLCAP]]</f>
        <v>0</v>
      </c>
      <c r="W220" s="24">
        <f>TModelo[[#This Row],[IniUSD]]*TModelo[[#This Row],[RetUSD]]</f>
        <v>0</v>
      </c>
      <c r="X220" s="24">
        <f>TModelo[[#This Row],[Act]]*(TModelo[[#This Row],[IniCDT]]+TModelo[[#This Row],[IntCDT]]+PesoCDT*TModelo[[#This Row],[Outflow]])</f>
        <v>0</v>
      </c>
      <c r="Y220" s="24">
        <f>TModelo[[#This Row],[Act]]*(TModelo[[#This Row],[IniCOLCAP]]+TModelo[[#This Row],[IntCOLCAP]]+PesoCOLCAP*TModelo[[#This Row],[Outflow]])</f>
        <v>0</v>
      </c>
      <c r="Z220" s="24">
        <f>TModelo[[#This Row],[Act]]*(TModelo[[#This Row],[IniUSD]]+TModelo[[#This Row],[IntUSD]]+PesoUSD*TModelo[[#This Row],[Outflow]])</f>
        <v>0</v>
      </c>
      <c r="AA220" s="24">
        <f>TModelo[[#This Row],[BalCDT]]+TModelo[[#This Row],[BalCOLCAP]]+TModelo[[#This Row],[BalUSD]]</f>
        <v>0</v>
      </c>
      <c r="AB220" s="24">
        <f>IF(TModelo[[#This Row],[CumInfl]]&gt;0,TModelo[[#This Row],[TotalPreLiq]]/TModelo[[#This Row],[CumInfl]],0)</f>
        <v>0</v>
      </c>
      <c r="AC220" s="41">
        <f>(1+PerRate)^(-TModelo[[#This Row],[Period]])</f>
        <v>0.2222409055680101</v>
      </c>
      <c r="AD220" s="42">
        <f>TModelo[[#This Row],[NetCF]]*TModelo[[#This Row],[fd]]</f>
        <v>0</v>
      </c>
    </row>
    <row r="221" spans="2:30" ht="16.95" customHeight="1">
      <c r="B221" s="11">
        <v>194</v>
      </c>
      <c r="C221" s="25">
        <f>EDATE(FechaInicio,TModelo[[#This Row],[Period]])</f>
        <v>52199</v>
      </c>
      <c r="D221" s="11">
        <f>IF(AND(TModelo[[#This Row],[Period]]&gt;=1,TModelo[[#This Row],[Period]]&lt;=HorizonteMeses),1,0)</f>
        <v>0</v>
      </c>
      <c r="E221" s="40">
        <f>TModelo[[#This Row],[Act]]*(INFb+(INFpi0-INFb)*(1-INFa)^TModelo[[#This Row],[Period]])</f>
        <v>0</v>
      </c>
      <c r="F221" s="28">
        <f>IF(TModelo[[#This Row],[Period]]&lt;=HorizonteMeses,F220*(1+TModelo[[#This Row],[InflMes]]),0)</f>
        <v>0</v>
      </c>
      <c r="G221" s="21">
        <f>TModelo[[#This Row],[Act]]*(CDTb+(CDTx0-CDTb)*(1-CDTa)^TModelo[[#This Row],[Period]]+CDTspread)</f>
        <v>0</v>
      </c>
      <c r="H221" s="40">
        <f>TModelo[[#This Row],[Act]]*((1+TModelo[[#This Row],[TasaCDT]])^(1/12)-1)*(1-Retencion)</f>
        <v>0</v>
      </c>
      <c r="I221" s="40">
        <f>TModelo[[#This Row],[Act]]*(EXP(MuCOLCAP+SigmaCOLCAP^2/2)-1)</f>
        <v>0</v>
      </c>
      <c r="J221" s="40">
        <f>TModelo[[#This Row],[Act]]*(EXP(MuTRM+SigmaTRM^2/2)-1)</f>
        <v>0</v>
      </c>
      <c r="K221" s="11">
        <f>TModelo[[#This Row],[Act]]*IF(Rebalanceo="Mensual",1,IF(Rebalanceo="Anual",IF(MOD(TModelo[[#This Row],[Period]]-1,12)=0,1,0),0))</f>
        <v>0</v>
      </c>
      <c r="L221" s="24">
        <f>TModelo[[#This Row],[Act]]*AporteMensual*IF(CrecimientoAporte="Con IPC",F220,1)</f>
        <v>0</v>
      </c>
      <c r="M221" s="24">
        <f>IF(TModelo[[#This Row],[Period]]=HorizonteMeses,TModelo[[#This Row],[TotalPreLiq]],0)</f>
        <v>0</v>
      </c>
      <c r="N221" s="24">
        <f>TModelo[[#This Row],[Inflow]]-TModelo[[#This Row],[Outflow]]</f>
        <v>0</v>
      </c>
      <c r="O221" s="24">
        <f t="shared" si="3"/>
        <v>0</v>
      </c>
      <c r="P221" s="24">
        <f>TModelo[[#This Row],[IntCDT]]+TModelo[[#This Row],[IntCOLCAP]]+TModelo[[#This Row],[IntUSD]]</f>
        <v>0</v>
      </c>
      <c r="Q221" s="24">
        <f>TModelo[[#This Row],[InitialBalance]]+TModelo[[#This Row],[Interest]]+TModelo[[#This Row],[Outflow]]-TModelo[[#This Row],[Inflow]]</f>
        <v>0</v>
      </c>
      <c r="R221" s="24">
        <f>TModelo[[#This Row],[Act]]*IF(TModelo[[#This Row],[Rebal]]=1,PesoCDT*(X220+Y220+Z220),X220)</f>
        <v>0</v>
      </c>
      <c r="S221" s="24">
        <f>TModelo[[#This Row],[Act]]*IF(TModelo[[#This Row],[Rebal]]=1,PesoCOLCAP*(X220+Y220+Z220),Y220)</f>
        <v>0</v>
      </c>
      <c r="T221" s="24">
        <f>TModelo[[#This Row],[Act]]*IF(TModelo[[#This Row],[Rebal]]=1,PesoUSD*(X220+Y220+Z220),Z220)</f>
        <v>0</v>
      </c>
      <c r="U221" s="24">
        <f>TModelo[[#This Row],[IniCDT]]*TModelo[[#This Row],[RetCDT]]</f>
        <v>0</v>
      </c>
      <c r="V221" s="24">
        <f>TModelo[[#This Row],[IniCOLCAP]]*TModelo[[#This Row],[RetCOLCAP]]</f>
        <v>0</v>
      </c>
      <c r="W221" s="24">
        <f>TModelo[[#This Row],[IniUSD]]*TModelo[[#This Row],[RetUSD]]</f>
        <v>0</v>
      </c>
      <c r="X221" s="24">
        <f>TModelo[[#This Row],[Act]]*(TModelo[[#This Row],[IniCDT]]+TModelo[[#This Row],[IntCDT]]+PesoCDT*TModelo[[#This Row],[Outflow]])</f>
        <v>0</v>
      </c>
      <c r="Y221" s="24">
        <f>TModelo[[#This Row],[Act]]*(TModelo[[#This Row],[IniCOLCAP]]+TModelo[[#This Row],[IntCOLCAP]]+PesoCOLCAP*TModelo[[#This Row],[Outflow]])</f>
        <v>0</v>
      </c>
      <c r="Z221" s="24">
        <f>TModelo[[#This Row],[Act]]*(TModelo[[#This Row],[IniUSD]]+TModelo[[#This Row],[IntUSD]]+PesoUSD*TModelo[[#This Row],[Outflow]])</f>
        <v>0</v>
      </c>
      <c r="AA221" s="24">
        <f>TModelo[[#This Row],[BalCDT]]+TModelo[[#This Row],[BalCOLCAP]]+TModelo[[#This Row],[BalUSD]]</f>
        <v>0</v>
      </c>
      <c r="AB221" s="24">
        <f>IF(TModelo[[#This Row],[CumInfl]]&gt;0,TModelo[[#This Row],[TotalPreLiq]]/TModelo[[#This Row],[CumInfl]],0)</f>
        <v>0</v>
      </c>
      <c r="AC221" s="41">
        <f>(1+PerRate)^(-TModelo[[#This Row],[Period]])</f>
        <v>0.22051577674647899</v>
      </c>
      <c r="AD221" s="42">
        <f>TModelo[[#This Row],[NetCF]]*TModelo[[#This Row],[fd]]</f>
        <v>0</v>
      </c>
    </row>
    <row r="222" spans="2:30" ht="16.95" customHeight="1">
      <c r="B222" s="11">
        <v>195</v>
      </c>
      <c r="C222" s="25">
        <f>EDATE(FechaInicio,TModelo[[#This Row],[Period]])</f>
        <v>52229</v>
      </c>
      <c r="D222" s="11">
        <f>IF(AND(TModelo[[#This Row],[Period]]&gt;=1,TModelo[[#This Row],[Period]]&lt;=HorizonteMeses),1,0)</f>
        <v>0</v>
      </c>
      <c r="E222" s="40">
        <f>TModelo[[#This Row],[Act]]*(INFb+(INFpi0-INFb)*(1-INFa)^TModelo[[#This Row],[Period]])</f>
        <v>0</v>
      </c>
      <c r="F222" s="28">
        <f>IF(TModelo[[#This Row],[Period]]&lt;=HorizonteMeses,F221*(1+TModelo[[#This Row],[InflMes]]),0)</f>
        <v>0</v>
      </c>
      <c r="G222" s="21">
        <f>TModelo[[#This Row],[Act]]*(CDTb+(CDTx0-CDTb)*(1-CDTa)^TModelo[[#This Row],[Period]]+CDTspread)</f>
        <v>0</v>
      </c>
      <c r="H222" s="40">
        <f>TModelo[[#This Row],[Act]]*((1+TModelo[[#This Row],[TasaCDT]])^(1/12)-1)*(1-Retencion)</f>
        <v>0</v>
      </c>
      <c r="I222" s="40">
        <f>TModelo[[#This Row],[Act]]*(EXP(MuCOLCAP+SigmaCOLCAP^2/2)-1)</f>
        <v>0</v>
      </c>
      <c r="J222" s="40">
        <f>TModelo[[#This Row],[Act]]*(EXP(MuTRM+SigmaTRM^2/2)-1)</f>
        <v>0</v>
      </c>
      <c r="K222" s="11">
        <f>TModelo[[#This Row],[Act]]*IF(Rebalanceo="Mensual",1,IF(Rebalanceo="Anual",IF(MOD(TModelo[[#This Row],[Period]]-1,12)=0,1,0),0))</f>
        <v>0</v>
      </c>
      <c r="L222" s="24">
        <f>TModelo[[#This Row],[Act]]*AporteMensual*IF(CrecimientoAporte="Con IPC",F221,1)</f>
        <v>0</v>
      </c>
      <c r="M222" s="24">
        <f>IF(TModelo[[#This Row],[Period]]=HorizonteMeses,TModelo[[#This Row],[TotalPreLiq]],0)</f>
        <v>0</v>
      </c>
      <c r="N222" s="24">
        <f>TModelo[[#This Row],[Inflow]]-TModelo[[#This Row],[Outflow]]</f>
        <v>0</v>
      </c>
      <c r="O222" s="24">
        <f t="shared" si="3"/>
        <v>0</v>
      </c>
      <c r="P222" s="24">
        <f>TModelo[[#This Row],[IntCDT]]+TModelo[[#This Row],[IntCOLCAP]]+TModelo[[#This Row],[IntUSD]]</f>
        <v>0</v>
      </c>
      <c r="Q222" s="24">
        <f>TModelo[[#This Row],[InitialBalance]]+TModelo[[#This Row],[Interest]]+TModelo[[#This Row],[Outflow]]-TModelo[[#This Row],[Inflow]]</f>
        <v>0</v>
      </c>
      <c r="R222" s="24">
        <f>TModelo[[#This Row],[Act]]*IF(TModelo[[#This Row],[Rebal]]=1,PesoCDT*(X221+Y221+Z221),X221)</f>
        <v>0</v>
      </c>
      <c r="S222" s="24">
        <f>TModelo[[#This Row],[Act]]*IF(TModelo[[#This Row],[Rebal]]=1,PesoCOLCAP*(X221+Y221+Z221),Y221)</f>
        <v>0</v>
      </c>
      <c r="T222" s="24">
        <f>TModelo[[#This Row],[Act]]*IF(TModelo[[#This Row],[Rebal]]=1,PesoUSD*(X221+Y221+Z221),Z221)</f>
        <v>0</v>
      </c>
      <c r="U222" s="24">
        <f>TModelo[[#This Row],[IniCDT]]*TModelo[[#This Row],[RetCDT]]</f>
        <v>0</v>
      </c>
      <c r="V222" s="24">
        <f>TModelo[[#This Row],[IniCOLCAP]]*TModelo[[#This Row],[RetCOLCAP]]</f>
        <v>0</v>
      </c>
      <c r="W222" s="24">
        <f>TModelo[[#This Row],[IniUSD]]*TModelo[[#This Row],[RetUSD]]</f>
        <v>0</v>
      </c>
      <c r="X222" s="24">
        <f>TModelo[[#This Row],[Act]]*(TModelo[[#This Row],[IniCDT]]+TModelo[[#This Row],[IntCDT]]+PesoCDT*TModelo[[#This Row],[Outflow]])</f>
        <v>0</v>
      </c>
      <c r="Y222" s="24">
        <f>TModelo[[#This Row],[Act]]*(TModelo[[#This Row],[IniCOLCAP]]+TModelo[[#This Row],[IntCOLCAP]]+PesoCOLCAP*TModelo[[#This Row],[Outflow]])</f>
        <v>0</v>
      </c>
      <c r="Z222" s="24">
        <f>TModelo[[#This Row],[Act]]*(TModelo[[#This Row],[IniUSD]]+TModelo[[#This Row],[IntUSD]]+PesoUSD*TModelo[[#This Row],[Outflow]])</f>
        <v>0</v>
      </c>
      <c r="AA222" s="24">
        <f>TModelo[[#This Row],[BalCDT]]+TModelo[[#This Row],[BalCOLCAP]]+TModelo[[#This Row],[BalUSD]]</f>
        <v>0</v>
      </c>
      <c r="AB222" s="24">
        <f>IF(TModelo[[#This Row],[CumInfl]]&gt;0,TModelo[[#This Row],[TotalPreLiq]]/TModelo[[#This Row],[CumInfl]],0)</f>
        <v>0</v>
      </c>
      <c r="AC222" s="41">
        <f>(1+PerRate)^(-TModelo[[#This Row],[Period]])</f>
        <v>0.21880403911161198</v>
      </c>
      <c r="AD222" s="42">
        <f>TModelo[[#This Row],[NetCF]]*TModelo[[#This Row],[fd]]</f>
        <v>0</v>
      </c>
    </row>
    <row r="223" spans="2:30" ht="16.95" customHeight="1">
      <c r="B223" s="11">
        <v>196</v>
      </c>
      <c r="C223" s="25">
        <f>EDATE(FechaInicio,TModelo[[#This Row],[Period]])</f>
        <v>52260</v>
      </c>
      <c r="D223" s="11">
        <f>IF(AND(TModelo[[#This Row],[Period]]&gt;=1,TModelo[[#This Row],[Period]]&lt;=HorizonteMeses),1,0)</f>
        <v>0</v>
      </c>
      <c r="E223" s="40">
        <f>TModelo[[#This Row],[Act]]*(INFb+(INFpi0-INFb)*(1-INFa)^TModelo[[#This Row],[Period]])</f>
        <v>0</v>
      </c>
      <c r="F223" s="28">
        <f>IF(TModelo[[#This Row],[Period]]&lt;=HorizonteMeses,F222*(1+TModelo[[#This Row],[InflMes]]),0)</f>
        <v>0</v>
      </c>
      <c r="G223" s="21">
        <f>TModelo[[#This Row],[Act]]*(CDTb+(CDTx0-CDTb)*(1-CDTa)^TModelo[[#This Row],[Period]]+CDTspread)</f>
        <v>0</v>
      </c>
      <c r="H223" s="40">
        <f>TModelo[[#This Row],[Act]]*((1+TModelo[[#This Row],[TasaCDT]])^(1/12)-1)*(1-Retencion)</f>
        <v>0</v>
      </c>
      <c r="I223" s="40">
        <f>TModelo[[#This Row],[Act]]*(EXP(MuCOLCAP+SigmaCOLCAP^2/2)-1)</f>
        <v>0</v>
      </c>
      <c r="J223" s="40">
        <f>TModelo[[#This Row],[Act]]*(EXP(MuTRM+SigmaTRM^2/2)-1)</f>
        <v>0</v>
      </c>
      <c r="K223" s="11">
        <f>TModelo[[#This Row],[Act]]*IF(Rebalanceo="Mensual",1,IF(Rebalanceo="Anual",IF(MOD(TModelo[[#This Row],[Period]]-1,12)=0,1,0),0))</f>
        <v>0</v>
      </c>
      <c r="L223" s="24">
        <f>TModelo[[#This Row],[Act]]*AporteMensual*IF(CrecimientoAporte="Con IPC",F222,1)</f>
        <v>0</v>
      </c>
      <c r="M223" s="24">
        <f>IF(TModelo[[#This Row],[Period]]=HorizonteMeses,TModelo[[#This Row],[TotalPreLiq]],0)</f>
        <v>0</v>
      </c>
      <c r="N223" s="24">
        <f>TModelo[[#This Row],[Inflow]]-TModelo[[#This Row],[Outflow]]</f>
        <v>0</v>
      </c>
      <c r="O223" s="24">
        <f t="shared" si="3"/>
        <v>0</v>
      </c>
      <c r="P223" s="24">
        <f>TModelo[[#This Row],[IntCDT]]+TModelo[[#This Row],[IntCOLCAP]]+TModelo[[#This Row],[IntUSD]]</f>
        <v>0</v>
      </c>
      <c r="Q223" s="24">
        <f>TModelo[[#This Row],[InitialBalance]]+TModelo[[#This Row],[Interest]]+TModelo[[#This Row],[Outflow]]-TModelo[[#This Row],[Inflow]]</f>
        <v>0</v>
      </c>
      <c r="R223" s="24">
        <f>TModelo[[#This Row],[Act]]*IF(TModelo[[#This Row],[Rebal]]=1,PesoCDT*(X222+Y222+Z222),X222)</f>
        <v>0</v>
      </c>
      <c r="S223" s="24">
        <f>TModelo[[#This Row],[Act]]*IF(TModelo[[#This Row],[Rebal]]=1,PesoCOLCAP*(X222+Y222+Z222),Y222)</f>
        <v>0</v>
      </c>
      <c r="T223" s="24">
        <f>TModelo[[#This Row],[Act]]*IF(TModelo[[#This Row],[Rebal]]=1,PesoUSD*(X222+Y222+Z222),Z222)</f>
        <v>0</v>
      </c>
      <c r="U223" s="24">
        <f>TModelo[[#This Row],[IniCDT]]*TModelo[[#This Row],[RetCDT]]</f>
        <v>0</v>
      </c>
      <c r="V223" s="24">
        <f>TModelo[[#This Row],[IniCOLCAP]]*TModelo[[#This Row],[RetCOLCAP]]</f>
        <v>0</v>
      </c>
      <c r="W223" s="24">
        <f>TModelo[[#This Row],[IniUSD]]*TModelo[[#This Row],[RetUSD]]</f>
        <v>0</v>
      </c>
      <c r="X223" s="24">
        <f>TModelo[[#This Row],[Act]]*(TModelo[[#This Row],[IniCDT]]+TModelo[[#This Row],[IntCDT]]+PesoCDT*TModelo[[#This Row],[Outflow]])</f>
        <v>0</v>
      </c>
      <c r="Y223" s="24">
        <f>TModelo[[#This Row],[Act]]*(TModelo[[#This Row],[IniCOLCAP]]+TModelo[[#This Row],[IntCOLCAP]]+PesoCOLCAP*TModelo[[#This Row],[Outflow]])</f>
        <v>0</v>
      </c>
      <c r="Z223" s="24">
        <f>TModelo[[#This Row],[Act]]*(TModelo[[#This Row],[IniUSD]]+TModelo[[#This Row],[IntUSD]]+PesoUSD*TModelo[[#This Row],[Outflow]])</f>
        <v>0</v>
      </c>
      <c r="AA223" s="24">
        <f>TModelo[[#This Row],[BalCDT]]+TModelo[[#This Row],[BalCOLCAP]]+TModelo[[#This Row],[BalUSD]]</f>
        <v>0</v>
      </c>
      <c r="AB223" s="24">
        <f>IF(TModelo[[#This Row],[CumInfl]]&gt;0,TModelo[[#This Row],[TotalPreLiq]]/TModelo[[#This Row],[CumInfl]],0)</f>
        <v>0</v>
      </c>
      <c r="AC223" s="41">
        <f>(1+PerRate)^(-TModelo[[#This Row],[Period]])</f>
        <v>0.21710558871529936</v>
      </c>
      <c r="AD223" s="42">
        <f>TModelo[[#This Row],[NetCF]]*TModelo[[#This Row],[fd]]</f>
        <v>0</v>
      </c>
    </row>
    <row r="224" spans="2:30" ht="16.95" customHeight="1">
      <c r="B224" s="11">
        <v>197</v>
      </c>
      <c r="C224" s="25">
        <f>EDATE(FechaInicio,TModelo[[#This Row],[Period]])</f>
        <v>52290</v>
      </c>
      <c r="D224" s="11">
        <f>IF(AND(TModelo[[#This Row],[Period]]&gt;=1,TModelo[[#This Row],[Period]]&lt;=HorizonteMeses),1,0)</f>
        <v>0</v>
      </c>
      <c r="E224" s="40">
        <f>TModelo[[#This Row],[Act]]*(INFb+(INFpi0-INFb)*(1-INFa)^TModelo[[#This Row],[Period]])</f>
        <v>0</v>
      </c>
      <c r="F224" s="28">
        <f>IF(TModelo[[#This Row],[Period]]&lt;=HorizonteMeses,F223*(1+TModelo[[#This Row],[InflMes]]),0)</f>
        <v>0</v>
      </c>
      <c r="G224" s="21">
        <f>TModelo[[#This Row],[Act]]*(CDTb+(CDTx0-CDTb)*(1-CDTa)^TModelo[[#This Row],[Period]]+CDTspread)</f>
        <v>0</v>
      </c>
      <c r="H224" s="40">
        <f>TModelo[[#This Row],[Act]]*((1+TModelo[[#This Row],[TasaCDT]])^(1/12)-1)*(1-Retencion)</f>
        <v>0</v>
      </c>
      <c r="I224" s="40">
        <f>TModelo[[#This Row],[Act]]*(EXP(MuCOLCAP+SigmaCOLCAP^2/2)-1)</f>
        <v>0</v>
      </c>
      <c r="J224" s="40">
        <f>TModelo[[#This Row],[Act]]*(EXP(MuTRM+SigmaTRM^2/2)-1)</f>
        <v>0</v>
      </c>
      <c r="K224" s="11">
        <f>TModelo[[#This Row],[Act]]*IF(Rebalanceo="Mensual",1,IF(Rebalanceo="Anual",IF(MOD(TModelo[[#This Row],[Period]]-1,12)=0,1,0),0))</f>
        <v>0</v>
      </c>
      <c r="L224" s="24">
        <f>TModelo[[#This Row],[Act]]*AporteMensual*IF(CrecimientoAporte="Con IPC",F223,1)</f>
        <v>0</v>
      </c>
      <c r="M224" s="24">
        <f>IF(TModelo[[#This Row],[Period]]=HorizonteMeses,TModelo[[#This Row],[TotalPreLiq]],0)</f>
        <v>0</v>
      </c>
      <c r="N224" s="24">
        <f>TModelo[[#This Row],[Inflow]]-TModelo[[#This Row],[Outflow]]</f>
        <v>0</v>
      </c>
      <c r="O224" s="24">
        <f t="shared" si="3"/>
        <v>0</v>
      </c>
      <c r="P224" s="24">
        <f>TModelo[[#This Row],[IntCDT]]+TModelo[[#This Row],[IntCOLCAP]]+TModelo[[#This Row],[IntUSD]]</f>
        <v>0</v>
      </c>
      <c r="Q224" s="24">
        <f>TModelo[[#This Row],[InitialBalance]]+TModelo[[#This Row],[Interest]]+TModelo[[#This Row],[Outflow]]-TModelo[[#This Row],[Inflow]]</f>
        <v>0</v>
      </c>
      <c r="R224" s="24">
        <f>TModelo[[#This Row],[Act]]*IF(TModelo[[#This Row],[Rebal]]=1,PesoCDT*(X223+Y223+Z223),X223)</f>
        <v>0</v>
      </c>
      <c r="S224" s="24">
        <f>TModelo[[#This Row],[Act]]*IF(TModelo[[#This Row],[Rebal]]=1,PesoCOLCAP*(X223+Y223+Z223),Y223)</f>
        <v>0</v>
      </c>
      <c r="T224" s="24">
        <f>TModelo[[#This Row],[Act]]*IF(TModelo[[#This Row],[Rebal]]=1,PesoUSD*(X223+Y223+Z223),Z223)</f>
        <v>0</v>
      </c>
      <c r="U224" s="24">
        <f>TModelo[[#This Row],[IniCDT]]*TModelo[[#This Row],[RetCDT]]</f>
        <v>0</v>
      </c>
      <c r="V224" s="24">
        <f>TModelo[[#This Row],[IniCOLCAP]]*TModelo[[#This Row],[RetCOLCAP]]</f>
        <v>0</v>
      </c>
      <c r="W224" s="24">
        <f>TModelo[[#This Row],[IniUSD]]*TModelo[[#This Row],[RetUSD]]</f>
        <v>0</v>
      </c>
      <c r="X224" s="24">
        <f>TModelo[[#This Row],[Act]]*(TModelo[[#This Row],[IniCDT]]+TModelo[[#This Row],[IntCDT]]+PesoCDT*TModelo[[#This Row],[Outflow]])</f>
        <v>0</v>
      </c>
      <c r="Y224" s="24">
        <f>TModelo[[#This Row],[Act]]*(TModelo[[#This Row],[IniCOLCAP]]+TModelo[[#This Row],[IntCOLCAP]]+PesoCOLCAP*TModelo[[#This Row],[Outflow]])</f>
        <v>0</v>
      </c>
      <c r="Z224" s="24">
        <f>TModelo[[#This Row],[Act]]*(TModelo[[#This Row],[IniUSD]]+TModelo[[#This Row],[IntUSD]]+PesoUSD*TModelo[[#This Row],[Outflow]])</f>
        <v>0</v>
      </c>
      <c r="AA224" s="24">
        <f>TModelo[[#This Row],[BalCDT]]+TModelo[[#This Row],[BalCOLCAP]]+TModelo[[#This Row],[BalUSD]]</f>
        <v>0</v>
      </c>
      <c r="AB224" s="24">
        <f>IF(TModelo[[#This Row],[CumInfl]]&gt;0,TModelo[[#This Row],[TotalPreLiq]]/TModelo[[#This Row],[CumInfl]],0)</f>
        <v>0</v>
      </c>
      <c r="AC224" s="41">
        <f>(1+PerRate)^(-TModelo[[#This Row],[Period]])</f>
        <v>0.21542032241632081</v>
      </c>
      <c r="AD224" s="42">
        <f>TModelo[[#This Row],[NetCF]]*TModelo[[#This Row],[fd]]</f>
        <v>0</v>
      </c>
    </row>
    <row r="225" spans="2:30" ht="16.95" customHeight="1">
      <c r="B225" s="11">
        <v>198</v>
      </c>
      <c r="C225" s="25">
        <f>EDATE(FechaInicio,TModelo[[#This Row],[Period]])</f>
        <v>52319</v>
      </c>
      <c r="D225" s="11">
        <f>IF(AND(TModelo[[#This Row],[Period]]&gt;=1,TModelo[[#This Row],[Period]]&lt;=HorizonteMeses),1,0)</f>
        <v>0</v>
      </c>
      <c r="E225" s="40">
        <f>TModelo[[#This Row],[Act]]*(INFb+(INFpi0-INFb)*(1-INFa)^TModelo[[#This Row],[Period]])</f>
        <v>0</v>
      </c>
      <c r="F225" s="28">
        <f>IF(TModelo[[#This Row],[Period]]&lt;=HorizonteMeses,F224*(1+TModelo[[#This Row],[InflMes]]),0)</f>
        <v>0</v>
      </c>
      <c r="G225" s="21">
        <f>TModelo[[#This Row],[Act]]*(CDTb+(CDTx0-CDTb)*(1-CDTa)^TModelo[[#This Row],[Period]]+CDTspread)</f>
        <v>0</v>
      </c>
      <c r="H225" s="40">
        <f>TModelo[[#This Row],[Act]]*((1+TModelo[[#This Row],[TasaCDT]])^(1/12)-1)*(1-Retencion)</f>
        <v>0</v>
      </c>
      <c r="I225" s="40">
        <f>TModelo[[#This Row],[Act]]*(EXP(MuCOLCAP+SigmaCOLCAP^2/2)-1)</f>
        <v>0</v>
      </c>
      <c r="J225" s="40">
        <f>TModelo[[#This Row],[Act]]*(EXP(MuTRM+SigmaTRM^2/2)-1)</f>
        <v>0</v>
      </c>
      <c r="K225" s="11">
        <f>TModelo[[#This Row],[Act]]*IF(Rebalanceo="Mensual",1,IF(Rebalanceo="Anual",IF(MOD(TModelo[[#This Row],[Period]]-1,12)=0,1,0),0))</f>
        <v>0</v>
      </c>
      <c r="L225" s="24">
        <f>TModelo[[#This Row],[Act]]*AporteMensual*IF(CrecimientoAporte="Con IPC",F224,1)</f>
        <v>0</v>
      </c>
      <c r="M225" s="24">
        <f>IF(TModelo[[#This Row],[Period]]=HorizonteMeses,TModelo[[#This Row],[TotalPreLiq]],0)</f>
        <v>0</v>
      </c>
      <c r="N225" s="24">
        <f>TModelo[[#This Row],[Inflow]]-TModelo[[#This Row],[Outflow]]</f>
        <v>0</v>
      </c>
      <c r="O225" s="24">
        <f t="shared" si="3"/>
        <v>0</v>
      </c>
      <c r="P225" s="24">
        <f>TModelo[[#This Row],[IntCDT]]+TModelo[[#This Row],[IntCOLCAP]]+TModelo[[#This Row],[IntUSD]]</f>
        <v>0</v>
      </c>
      <c r="Q225" s="24">
        <f>TModelo[[#This Row],[InitialBalance]]+TModelo[[#This Row],[Interest]]+TModelo[[#This Row],[Outflow]]-TModelo[[#This Row],[Inflow]]</f>
        <v>0</v>
      </c>
      <c r="R225" s="24">
        <f>TModelo[[#This Row],[Act]]*IF(TModelo[[#This Row],[Rebal]]=1,PesoCDT*(X224+Y224+Z224),X224)</f>
        <v>0</v>
      </c>
      <c r="S225" s="24">
        <f>TModelo[[#This Row],[Act]]*IF(TModelo[[#This Row],[Rebal]]=1,PesoCOLCAP*(X224+Y224+Z224),Y224)</f>
        <v>0</v>
      </c>
      <c r="T225" s="24">
        <f>TModelo[[#This Row],[Act]]*IF(TModelo[[#This Row],[Rebal]]=1,PesoUSD*(X224+Y224+Z224),Z224)</f>
        <v>0</v>
      </c>
      <c r="U225" s="24">
        <f>TModelo[[#This Row],[IniCDT]]*TModelo[[#This Row],[RetCDT]]</f>
        <v>0</v>
      </c>
      <c r="V225" s="24">
        <f>TModelo[[#This Row],[IniCOLCAP]]*TModelo[[#This Row],[RetCOLCAP]]</f>
        <v>0</v>
      </c>
      <c r="W225" s="24">
        <f>TModelo[[#This Row],[IniUSD]]*TModelo[[#This Row],[RetUSD]]</f>
        <v>0</v>
      </c>
      <c r="X225" s="24">
        <f>TModelo[[#This Row],[Act]]*(TModelo[[#This Row],[IniCDT]]+TModelo[[#This Row],[IntCDT]]+PesoCDT*TModelo[[#This Row],[Outflow]])</f>
        <v>0</v>
      </c>
      <c r="Y225" s="24">
        <f>TModelo[[#This Row],[Act]]*(TModelo[[#This Row],[IniCOLCAP]]+TModelo[[#This Row],[IntCOLCAP]]+PesoCOLCAP*TModelo[[#This Row],[Outflow]])</f>
        <v>0</v>
      </c>
      <c r="Z225" s="24">
        <f>TModelo[[#This Row],[Act]]*(TModelo[[#This Row],[IniUSD]]+TModelo[[#This Row],[IntUSD]]+PesoUSD*TModelo[[#This Row],[Outflow]])</f>
        <v>0</v>
      </c>
      <c r="AA225" s="24">
        <f>TModelo[[#This Row],[BalCDT]]+TModelo[[#This Row],[BalCOLCAP]]+TModelo[[#This Row],[BalUSD]]</f>
        <v>0</v>
      </c>
      <c r="AB225" s="24">
        <f>IF(TModelo[[#This Row],[CumInfl]]&gt;0,TModelo[[#This Row],[TotalPreLiq]]/TModelo[[#This Row],[CumInfl]],0)</f>
        <v>0</v>
      </c>
      <c r="AC225" s="41">
        <f>(1+PerRate)^(-TModelo[[#This Row],[Period]])</f>
        <v>0.21374813787408231</v>
      </c>
      <c r="AD225" s="42">
        <f>TModelo[[#This Row],[NetCF]]*TModelo[[#This Row],[fd]]</f>
        <v>0</v>
      </c>
    </row>
    <row r="226" spans="2:30" ht="16.95" customHeight="1">
      <c r="B226" s="11">
        <v>199</v>
      </c>
      <c r="C226" s="25">
        <f>EDATE(FechaInicio,TModelo[[#This Row],[Period]])</f>
        <v>52350</v>
      </c>
      <c r="D226" s="11">
        <f>IF(AND(TModelo[[#This Row],[Period]]&gt;=1,TModelo[[#This Row],[Period]]&lt;=HorizonteMeses),1,0)</f>
        <v>0</v>
      </c>
      <c r="E226" s="40">
        <f>TModelo[[#This Row],[Act]]*(INFb+(INFpi0-INFb)*(1-INFa)^TModelo[[#This Row],[Period]])</f>
        <v>0</v>
      </c>
      <c r="F226" s="28">
        <f>IF(TModelo[[#This Row],[Period]]&lt;=HorizonteMeses,F225*(1+TModelo[[#This Row],[InflMes]]),0)</f>
        <v>0</v>
      </c>
      <c r="G226" s="21">
        <f>TModelo[[#This Row],[Act]]*(CDTb+(CDTx0-CDTb)*(1-CDTa)^TModelo[[#This Row],[Period]]+CDTspread)</f>
        <v>0</v>
      </c>
      <c r="H226" s="40">
        <f>TModelo[[#This Row],[Act]]*((1+TModelo[[#This Row],[TasaCDT]])^(1/12)-1)*(1-Retencion)</f>
        <v>0</v>
      </c>
      <c r="I226" s="40">
        <f>TModelo[[#This Row],[Act]]*(EXP(MuCOLCAP+SigmaCOLCAP^2/2)-1)</f>
        <v>0</v>
      </c>
      <c r="J226" s="40">
        <f>TModelo[[#This Row],[Act]]*(EXP(MuTRM+SigmaTRM^2/2)-1)</f>
        <v>0</v>
      </c>
      <c r="K226" s="11">
        <f>TModelo[[#This Row],[Act]]*IF(Rebalanceo="Mensual",1,IF(Rebalanceo="Anual",IF(MOD(TModelo[[#This Row],[Period]]-1,12)=0,1,0),0))</f>
        <v>0</v>
      </c>
      <c r="L226" s="24">
        <f>TModelo[[#This Row],[Act]]*AporteMensual*IF(CrecimientoAporte="Con IPC",F225,1)</f>
        <v>0</v>
      </c>
      <c r="M226" s="24">
        <f>IF(TModelo[[#This Row],[Period]]=HorizonteMeses,TModelo[[#This Row],[TotalPreLiq]],0)</f>
        <v>0</v>
      </c>
      <c r="N226" s="24">
        <f>TModelo[[#This Row],[Inflow]]-TModelo[[#This Row],[Outflow]]</f>
        <v>0</v>
      </c>
      <c r="O226" s="24">
        <f t="shared" si="3"/>
        <v>0</v>
      </c>
      <c r="P226" s="24">
        <f>TModelo[[#This Row],[IntCDT]]+TModelo[[#This Row],[IntCOLCAP]]+TModelo[[#This Row],[IntUSD]]</f>
        <v>0</v>
      </c>
      <c r="Q226" s="24">
        <f>TModelo[[#This Row],[InitialBalance]]+TModelo[[#This Row],[Interest]]+TModelo[[#This Row],[Outflow]]-TModelo[[#This Row],[Inflow]]</f>
        <v>0</v>
      </c>
      <c r="R226" s="24">
        <f>TModelo[[#This Row],[Act]]*IF(TModelo[[#This Row],[Rebal]]=1,PesoCDT*(X225+Y225+Z225),X225)</f>
        <v>0</v>
      </c>
      <c r="S226" s="24">
        <f>TModelo[[#This Row],[Act]]*IF(TModelo[[#This Row],[Rebal]]=1,PesoCOLCAP*(X225+Y225+Z225),Y225)</f>
        <v>0</v>
      </c>
      <c r="T226" s="24">
        <f>TModelo[[#This Row],[Act]]*IF(TModelo[[#This Row],[Rebal]]=1,PesoUSD*(X225+Y225+Z225),Z225)</f>
        <v>0</v>
      </c>
      <c r="U226" s="24">
        <f>TModelo[[#This Row],[IniCDT]]*TModelo[[#This Row],[RetCDT]]</f>
        <v>0</v>
      </c>
      <c r="V226" s="24">
        <f>TModelo[[#This Row],[IniCOLCAP]]*TModelo[[#This Row],[RetCOLCAP]]</f>
        <v>0</v>
      </c>
      <c r="W226" s="24">
        <f>TModelo[[#This Row],[IniUSD]]*TModelo[[#This Row],[RetUSD]]</f>
        <v>0</v>
      </c>
      <c r="X226" s="24">
        <f>TModelo[[#This Row],[Act]]*(TModelo[[#This Row],[IniCDT]]+TModelo[[#This Row],[IntCDT]]+PesoCDT*TModelo[[#This Row],[Outflow]])</f>
        <v>0</v>
      </c>
      <c r="Y226" s="24">
        <f>TModelo[[#This Row],[Act]]*(TModelo[[#This Row],[IniCOLCAP]]+TModelo[[#This Row],[IntCOLCAP]]+PesoCOLCAP*TModelo[[#This Row],[Outflow]])</f>
        <v>0</v>
      </c>
      <c r="Z226" s="24">
        <f>TModelo[[#This Row],[Act]]*(TModelo[[#This Row],[IniUSD]]+TModelo[[#This Row],[IntUSD]]+PesoUSD*TModelo[[#This Row],[Outflow]])</f>
        <v>0</v>
      </c>
      <c r="AA226" s="24">
        <f>TModelo[[#This Row],[BalCDT]]+TModelo[[#This Row],[BalCOLCAP]]+TModelo[[#This Row],[BalUSD]]</f>
        <v>0</v>
      </c>
      <c r="AB226" s="24">
        <f>IF(TModelo[[#This Row],[CumInfl]]&gt;0,TModelo[[#This Row],[TotalPreLiq]]/TModelo[[#This Row],[CumInfl]],0)</f>
        <v>0</v>
      </c>
      <c r="AC226" s="41">
        <f>(1+PerRate)^(-TModelo[[#This Row],[Period]])</f>
        <v>0.21208893354240116</v>
      </c>
      <c r="AD226" s="42">
        <f>TModelo[[#This Row],[NetCF]]*TModelo[[#This Row],[fd]]</f>
        <v>0</v>
      </c>
    </row>
    <row r="227" spans="2:30" ht="16.95" customHeight="1">
      <c r="B227" s="11">
        <v>200</v>
      </c>
      <c r="C227" s="25">
        <f>EDATE(FechaInicio,TModelo[[#This Row],[Period]])</f>
        <v>52380</v>
      </c>
      <c r="D227" s="11">
        <f>IF(AND(TModelo[[#This Row],[Period]]&gt;=1,TModelo[[#This Row],[Period]]&lt;=HorizonteMeses),1,0)</f>
        <v>0</v>
      </c>
      <c r="E227" s="40">
        <f>TModelo[[#This Row],[Act]]*(INFb+(INFpi0-INFb)*(1-INFa)^TModelo[[#This Row],[Period]])</f>
        <v>0</v>
      </c>
      <c r="F227" s="28">
        <f>IF(TModelo[[#This Row],[Period]]&lt;=HorizonteMeses,F226*(1+TModelo[[#This Row],[InflMes]]),0)</f>
        <v>0</v>
      </c>
      <c r="G227" s="21">
        <f>TModelo[[#This Row],[Act]]*(CDTb+(CDTx0-CDTb)*(1-CDTa)^TModelo[[#This Row],[Period]]+CDTspread)</f>
        <v>0</v>
      </c>
      <c r="H227" s="40">
        <f>TModelo[[#This Row],[Act]]*((1+TModelo[[#This Row],[TasaCDT]])^(1/12)-1)*(1-Retencion)</f>
        <v>0</v>
      </c>
      <c r="I227" s="40">
        <f>TModelo[[#This Row],[Act]]*(EXP(MuCOLCAP+SigmaCOLCAP^2/2)-1)</f>
        <v>0</v>
      </c>
      <c r="J227" s="40">
        <f>TModelo[[#This Row],[Act]]*(EXP(MuTRM+SigmaTRM^2/2)-1)</f>
        <v>0</v>
      </c>
      <c r="K227" s="11">
        <f>TModelo[[#This Row],[Act]]*IF(Rebalanceo="Mensual",1,IF(Rebalanceo="Anual",IF(MOD(TModelo[[#This Row],[Period]]-1,12)=0,1,0),0))</f>
        <v>0</v>
      </c>
      <c r="L227" s="24">
        <f>TModelo[[#This Row],[Act]]*AporteMensual*IF(CrecimientoAporte="Con IPC",F226,1)</f>
        <v>0</v>
      </c>
      <c r="M227" s="24">
        <f>IF(TModelo[[#This Row],[Period]]=HorizonteMeses,TModelo[[#This Row],[TotalPreLiq]],0)</f>
        <v>0</v>
      </c>
      <c r="N227" s="24">
        <f>TModelo[[#This Row],[Inflow]]-TModelo[[#This Row],[Outflow]]</f>
        <v>0</v>
      </c>
      <c r="O227" s="24">
        <f t="shared" si="3"/>
        <v>0</v>
      </c>
      <c r="P227" s="24">
        <f>TModelo[[#This Row],[IntCDT]]+TModelo[[#This Row],[IntCOLCAP]]+TModelo[[#This Row],[IntUSD]]</f>
        <v>0</v>
      </c>
      <c r="Q227" s="24">
        <f>TModelo[[#This Row],[InitialBalance]]+TModelo[[#This Row],[Interest]]+TModelo[[#This Row],[Outflow]]-TModelo[[#This Row],[Inflow]]</f>
        <v>0</v>
      </c>
      <c r="R227" s="24">
        <f>TModelo[[#This Row],[Act]]*IF(TModelo[[#This Row],[Rebal]]=1,PesoCDT*(X226+Y226+Z226),X226)</f>
        <v>0</v>
      </c>
      <c r="S227" s="24">
        <f>TModelo[[#This Row],[Act]]*IF(TModelo[[#This Row],[Rebal]]=1,PesoCOLCAP*(X226+Y226+Z226),Y226)</f>
        <v>0</v>
      </c>
      <c r="T227" s="24">
        <f>TModelo[[#This Row],[Act]]*IF(TModelo[[#This Row],[Rebal]]=1,PesoUSD*(X226+Y226+Z226),Z226)</f>
        <v>0</v>
      </c>
      <c r="U227" s="24">
        <f>TModelo[[#This Row],[IniCDT]]*TModelo[[#This Row],[RetCDT]]</f>
        <v>0</v>
      </c>
      <c r="V227" s="24">
        <f>TModelo[[#This Row],[IniCOLCAP]]*TModelo[[#This Row],[RetCOLCAP]]</f>
        <v>0</v>
      </c>
      <c r="W227" s="24">
        <f>TModelo[[#This Row],[IniUSD]]*TModelo[[#This Row],[RetUSD]]</f>
        <v>0</v>
      </c>
      <c r="X227" s="24">
        <f>TModelo[[#This Row],[Act]]*(TModelo[[#This Row],[IniCDT]]+TModelo[[#This Row],[IntCDT]]+PesoCDT*TModelo[[#This Row],[Outflow]])</f>
        <v>0</v>
      </c>
      <c r="Y227" s="24">
        <f>TModelo[[#This Row],[Act]]*(TModelo[[#This Row],[IniCOLCAP]]+TModelo[[#This Row],[IntCOLCAP]]+PesoCOLCAP*TModelo[[#This Row],[Outflow]])</f>
        <v>0</v>
      </c>
      <c r="Z227" s="24">
        <f>TModelo[[#This Row],[Act]]*(TModelo[[#This Row],[IniUSD]]+TModelo[[#This Row],[IntUSD]]+PesoUSD*TModelo[[#This Row],[Outflow]])</f>
        <v>0</v>
      </c>
      <c r="AA227" s="24">
        <f>TModelo[[#This Row],[BalCDT]]+TModelo[[#This Row],[BalCOLCAP]]+TModelo[[#This Row],[BalUSD]]</f>
        <v>0</v>
      </c>
      <c r="AB227" s="24">
        <f>IF(TModelo[[#This Row],[CumInfl]]&gt;0,TModelo[[#This Row],[TotalPreLiq]]/TModelo[[#This Row],[CumInfl]],0)</f>
        <v>0</v>
      </c>
      <c r="AC227" s="41">
        <f>(1+PerRate)^(-TModelo[[#This Row],[Period]])</f>
        <v>0.21044260866333953</v>
      </c>
      <c r="AD227" s="42">
        <f>TModelo[[#This Row],[NetCF]]*TModelo[[#This Row],[fd]]</f>
        <v>0</v>
      </c>
    </row>
    <row r="228" spans="2:30" ht="16.95" customHeight="1">
      <c r="B228" s="11">
        <v>201</v>
      </c>
      <c r="C228" s="25">
        <f>EDATE(FechaInicio,TModelo[[#This Row],[Period]])</f>
        <v>52411</v>
      </c>
      <c r="D228" s="11">
        <f>IF(AND(TModelo[[#This Row],[Period]]&gt;=1,TModelo[[#This Row],[Period]]&lt;=HorizonteMeses),1,0)</f>
        <v>0</v>
      </c>
      <c r="E228" s="40">
        <f>TModelo[[#This Row],[Act]]*(INFb+(INFpi0-INFb)*(1-INFa)^TModelo[[#This Row],[Period]])</f>
        <v>0</v>
      </c>
      <c r="F228" s="28">
        <f>IF(TModelo[[#This Row],[Period]]&lt;=HorizonteMeses,F227*(1+TModelo[[#This Row],[InflMes]]),0)</f>
        <v>0</v>
      </c>
      <c r="G228" s="21">
        <f>TModelo[[#This Row],[Act]]*(CDTb+(CDTx0-CDTb)*(1-CDTa)^TModelo[[#This Row],[Period]]+CDTspread)</f>
        <v>0</v>
      </c>
      <c r="H228" s="40">
        <f>TModelo[[#This Row],[Act]]*((1+TModelo[[#This Row],[TasaCDT]])^(1/12)-1)*(1-Retencion)</f>
        <v>0</v>
      </c>
      <c r="I228" s="40">
        <f>TModelo[[#This Row],[Act]]*(EXP(MuCOLCAP+SigmaCOLCAP^2/2)-1)</f>
        <v>0</v>
      </c>
      <c r="J228" s="40">
        <f>TModelo[[#This Row],[Act]]*(EXP(MuTRM+SigmaTRM^2/2)-1)</f>
        <v>0</v>
      </c>
      <c r="K228" s="11">
        <f>TModelo[[#This Row],[Act]]*IF(Rebalanceo="Mensual",1,IF(Rebalanceo="Anual",IF(MOD(TModelo[[#This Row],[Period]]-1,12)=0,1,0),0))</f>
        <v>0</v>
      </c>
      <c r="L228" s="24">
        <f>TModelo[[#This Row],[Act]]*AporteMensual*IF(CrecimientoAporte="Con IPC",F227,1)</f>
        <v>0</v>
      </c>
      <c r="M228" s="24">
        <f>IF(TModelo[[#This Row],[Period]]=HorizonteMeses,TModelo[[#This Row],[TotalPreLiq]],0)</f>
        <v>0</v>
      </c>
      <c r="N228" s="24">
        <f>TModelo[[#This Row],[Inflow]]-TModelo[[#This Row],[Outflow]]</f>
        <v>0</v>
      </c>
      <c r="O228" s="24">
        <f t="shared" si="3"/>
        <v>0</v>
      </c>
      <c r="P228" s="24">
        <f>TModelo[[#This Row],[IntCDT]]+TModelo[[#This Row],[IntCOLCAP]]+TModelo[[#This Row],[IntUSD]]</f>
        <v>0</v>
      </c>
      <c r="Q228" s="24">
        <f>TModelo[[#This Row],[InitialBalance]]+TModelo[[#This Row],[Interest]]+TModelo[[#This Row],[Outflow]]-TModelo[[#This Row],[Inflow]]</f>
        <v>0</v>
      </c>
      <c r="R228" s="24">
        <f>TModelo[[#This Row],[Act]]*IF(TModelo[[#This Row],[Rebal]]=1,PesoCDT*(X227+Y227+Z227),X227)</f>
        <v>0</v>
      </c>
      <c r="S228" s="24">
        <f>TModelo[[#This Row],[Act]]*IF(TModelo[[#This Row],[Rebal]]=1,PesoCOLCAP*(X227+Y227+Z227),Y227)</f>
        <v>0</v>
      </c>
      <c r="T228" s="24">
        <f>TModelo[[#This Row],[Act]]*IF(TModelo[[#This Row],[Rebal]]=1,PesoUSD*(X227+Y227+Z227),Z227)</f>
        <v>0</v>
      </c>
      <c r="U228" s="24">
        <f>TModelo[[#This Row],[IniCDT]]*TModelo[[#This Row],[RetCDT]]</f>
        <v>0</v>
      </c>
      <c r="V228" s="24">
        <f>TModelo[[#This Row],[IniCOLCAP]]*TModelo[[#This Row],[RetCOLCAP]]</f>
        <v>0</v>
      </c>
      <c r="W228" s="24">
        <f>TModelo[[#This Row],[IniUSD]]*TModelo[[#This Row],[RetUSD]]</f>
        <v>0</v>
      </c>
      <c r="X228" s="24">
        <f>TModelo[[#This Row],[Act]]*(TModelo[[#This Row],[IniCDT]]+TModelo[[#This Row],[IntCDT]]+PesoCDT*TModelo[[#This Row],[Outflow]])</f>
        <v>0</v>
      </c>
      <c r="Y228" s="24">
        <f>TModelo[[#This Row],[Act]]*(TModelo[[#This Row],[IniCOLCAP]]+TModelo[[#This Row],[IntCOLCAP]]+PesoCOLCAP*TModelo[[#This Row],[Outflow]])</f>
        <v>0</v>
      </c>
      <c r="Z228" s="24">
        <f>TModelo[[#This Row],[Act]]*(TModelo[[#This Row],[IniUSD]]+TModelo[[#This Row],[IntUSD]]+PesoUSD*TModelo[[#This Row],[Outflow]])</f>
        <v>0</v>
      </c>
      <c r="AA228" s="24">
        <f>TModelo[[#This Row],[BalCDT]]+TModelo[[#This Row],[BalCOLCAP]]+TModelo[[#This Row],[BalUSD]]</f>
        <v>0</v>
      </c>
      <c r="AB228" s="24">
        <f>IF(TModelo[[#This Row],[CumInfl]]&gt;0,TModelo[[#This Row],[TotalPreLiq]]/TModelo[[#This Row],[CumInfl]],0)</f>
        <v>0</v>
      </c>
      <c r="AC228" s="41">
        <f>(1+PerRate)^(-TModelo[[#This Row],[Period]])</f>
        <v>0.20880906326108589</v>
      </c>
      <c r="AD228" s="42">
        <f>TModelo[[#This Row],[NetCF]]*TModelo[[#This Row],[fd]]</f>
        <v>0</v>
      </c>
    </row>
    <row r="229" spans="2:30" ht="16.95" customHeight="1">
      <c r="B229" s="11">
        <v>202</v>
      </c>
      <c r="C229" s="25">
        <f>EDATE(FechaInicio,TModelo[[#This Row],[Period]])</f>
        <v>52441</v>
      </c>
      <c r="D229" s="11">
        <f>IF(AND(TModelo[[#This Row],[Period]]&gt;=1,TModelo[[#This Row],[Period]]&lt;=HorizonteMeses),1,0)</f>
        <v>0</v>
      </c>
      <c r="E229" s="40">
        <f>TModelo[[#This Row],[Act]]*(INFb+(INFpi0-INFb)*(1-INFa)^TModelo[[#This Row],[Period]])</f>
        <v>0</v>
      </c>
      <c r="F229" s="28">
        <f>IF(TModelo[[#This Row],[Period]]&lt;=HorizonteMeses,F228*(1+TModelo[[#This Row],[InflMes]]),0)</f>
        <v>0</v>
      </c>
      <c r="G229" s="21">
        <f>TModelo[[#This Row],[Act]]*(CDTb+(CDTx0-CDTb)*(1-CDTa)^TModelo[[#This Row],[Period]]+CDTspread)</f>
        <v>0</v>
      </c>
      <c r="H229" s="40">
        <f>TModelo[[#This Row],[Act]]*((1+TModelo[[#This Row],[TasaCDT]])^(1/12)-1)*(1-Retencion)</f>
        <v>0</v>
      </c>
      <c r="I229" s="40">
        <f>TModelo[[#This Row],[Act]]*(EXP(MuCOLCAP+SigmaCOLCAP^2/2)-1)</f>
        <v>0</v>
      </c>
      <c r="J229" s="40">
        <f>TModelo[[#This Row],[Act]]*(EXP(MuTRM+SigmaTRM^2/2)-1)</f>
        <v>0</v>
      </c>
      <c r="K229" s="11">
        <f>TModelo[[#This Row],[Act]]*IF(Rebalanceo="Mensual",1,IF(Rebalanceo="Anual",IF(MOD(TModelo[[#This Row],[Period]]-1,12)=0,1,0),0))</f>
        <v>0</v>
      </c>
      <c r="L229" s="24">
        <f>TModelo[[#This Row],[Act]]*AporteMensual*IF(CrecimientoAporte="Con IPC",F228,1)</f>
        <v>0</v>
      </c>
      <c r="M229" s="24">
        <f>IF(TModelo[[#This Row],[Period]]=HorizonteMeses,TModelo[[#This Row],[TotalPreLiq]],0)</f>
        <v>0</v>
      </c>
      <c r="N229" s="24">
        <f>TModelo[[#This Row],[Inflow]]-TModelo[[#This Row],[Outflow]]</f>
        <v>0</v>
      </c>
      <c r="O229" s="24">
        <f t="shared" si="3"/>
        <v>0</v>
      </c>
      <c r="P229" s="24">
        <f>TModelo[[#This Row],[IntCDT]]+TModelo[[#This Row],[IntCOLCAP]]+TModelo[[#This Row],[IntUSD]]</f>
        <v>0</v>
      </c>
      <c r="Q229" s="24">
        <f>TModelo[[#This Row],[InitialBalance]]+TModelo[[#This Row],[Interest]]+TModelo[[#This Row],[Outflow]]-TModelo[[#This Row],[Inflow]]</f>
        <v>0</v>
      </c>
      <c r="R229" s="24">
        <f>TModelo[[#This Row],[Act]]*IF(TModelo[[#This Row],[Rebal]]=1,PesoCDT*(X228+Y228+Z228),X228)</f>
        <v>0</v>
      </c>
      <c r="S229" s="24">
        <f>TModelo[[#This Row],[Act]]*IF(TModelo[[#This Row],[Rebal]]=1,PesoCOLCAP*(X228+Y228+Z228),Y228)</f>
        <v>0</v>
      </c>
      <c r="T229" s="24">
        <f>TModelo[[#This Row],[Act]]*IF(TModelo[[#This Row],[Rebal]]=1,PesoUSD*(X228+Y228+Z228),Z228)</f>
        <v>0</v>
      </c>
      <c r="U229" s="24">
        <f>TModelo[[#This Row],[IniCDT]]*TModelo[[#This Row],[RetCDT]]</f>
        <v>0</v>
      </c>
      <c r="V229" s="24">
        <f>TModelo[[#This Row],[IniCOLCAP]]*TModelo[[#This Row],[RetCOLCAP]]</f>
        <v>0</v>
      </c>
      <c r="W229" s="24">
        <f>TModelo[[#This Row],[IniUSD]]*TModelo[[#This Row],[RetUSD]]</f>
        <v>0</v>
      </c>
      <c r="X229" s="24">
        <f>TModelo[[#This Row],[Act]]*(TModelo[[#This Row],[IniCDT]]+TModelo[[#This Row],[IntCDT]]+PesoCDT*TModelo[[#This Row],[Outflow]])</f>
        <v>0</v>
      </c>
      <c r="Y229" s="24">
        <f>TModelo[[#This Row],[Act]]*(TModelo[[#This Row],[IniCOLCAP]]+TModelo[[#This Row],[IntCOLCAP]]+PesoCOLCAP*TModelo[[#This Row],[Outflow]])</f>
        <v>0</v>
      </c>
      <c r="Z229" s="24">
        <f>TModelo[[#This Row],[Act]]*(TModelo[[#This Row],[IniUSD]]+TModelo[[#This Row],[IntUSD]]+PesoUSD*TModelo[[#This Row],[Outflow]])</f>
        <v>0</v>
      </c>
      <c r="AA229" s="24">
        <f>TModelo[[#This Row],[BalCDT]]+TModelo[[#This Row],[BalCOLCAP]]+TModelo[[#This Row],[BalUSD]]</f>
        <v>0</v>
      </c>
      <c r="AB229" s="24">
        <f>IF(TModelo[[#This Row],[CumInfl]]&gt;0,TModelo[[#This Row],[TotalPreLiq]]/TModelo[[#This Row],[CumInfl]],0)</f>
        <v>0</v>
      </c>
      <c r="AC229" s="41">
        <f>(1+PerRate)^(-TModelo[[#This Row],[Period]])</f>
        <v>0.20718819813588332</v>
      </c>
      <c r="AD229" s="42">
        <f>TModelo[[#This Row],[NetCF]]*TModelo[[#This Row],[fd]]</f>
        <v>0</v>
      </c>
    </row>
    <row r="230" spans="2:30" ht="16.95" customHeight="1">
      <c r="B230" s="11">
        <v>203</v>
      </c>
      <c r="C230" s="25">
        <f>EDATE(FechaInicio,TModelo[[#This Row],[Period]])</f>
        <v>52472</v>
      </c>
      <c r="D230" s="11">
        <f>IF(AND(TModelo[[#This Row],[Period]]&gt;=1,TModelo[[#This Row],[Period]]&lt;=HorizonteMeses),1,0)</f>
        <v>0</v>
      </c>
      <c r="E230" s="40">
        <f>TModelo[[#This Row],[Act]]*(INFb+(INFpi0-INFb)*(1-INFa)^TModelo[[#This Row],[Period]])</f>
        <v>0</v>
      </c>
      <c r="F230" s="28">
        <f>IF(TModelo[[#This Row],[Period]]&lt;=HorizonteMeses,F229*(1+TModelo[[#This Row],[InflMes]]),0)</f>
        <v>0</v>
      </c>
      <c r="G230" s="21">
        <f>TModelo[[#This Row],[Act]]*(CDTb+(CDTx0-CDTb)*(1-CDTa)^TModelo[[#This Row],[Period]]+CDTspread)</f>
        <v>0</v>
      </c>
      <c r="H230" s="40">
        <f>TModelo[[#This Row],[Act]]*((1+TModelo[[#This Row],[TasaCDT]])^(1/12)-1)*(1-Retencion)</f>
        <v>0</v>
      </c>
      <c r="I230" s="40">
        <f>TModelo[[#This Row],[Act]]*(EXP(MuCOLCAP+SigmaCOLCAP^2/2)-1)</f>
        <v>0</v>
      </c>
      <c r="J230" s="40">
        <f>TModelo[[#This Row],[Act]]*(EXP(MuTRM+SigmaTRM^2/2)-1)</f>
        <v>0</v>
      </c>
      <c r="K230" s="11">
        <f>TModelo[[#This Row],[Act]]*IF(Rebalanceo="Mensual",1,IF(Rebalanceo="Anual",IF(MOD(TModelo[[#This Row],[Period]]-1,12)=0,1,0),0))</f>
        <v>0</v>
      </c>
      <c r="L230" s="24">
        <f>TModelo[[#This Row],[Act]]*AporteMensual*IF(CrecimientoAporte="Con IPC",F229,1)</f>
        <v>0</v>
      </c>
      <c r="M230" s="24">
        <f>IF(TModelo[[#This Row],[Period]]=HorizonteMeses,TModelo[[#This Row],[TotalPreLiq]],0)</f>
        <v>0</v>
      </c>
      <c r="N230" s="24">
        <f>TModelo[[#This Row],[Inflow]]-TModelo[[#This Row],[Outflow]]</f>
        <v>0</v>
      </c>
      <c r="O230" s="24">
        <f t="shared" si="3"/>
        <v>0</v>
      </c>
      <c r="P230" s="24">
        <f>TModelo[[#This Row],[IntCDT]]+TModelo[[#This Row],[IntCOLCAP]]+TModelo[[#This Row],[IntUSD]]</f>
        <v>0</v>
      </c>
      <c r="Q230" s="24">
        <f>TModelo[[#This Row],[InitialBalance]]+TModelo[[#This Row],[Interest]]+TModelo[[#This Row],[Outflow]]-TModelo[[#This Row],[Inflow]]</f>
        <v>0</v>
      </c>
      <c r="R230" s="24">
        <f>TModelo[[#This Row],[Act]]*IF(TModelo[[#This Row],[Rebal]]=1,PesoCDT*(X229+Y229+Z229),X229)</f>
        <v>0</v>
      </c>
      <c r="S230" s="24">
        <f>TModelo[[#This Row],[Act]]*IF(TModelo[[#This Row],[Rebal]]=1,PesoCOLCAP*(X229+Y229+Z229),Y229)</f>
        <v>0</v>
      </c>
      <c r="T230" s="24">
        <f>TModelo[[#This Row],[Act]]*IF(TModelo[[#This Row],[Rebal]]=1,PesoUSD*(X229+Y229+Z229),Z229)</f>
        <v>0</v>
      </c>
      <c r="U230" s="24">
        <f>TModelo[[#This Row],[IniCDT]]*TModelo[[#This Row],[RetCDT]]</f>
        <v>0</v>
      </c>
      <c r="V230" s="24">
        <f>TModelo[[#This Row],[IniCOLCAP]]*TModelo[[#This Row],[RetCOLCAP]]</f>
        <v>0</v>
      </c>
      <c r="W230" s="24">
        <f>TModelo[[#This Row],[IniUSD]]*TModelo[[#This Row],[RetUSD]]</f>
        <v>0</v>
      </c>
      <c r="X230" s="24">
        <f>TModelo[[#This Row],[Act]]*(TModelo[[#This Row],[IniCDT]]+TModelo[[#This Row],[IntCDT]]+PesoCDT*TModelo[[#This Row],[Outflow]])</f>
        <v>0</v>
      </c>
      <c r="Y230" s="24">
        <f>TModelo[[#This Row],[Act]]*(TModelo[[#This Row],[IniCOLCAP]]+TModelo[[#This Row],[IntCOLCAP]]+PesoCOLCAP*TModelo[[#This Row],[Outflow]])</f>
        <v>0</v>
      </c>
      <c r="Z230" s="24">
        <f>TModelo[[#This Row],[Act]]*(TModelo[[#This Row],[IniUSD]]+TModelo[[#This Row],[IntUSD]]+PesoUSD*TModelo[[#This Row],[Outflow]])</f>
        <v>0</v>
      </c>
      <c r="AA230" s="24">
        <f>TModelo[[#This Row],[BalCDT]]+TModelo[[#This Row],[BalCOLCAP]]+TModelo[[#This Row],[BalUSD]]</f>
        <v>0</v>
      </c>
      <c r="AB230" s="24">
        <f>IF(TModelo[[#This Row],[CumInfl]]&gt;0,TModelo[[#This Row],[TotalPreLiq]]/TModelo[[#This Row],[CumInfl]],0)</f>
        <v>0</v>
      </c>
      <c r="AC230" s="41">
        <f>(1+PerRate)^(-TModelo[[#This Row],[Period]])</f>
        <v>0.20557991485800614</v>
      </c>
      <c r="AD230" s="42">
        <f>TModelo[[#This Row],[NetCF]]*TModelo[[#This Row],[fd]]</f>
        <v>0</v>
      </c>
    </row>
    <row r="231" spans="2:30" ht="16.95" customHeight="1">
      <c r="B231" s="11">
        <v>204</v>
      </c>
      <c r="C231" s="25">
        <f>EDATE(FechaInicio,TModelo[[#This Row],[Period]])</f>
        <v>52503</v>
      </c>
      <c r="D231" s="11">
        <f>IF(AND(TModelo[[#This Row],[Period]]&gt;=1,TModelo[[#This Row],[Period]]&lt;=HorizonteMeses),1,0)</f>
        <v>0</v>
      </c>
      <c r="E231" s="40">
        <f>TModelo[[#This Row],[Act]]*(INFb+(INFpi0-INFb)*(1-INFa)^TModelo[[#This Row],[Period]])</f>
        <v>0</v>
      </c>
      <c r="F231" s="28">
        <f>IF(TModelo[[#This Row],[Period]]&lt;=HorizonteMeses,F230*(1+TModelo[[#This Row],[InflMes]]),0)</f>
        <v>0</v>
      </c>
      <c r="G231" s="21">
        <f>TModelo[[#This Row],[Act]]*(CDTb+(CDTx0-CDTb)*(1-CDTa)^TModelo[[#This Row],[Period]]+CDTspread)</f>
        <v>0</v>
      </c>
      <c r="H231" s="40">
        <f>TModelo[[#This Row],[Act]]*((1+TModelo[[#This Row],[TasaCDT]])^(1/12)-1)*(1-Retencion)</f>
        <v>0</v>
      </c>
      <c r="I231" s="40">
        <f>TModelo[[#This Row],[Act]]*(EXP(MuCOLCAP+SigmaCOLCAP^2/2)-1)</f>
        <v>0</v>
      </c>
      <c r="J231" s="40">
        <f>TModelo[[#This Row],[Act]]*(EXP(MuTRM+SigmaTRM^2/2)-1)</f>
        <v>0</v>
      </c>
      <c r="K231" s="11">
        <f>TModelo[[#This Row],[Act]]*IF(Rebalanceo="Mensual",1,IF(Rebalanceo="Anual",IF(MOD(TModelo[[#This Row],[Period]]-1,12)=0,1,0),0))</f>
        <v>0</v>
      </c>
      <c r="L231" s="24">
        <f>TModelo[[#This Row],[Act]]*AporteMensual*IF(CrecimientoAporte="Con IPC",F230,1)</f>
        <v>0</v>
      </c>
      <c r="M231" s="24">
        <f>IF(TModelo[[#This Row],[Period]]=HorizonteMeses,TModelo[[#This Row],[TotalPreLiq]],0)</f>
        <v>0</v>
      </c>
      <c r="N231" s="24">
        <f>TModelo[[#This Row],[Inflow]]-TModelo[[#This Row],[Outflow]]</f>
        <v>0</v>
      </c>
      <c r="O231" s="24">
        <f t="shared" si="3"/>
        <v>0</v>
      </c>
      <c r="P231" s="24">
        <f>TModelo[[#This Row],[IntCDT]]+TModelo[[#This Row],[IntCOLCAP]]+TModelo[[#This Row],[IntUSD]]</f>
        <v>0</v>
      </c>
      <c r="Q231" s="24">
        <f>TModelo[[#This Row],[InitialBalance]]+TModelo[[#This Row],[Interest]]+TModelo[[#This Row],[Outflow]]-TModelo[[#This Row],[Inflow]]</f>
        <v>0</v>
      </c>
      <c r="R231" s="24">
        <f>TModelo[[#This Row],[Act]]*IF(TModelo[[#This Row],[Rebal]]=1,PesoCDT*(X230+Y230+Z230),X230)</f>
        <v>0</v>
      </c>
      <c r="S231" s="24">
        <f>TModelo[[#This Row],[Act]]*IF(TModelo[[#This Row],[Rebal]]=1,PesoCOLCAP*(X230+Y230+Z230),Y230)</f>
        <v>0</v>
      </c>
      <c r="T231" s="24">
        <f>TModelo[[#This Row],[Act]]*IF(TModelo[[#This Row],[Rebal]]=1,PesoUSD*(X230+Y230+Z230),Z230)</f>
        <v>0</v>
      </c>
      <c r="U231" s="24">
        <f>TModelo[[#This Row],[IniCDT]]*TModelo[[#This Row],[RetCDT]]</f>
        <v>0</v>
      </c>
      <c r="V231" s="24">
        <f>TModelo[[#This Row],[IniCOLCAP]]*TModelo[[#This Row],[RetCOLCAP]]</f>
        <v>0</v>
      </c>
      <c r="W231" s="24">
        <f>TModelo[[#This Row],[IniUSD]]*TModelo[[#This Row],[RetUSD]]</f>
        <v>0</v>
      </c>
      <c r="X231" s="24">
        <f>TModelo[[#This Row],[Act]]*(TModelo[[#This Row],[IniCDT]]+TModelo[[#This Row],[IntCDT]]+PesoCDT*TModelo[[#This Row],[Outflow]])</f>
        <v>0</v>
      </c>
      <c r="Y231" s="24">
        <f>TModelo[[#This Row],[Act]]*(TModelo[[#This Row],[IniCOLCAP]]+TModelo[[#This Row],[IntCOLCAP]]+PesoCOLCAP*TModelo[[#This Row],[Outflow]])</f>
        <v>0</v>
      </c>
      <c r="Z231" s="24">
        <f>TModelo[[#This Row],[Act]]*(TModelo[[#This Row],[IniUSD]]+TModelo[[#This Row],[IntUSD]]+PesoUSD*TModelo[[#This Row],[Outflow]])</f>
        <v>0</v>
      </c>
      <c r="AA231" s="24">
        <f>TModelo[[#This Row],[BalCDT]]+TModelo[[#This Row],[BalCOLCAP]]+TModelo[[#This Row],[BalUSD]]</f>
        <v>0</v>
      </c>
      <c r="AB231" s="24">
        <f>IF(TModelo[[#This Row],[CumInfl]]&gt;0,TModelo[[#This Row],[TotalPreLiq]]/TModelo[[#This Row],[CumInfl]],0)</f>
        <v>0</v>
      </c>
      <c r="AC231" s="41">
        <f>(1+PerRate)^(-TModelo[[#This Row],[Period]])</f>
        <v>0.20398411576178205</v>
      </c>
      <c r="AD231" s="42">
        <f>TModelo[[#This Row],[NetCF]]*TModelo[[#This Row],[fd]]</f>
        <v>0</v>
      </c>
    </row>
    <row r="232" spans="2:30" ht="16.95" customHeight="1">
      <c r="B232" s="11">
        <v>205</v>
      </c>
      <c r="C232" s="25">
        <f>EDATE(FechaInicio,TModelo[[#This Row],[Period]])</f>
        <v>52533</v>
      </c>
      <c r="D232" s="11">
        <f>IF(AND(TModelo[[#This Row],[Period]]&gt;=1,TModelo[[#This Row],[Period]]&lt;=HorizonteMeses),1,0)</f>
        <v>0</v>
      </c>
      <c r="E232" s="40">
        <f>TModelo[[#This Row],[Act]]*(INFb+(INFpi0-INFb)*(1-INFa)^TModelo[[#This Row],[Period]])</f>
        <v>0</v>
      </c>
      <c r="F232" s="28">
        <f>IF(TModelo[[#This Row],[Period]]&lt;=HorizonteMeses,F231*(1+TModelo[[#This Row],[InflMes]]),0)</f>
        <v>0</v>
      </c>
      <c r="G232" s="21">
        <f>TModelo[[#This Row],[Act]]*(CDTb+(CDTx0-CDTb)*(1-CDTa)^TModelo[[#This Row],[Period]]+CDTspread)</f>
        <v>0</v>
      </c>
      <c r="H232" s="40">
        <f>TModelo[[#This Row],[Act]]*((1+TModelo[[#This Row],[TasaCDT]])^(1/12)-1)*(1-Retencion)</f>
        <v>0</v>
      </c>
      <c r="I232" s="40">
        <f>TModelo[[#This Row],[Act]]*(EXP(MuCOLCAP+SigmaCOLCAP^2/2)-1)</f>
        <v>0</v>
      </c>
      <c r="J232" s="40">
        <f>TModelo[[#This Row],[Act]]*(EXP(MuTRM+SigmaTRM^2/2)-1)</f>
        <v>0</v>
      </c>
      <c r="K232" s="11">
        <f>TModelo[[#This Row],[Act]]*IF(Rebalanceo="Mensual",1,IF(Rebalanceo="Anual",IF(MOD(TModelo[[#This Row],[Period]]-1,12)=0,1,0),0))</f>
        <v>0</v>
      </c>
      <c r="L232" s="24">
        <f>TModelo[[#This Row],[Act]]*AporteMensual*IF(CrecimientoAporte="Con IPC",F231,1)</f>
        <v>0</v>
      </c>
      <c r="M232" s="24">
        <f>IF(TModelo[[#This Row],[Period]]=HorizonteMeses,TModelo[[#This Row],[TotalPreLiq]],0)</f>
        <v>0</v>
      </c>
      <c r="N232" s="24">
        <f>TModelo[[#This Row],[Inflow]]-TModelo[[#This Row],[Outflow]]</f>
        <v>0</v>
      </c>
      <c r="O232" s="24">
        <f t="shared" si="3"/>
        <v>0</v>
      </c>
      <c r="P232" s="24">
        <f>TModelo[[#This Row],[IntCDT]]+TModelo[[#This Row],[IntCOLCAP]]+TModelo[[#This Row],[IntUSD]]</f>
        <v>0</v>
      </c>
      <c r="Q232" s="24">
        <f>TModelo[[#This Row],[InitialBalance]]+TModelo[[#This Row],[Interest]]+TModelo[[#This Row],[Outflow]]-TModelo[[#This Row],[Inflow]]</f>
        <v>0</v>
      </c>
      <c r="R232" s="24">
        <f>TModelo[[#This Row],[Act]]*IF(TModelo[[#This Row],[Rebal]]=1,PesoCDT*(X231+Y231+Z231),X231)</f>
        <v>0</v>
      </c>
      <c r="S232" s="24">
        <f>TModelo[[#This Row],[Act]]*IF(TModelo[[#This Row],[Rebal]]=1,PesoCOLCAP*(X231+Y231+Z231),Y231)</f>
        <v>0</v>
      </c>
      <c r="T232" s="24">
        <f>TModelo[[#This Row],[Act]]*IF(TModelo[[#This Row],[Rebal]]=1,PesoUSD*(X231+Y231+Z231),Z231)</f>
        <v>0</v>
      </c>
      <c r="U232" s="24">
        <f>TModelo[[#This Row],[IniCDT]]*TModelo[[#This Row],[RetCDT]]</f>
        <v>0</v>
      </c>
      <c r="V232" s="24">
        <f>TModelo[[#This Row],[IniCOLCAP]]*TModelo[[#This Row],[RetCOLCAP]]</f>
        <v>0</v>
      </c>
      <c r="W232" s="24">
        <f>TModelo[[#This Row],[IniUSD]]*TModelo[[#This Row],[RetUSD]]</f>
        <v>0</v>
      </c>
      <c r="X232" s="24">
        <f>TModelo[[#This Row],[Act]]*(TModelo[[#This Row],[IniCDT]]+TModelo[[#This Row],[IntCDT]]+PesoCDT*TModelo[[#This Row],[Outflow]])</f>
        <v>0</v>
      </c>
      <c r="Y232" s="24">
        <f>TModelo[[#This Row],[Act]]*(TModelo[[#This Row],[IniCOLCAP]]+TModelo[[#This Row],[IntCOLCAP]]+PesoCOLCAP*TModelo[[#This Row],[Outflow]])</f>
        <v>0</v>
      </c>
      <c r="Z232" s="24">
        <f>TModelo[[#This Row],[Act]]*(TModelo[[#This Row],[IniUSD]]+TModelo[[#This Row],[IntUSD]]+PesoUSD*TModelo[[#This Row],[Outflow]])</f>
        <v>0</v>
      </c>
      <c r="AA232" s="24">
        <f>TModelo[[#This Row],[BalCDT]]+TModelo[[#This Row],[BalCOLCAP]]+TModelo[[#This Row],[BalUSD]]</f>
        <v>0</v>
      </c>
      <c r="AB232" s="24">
        <f>IF(TModelo[[#This Row],[CumInfl]]&gt;0,TModelo[[#This Row],[TotalPreLiq]]/TModelo[[#This Row],[CumInfl]],0)</f>
        <v>0</v>
      </c>
      <c r="AC232" s="41">
        <f>(1+PerRate)^(-TModelo[[#This Row],[Period]])</f>
        <v>0.20240070393966139</v>
      </c>
      <c r="AD232" s="42">
        <f>TModelo[[#This Row],[NetCF]]*TModelo[[#This Row],[fd]]</f>
        <v>0</v>
      </c>
    </row>
    <row r="233" spans="2:30" ht="16.95" customHeight="1">
      <c r="B233" s="11">
        <v>206</v>
      </c>
      <c r="C233" s="25">
        <f>EDATE(FechaInicio,TModelo[[#This Row],[Period]])</f>
        <v>52564</v>
      </c>
      <c r="D233" s="11">
        <f>IF(AND(TModelo[[#This Row],[Period]]&gt;=1,TModelo[[#This Row],[Period]]&lt;=HorizonteMeses),1,0)</f>
        <v>0</v>
      </c>
      <c r="E233" s="40">
        <f>TModelo[[#This Row],[Act]]*(INFb+(INFpi0-INFb)*(1-INFa)^TModelo[[#This Row],[Period]])</f>
        <v>0</v>
      </c>
      <c r="F233" s="28">
        <f>IF(TModelo[[#This Row],[Period]]&lt;=HorizonteMeses,F232*(1+TModelo[[#This Row],[InflMes]]),0)</f>
        <v>0</v>
      </c>
      <c r="G233" s="21">
        <f>TModelo[[#This Row],[Act]]*(CDTb+(CDTx0-CDTb)*(1-CDTa)^TModelo[[#This Row],[Period]]+CDTspread)</f>
        <v>0</v>
      </c>
      <c r="H233" s="40">
        <f>TModelo[[#This Row],[Act]]*((1+TModelo[[#This Row],[TasaCDT]])^(1/12)-1)*(1-Retencion)</f>
        <v>0</v>
      </c>
      <c r="I233" s="40">
        <f>TModelo[[#This Row],[Act]]*(EXP(MuCOLCAP+SigmaCOLCAP^2/2)-1)</f>
        <v>0</v>
      </c>
      <c r="J233" s="40">
        <f>TModelo[[#This Row],[Act]]*(EXP(MuTRM+SigmaTRM^2/2)-1)</f>
        <v>0</v>
      </c>
      <c r="K233" s="11">
        <f>TModelo[[#This Row],[Act]]*IF(Rebalanceo="Mensual",1,IF(Rebalanceo="Anual",IF(MOD(TModelo[[#This Row],[Period]]-1,12)=0,1,0),0))</f>
        <v>0</v>
      </c>
      <c r="L233" s="24">
        <f>TModelo[[#This Row],[Act]]*AporteMensual*IF(CrecimientoAporte="Con IPC",F232,1)</f>
        <v>0</v>
      </c>
      <c r="M233" s="24">
        <f>IF(TModelo[[#This Row],[Period]]=HorizonteMeses,TModelo[[#This Row],[TotalPreLiq]],0)</f>
        <v>0</v>
      </c>
      <c r="N233" s="24">
        <f>TModelo[[#This Row],[Inflow]]-TModelo[[#This Row],[Outflow]]</f>
        <v>0</v>
      </c>
      <c r="O233" s="24">
        <f t="shared" si="3"/>
        <v>0</v>
      </c>
      <c r="P233" s="24">
        <f>TModelo[[#This Row],[IntCDT]]+TModelo[[#This Row],[IntCOLCAP]]+TModelo[[#This Row],[IntUSD]]</f>
        <v>0</v>
      </c>
      <c r="Q233" s="24">
        <f>TModelo[[#This Row],[InitialBalance]]+TModelo[[#This Row],[Interest]]+TModelo[[#This Row],[Outflow]]-TModelo[[#This Row],[Inflow]]</f>
        <v>0</v>
      </c>
      <c r="R233" s="24">
        <f>TModelo[[#This Row],[Act]]*IF(TModelo[[#This Row],[Rebal]]=1,PesoCDT*(X232+Y232+Z232),X232)</f>
        <v>0</v>
      </c>
      <c r="S233" s="24">
        <f>TModelo[[#This Row],[Act]]*IF(TModelo[[#This Row],[Rebal]]=1,PesoCOLCAP*(X232+Y232+Z232),Y232)</f>
        <v>0</v>
      </c>
      <c r="T233" s="24">
        <f>TModelo[[#This Row],[Act]]*IF(TModelo[[#This Row],[Rebal]]=1,PesoUSD*(X232+Y232+Z232),Z232)</f>
        <v>0</v>
      </c>
      <c r="U233" s="24">
        <f>TModelo[[#This Row],[IniCDT]]*TModelo[[#This Row],[RetCDT]]</f>
        <v>0</v>
      </c>
      <c r="V233" s="24">
        <f>TModelo[[#This Row],[IniCOLCAP]]*TModelo[[#This Row],[RetCOLCAP]]</f>
        <v>0</v>
      </c>
      <c r="W233" s="24">
        <f>TModelo[[#This Row],[IniUSD]]*TModelo[[#This Row],[RetUSD]]</f>
        <v>0</v>
      </c>
      <c r="X233" s="24">
        <f>TModelo[[#This Row],[Act]]*(TModelo[[#This Row],[IniCDT]]+TModelo[[#This Row],[IntCDT]]+PesoCDT*TModelo[[#This Row],[Outflow]])</f>
        <v>0</v>
      </c>
      <c r="Y233" s="24">
        <f>TModelo[[#This Row],[Act]]*(TModelo[[#This Row],[IniCOLCAP]]+TModelo[[#This Row],[IntCOLCAP]]+PesoCOLCAP*TModelo[[#This Row],[Outflow]])</f>
        <v>0</v>
      </c>
      <c r="Z233" s="24">
        <f>TModelo[[#This Row],[Act]]*(TModelo[[#This Row],[IniUSD]]+TModelo[[#This Row],[IntUSD]]+PesoUSD*TModelo[[#This Row],[Outflow]])</f>
        <v>0</v>
      </c>
      <c r="AA233" s="24">
        <f>TModelo[[#This Row],[BalCDT]]+TModelo[[#This Row],[BalCOLCAP]]+TModelo[[#This Row],[BalUSD]]</f>
        <v>0</v>
      </c>
      <c r="AB233" s="24">
        <f>IF(TModelo[[#This Row],[CumInfl]]&gt;0,TModelo[[#This Row],[TotalPreLiq]]/TModelo[[#This Row],[CumInfl]],0)</f>
        <v>0</v>
      </c>
      <c r="AC233" s="41">
        <f>(1+PerRate)^(-TModelo[[#This Row],[Period]])</f>
        <v>0.20082958323633232</v>
      </c>
      <c r="AD233" s="42">
        <f>TModelo[[#This Row],[NetCF]]*TModelo[[#This Row],[fd]]</f>
        <v>0</v>
      </c>
    </row>
    <row r="234" spans="2:30" ht="16.95" customHeight="1">
      <c r="B234" s="11">
        <v>207</v>
      </c>
      <c r="C234" s="25">
        <f>EDATE(FechaInicio,TModelo[[#This Row],[Period]])</f>
        <v>52594</v>
      </c>
      <c r="D234" s="11">
        <f>IF(AND(TModelo[[#This Row],[Period]]&gt;=1,TModelo[[#This Row],[Period]]&lt;=HorizonteMeses),1,0)</f>
        <v>0</v>
      </c>
      <c r="E234" s="40">
        <f>TModelo[[#This Row],[Act]]*(INFb+(INFpi0-INFb)*(1-INFa)^TModelo[[#This Row],[Period]])</f>
        <v>0</v>
      </c>
      <c r="F234" s="28">
        <f>IF(TModelo[[#This Row],[Period]]&lt;=HorizonteMeses,F233*(1+TModelo[[#This Row],[InflMes]]),0)</f>
        <v>0</v>
      </c>
      <c r="G234" s="21">
        <f>TModelo[[#This Row],[Act]]*(CDTb+(CDTx0-CDTb)*(1-CDTa)^TModelo[[#This Row],[Period]]+CDTspread)</f>
        <v>0</v>
      </c>
      <c r="H234" s="40">
        <f>TModelo[[#This Row],[Act]]*((1+TModelo[[#This Row],[TasaCDT]])^(1/12)-1)*(1-Retencion)</f>
        <v>0</v>
      </c>
      <c r="I234" s="40">
        <f>TModelo[[#This Row],[Act]]*(EXP(MuCOLCAP+SigmaCOLCAP^2/2)-1)</f>
        <v>0</v>
      </c>
      <c r="J234" s="40">
        <f>TModelo[[#This Row],[Act]]*(EXP(MuTRM+SigmaTRM^2/2)-1)</f>
        <v>0</v>
      </c>
      <c r="K234" s="11">
        <f>TModelo[[#This Row],[Act]]*IF(Rebalanceo="Mensual",1,IF(Rebalanceo="Anual",IF(MOD(TModelo[[#This Row],[Period]]-1,12)=0,1,0),0))</f>
        <v>0</v>
      </c>
      <c r="L234" s="24">
        <f>TModelo[[#This Row],[Act]]*AporteMensual*IF(CrecimientoAporte="Con IPC",F233,1)</f>
        <v>0</v>
      </c>
      <c r="M234" s="24">
        <f>IF(TModelo[[#This Row],[Period]]=HorizonteMeses,TModelo[[#This Row],[TotalPreLiq]],0)</f>
        <v>0</v>
      </c>
      <c r="N234" s="24">
        <f>TModelo[[#This Row],[Inflow]]-TModelo[[#This Row],[Outflow]]</f>
        <v>0</v>
      </c>
      <c r="O234" s="24">
        <f t="shared" si="3"/>
        <v>0</v>
      </c>
      <c r="P234" s="24">
        <f>TModelo[[#This Row],[IntCDT]]+TModelo[[#This Row],[IntCOLCAP]]+TModelo[[#This Row],[IntUSD]]</f>
        <v>0</v>
      </c>
      <c r="Q234" s="24">
        <f>TModelo[[#This Row],[InitialBalance]]+TModelo[[#This Row],[Interest]]+TModelo[[#This Row],[Outflow]]-TModelo[[#This Row],[Inflow]]</f>
        <v>0</v>
      </c>
      <c r="R234" s="24">
        <f>TModelo[[#This Row],[Act]]*IF(TModelo[[#This Row],[Rebal]]=1,PesoCDT*(X233+Y233+Z233),X233)</f>
        <v>0</v>
      </c>
      <c r="S234" s="24">
        <f>TModelo[[#This Row],[Act]]*IF(TModelo[[#This Row],[Rebal]]=1,PesoCOLCAP*(X233+Y233+Z233),Y233)</f>
        <v>0</v>
      </c>
      <c r="T234" s="24">
        <f>TModelo[[#This Row],[Act]]*IF(TModelo[[#This Row],[Rebal]]=1,PesoUSD*(X233+Y233+Z233),Z233)</f>
        <v>0</v>
      </c>
      <c r="U234" s="24">
        <f>TModelo[[#This Row],[IniCDT]]*TModelo[[#This Row],[RetCDT]]</f>
        <v>0</v>
      </c>
      <c r="V234" s="24">
        <f>TModelo[[#This Row],[IniCOLCAP]]*TModelo[[#This Row],[RetCOLCAP]]</f>
        <v>0</v>
      </c>
      <c r="W234" s="24">
        <f>TModelo[[#This Row],[IniUSD]]*TModelo[[#This Row],[RetUSD]]</f>
        <v>0</v>
      </c>
      <c r="X234" s="24">
        <f>TModelo[[#This Row],[Act]]*(TModelo[[#This Row],[IniCDT]]+TModelo[[#This Row],[IntCDT]]+PesoCDT*TModelo[[#This Row],[Outflow]])</f>
        <v>0</v>
      </c>
      <c r="Y234" s="24">
        <f>TModelo[[#This Row],[Act]]*(TModelo[[#This Row],[IniCOLCAP]]+TModelo[[#This Row],[IntCOLCAP]]+PesoCOLCAP*TModelo[[#This Row],[Outflow]])</f>
        <v>0</v>
      </c>
      <c r="Z234" s="24">
        <f>TModelo[[#This Row],[Act]]*(TModelo[[#This Row],[IniUSD]]+TModelo[[#This Row],[IntUSD]]+PesoUSD*TModelo[[#This Row],[Outflow]])</f>
        <v>0</v>
      </c>
      <c r="AA234" s="24">
        <f>TModelo[[#This Row],[BalCDT]]+TModelo[[#This Row],[BalCOLCAP]]+TModelo[[#This Row],[BalUSD]]</f>
        <v>0</v>
      </c>
      <c r="AB234" s="24">
        <f>IF(TModelo[[#This Row],[CumInfl]]&gt;0,TModelo[[#This Row],[TotalPreLiq]]/TModelo[[#This Row],[CumInfl]],0)</f>
        <v>0</v>
      </c>
      <c r="AC234" s="41">
        <f>(1+PerRate)^(-TModelo[[#This Row],[Period]])</f>
        <v>0.19927065824288168</v>
      </c>
      <c r="AD234" s="42">
        <f>TModelo[[#This Row],[NetCF]]*TModelo[[#This Row],[fd]]</f>
        <v>0</v>
      </c>
    </row>
    <row r="235" spans="2:30" ht="16.95" customHeight="1">
      <c r="B235" s="11">
        <v>208</v>
      </c>
      <c r="C235" s="25">
        <f>EDATE(FechaInicio,TModelo[[#This Row],[Period]])</f>
        <v>52625</v>
      </c>
      <c r="D235" s="11">
        <f>IF(AND(TModelo[[#This Row],[Period]]&gt;=1,TModelo[[#This Row],[Period]]&lt;=HorizonteMeses),1,0)</f>
        <v>0</v>
      </c>
      <c r="E235" s="40">
        <f>TModelo[[#This Row],[Act]]*(INFb+(INFpi0-INFb)*(1-INFa)^TModelo[[#This Row],[Period]])</f>
        <v>0</v>
      </c>
      <c r="F235" s="28">
        <f>IF(TModelo[[#This Row],[Period]]&lt;=HorizonteMeses,F234*(1+TModelo[[#This Row],[InflMes]]),0)</f>
        <v>0</v>
      </c>
      <c r="G235" s="21">
        <f>TModelo[[#This Row],[Act]]*(CDTb+(CDTx0-CDTb)*(1-CDTa)^TModelo[[#This Row],[Period]]+CDTspread)</f>
        <v>0</v>
      </c>
      <c r="H235" s="40">
        <f>TModelo[[#This Row],[Act]]*((1+TModelo[[#This Row],[TasaCDT]])^(1/12)-1)*(1-Retencion)</f>
        <v>0</v>
      </c>
      <c r="I235" s="40">
        <f>TModelo[[#This Row],[Act]]*(EXP(MuCOLCAP+SigmaCOLCAP^2/2)-1)</f>
        <v>0</v>
      </c>
      <c r="J235" s="40">
        <f>TModelo[[#This Row],[Act]]*(EXP(MuTRM+SigmaTRM^2/2)-1)</f>
        <v>0</v>
      </c>
      <c r="K235" s="11">
        <f>TModelo[[#This Row],[Act]]*IF(Rebalanceo="Mensual",1,IF(Rebalanceo="Anual",IF(MOD(TModelo[[#This Row],[Period]]-1,12)=0,1,0),0))</f>
        <v>0</v>
      </c>
      <c r="L235" s="24">
        <f>TModelo[[#This Row],[Act]]*AporteMensual*IF(CrecimientoAporte="Con IPC",F234,1)</f>
        <v>0</v>
      </c>
      <c r="M235" s="24">
        <f>IF(TModelo[[#This Row],[Period]]=HorizonteMeses,TModelo[[#This Row],[TotalPreLiq]],0)</f>
        <v>0</v>
      </c>
      <c r="N235" s="24">
        <f>TModelo[[#This Row],[Inflow]]-TModelo[[#This Row],[Outflow]]</f>
        <v>0</v>
      </c>
      <c r="O235" s="24">
        <f t="shared" si="3"/>
        <v>0</v>
      </c>
      <c r="P235" s="24">
        <f>TModelo[[#This Row],[IntCDT]]+TModelo[[#This Row],[IntCOLCAP]]+TModelo[[#This Row],[IntUSD]]</f>
        <v>0</v>
      </c>
      <c r="Q235" s="24">
        <f>TModelo[[#This Row],[InitialBalance]]+TModelo[[#This Row],[Interest]]+TModelo[[#This Row],[Outflow]]-TModelo[[#This Row],[Inflow]]</f>
        <v>0</v>
      </c>
      <c r="R235" s="24">
        <f>TModelo[[#This Row],[Act]]*IF(TModelo[[#This Row],[Rebal]]=1,PesoCDT*(X234+Y234+Z234),X234)</f>
        <v>0</v>
      </c>
      <c r="S235" s="24">
        <f>TModelo[[#This Row],[Act]]*IF(TModelo[[#This Row],[Rebal]]=1,PesoCOLCAP*(X234+Y234+Z234),Y234)</f>
        <v>0</v>
      </c>
      <c r="T235" s="24">
        <f>TModelo[[#This Row],[Act]]*IF(TModelo[[#This Row],[Rebal]]=1,PesoUSD*(X234+Y234+Z234),Z234)</f>
        <v>0</v>
      </c>
      <c r="U235" s="24">
        <f>TModelo[[#This Row],[IniCDT]]*TModelo[[#This Row],[RetCDT]]</f>
        <v>0</v>
      </c>
      <c r="V235" s="24">
        <f>TModelo[[#This Row],[IniCOLCAP]]*TModelo[[#This Row],[RetCOLCAP]]</f>
        <v>0</v>
      </c>
      <c r="W235" s="24">
        <f>TModelo[[#This Row],[IniUSD]]*TModelo[[#This Row],[RetUSD]]</f>
        <v>0</v>
      </c>
      <c r="X235" s="24">
        <f>TModelo[[#This Row],[Act]]*(TModelo[[#This Row],[IniCDT]]+TModelo[[#This Row],[IntCDT]]+PesoCDT*TModelo[[#This Row],[Outflow]])</f>
        <v>0</v>
      </c>
      <c r="Y235" s="24">
        <f>TModelo[[#This Row],[Act]]*(TModelo[[#This Row],[IniCOLCAP]]+TModelo[[#This Row],[IntCOLCAP]]+PesoCOLCAP*TModelo[[#This Row],[Outflow]])</f>
        <v>0</v>
      </c>
      <c r="Z235" s="24">
        <f>TModelo[[#This Row],[Act]]*(TModelo[[#This Row],[IniUSD]]+TModelo[[#This Row],[IntUSD]]+PesoUSD*TModelo[[#This Row],[Outflow]])</f>
        <v>0</v>
      </c>
      <c r="AA235" s="24">
        <f>TModelo[[#This Row],[BalCDT]]+TModelo[[#This Row],[BalCOLCAP]]+TModelo[[#This Row],[BalUSD]]</f>
        <v>0</v>
      </c>
      <c r="AB235" s="24">
        <f>IF(TModelo[[#This Row],[CumInfl]]&gt;0,TModelo[[#This Row],[TotalPreLiq]]/TModelo[[#This Row],[CumInfl]],0)</f>
        <v>0</v>
      </c>
      <c r="AC235" s="41">
        <f>(1+PerRate)^(-TModelo[[#This Row],[Period]])</f>
        <v>0.19772383429100088</v>
      </c>
      <c r="AD235" s="42">
        <f>TModelo[[#This Row],[NetCF]]*TModelo[[#This Row],[fd]]</f>
        <v>0</v>
      </c>
    </row>
    <row r="236" spans="2:30" ht="16.95" customHeight="1">
      <c r="B236" s="11">
        <v>209</v>
      </c>
      <c r="C236" s="25">
        <f>EDATE(FechaInicio,TModelo[[#This Row],[Period]])</f>
        <v>52656</v>
      </c>
      <c r="D236" s="11">
        <f>IF(AND(TModelo[[#This Row],[Period]]&gt;=1,TModelo[[#This Row],[Period]]&lt;=HorizonteMeses),1,0)</f>
        <v>0</v>
      </c>
      <c r="E236" s="40">
        <f>TModelo[[#This Row],[Act]]*(INFb+(INFpi0-INFb)*(1-INFa)^TModelo[[#This Row],[Period]])</f>
        <v>0</v>
      </c>
      <c r="F236" s="28">
        <f>IF(TModelo[[#This Row],[Period]]&lt;=HorizonteMeses,F235*(1+TModelo[[#This Row],[InflMes]]),0)</f>
        <v>0</v>
      </c>
      <c r="G236" s="21">
        <f>TModelo[[#This Row],[Act]]*(CDTb+(CDTx0-CDTb)*(1-CDTa)^TModelo[[#This Row],[Period]]+CDTspread)</f>
        <v>0</v>
      </c>
      <c r="H236" s="40">
        <f>TModelo[[#This Row],[Act]]*((1+TModelo[[#This Row],[TasaCDT]])^(1/12)-1)*(1-Retencion)</f>
        <v>0</v>
      </c>
      <c r="I236" s="40">
        <f>TModelo[[#This Row],[Act]]*(EXP(MuCOLCAP+SigmaCOLCAP^2/2)-1)</f>
        <v>0</v>
      </c>
      <c r="J236" s="40">
        <f>TModelo[[#This Row],[Act]]*(EXP(MuTRM+SigmaTRM^2/2)-1)</f>
        <v>0</v>
      </c>
      <c r="K236" s="11">
        <f>TModelo[[#This Row],[Act]]*IF(Rebalanceo="Mensual",1,IF(Rebalanceo="Anual",IF(MOD(TModelo[[#This Row],[Period]]-1,12)=0,1,0),0))</f>
        <v>0</v>
      </c>
      <c r="L236" s="24">
        <f>TModelo[[#This Row],[Act]]*AporteMensual*IF(CrecimientoAporte="Con IPC",F235,1)</f>
        <v>0</v>
      </c>
      <c r="M236" s="24">
        <f>IF(TModelo[[#This Row],[Period]]=HorizonteMeses,TModelo[[#This Row],[TotalPreLiq]],0)</f>
        <v>0</v>
      </c>
      <c r="N236" s="24">
        <f>TModelo[[#This Row],[Inflow]]-TModelo[[#This Row],[Outflow]]</f>
        <v>0</v>
      </c>
      <c r="O236" s="24">
        <f t="shared" si="3"/>
        <v>0</v>
      </c>
      <c r="P236" s="24">
        <f>TModelo[[#This Row],[IntCDT]]+TModelo[[#This Row],[IntCOLCAP]]+TModelo[[#This Row],[IntUSD]]</f>
        <v>0</v>
      </c>
      <c r="Q236" s="24">
        <f>TModelo[[#This Row],[InitialBalance]]+TModelo[[#This Row],[Interest]]+TModelo[[#This Row],[Outflow]]-TModelo[[#This Row],[Inflow]]</f>
        <v>0</v>
      </c>
      <c r="R236" s="24">
        <f>TModelo[[#This Row],[Act]]*IF(TModelo[[#This Row],[Rebal]]=1,PesoCDT*(X235+Y235+Z235),X235)</f>
        <v>0</v>
      </c>
      <c r="S236" s="24">
        <f>TModelo[[#This Row],[Act]]*IF(TModelo[[#This Row],[Rebal]]=1,PesoCOLCAP*(X235+Y235+Z235),Y235)</f>
        <v>0</v>
      </c>
      <c r="T236" s="24">
        <f>TModelo[[#This Row],[Act]]*IF(TModelo[[#This Row],[Rebal]]=1,PesoUSD*(X235+Y235+Z235),Z235)</f>
        <v>0</v>
      </c>
      <c r="U236" s="24">
        <f>TModelo[[#This Row],[IniCDT]]*TModelo[[#This Row],[RetCDT]]</f>
        <v>0</v>
      </c>
      <c r="V236" s="24">
        <f>TModelo[[#This Row],[IniCOLCAP]]*TModelo[[#This Row],[RetCOLCAP]]</f>
        <v>0</v>
      </c>
      <c r="W236" s="24">
        <f>TModelo[[#This Row],[IniUSD]]*TModelo[[#This Row],[RetUSD]]</f>
        <v>0</v>
      </c>
      <c r="X236" s="24">
        <f>TModelo[[#This Row],[Act]]*(TModelo[[#This Row],[IniCDT]]+TModelo[[#This Row],[IntCDT]]+PesoCDT*TModelo[[#This Row],[Outflow]])</f>
        <v>0</v>
      </c>
      <c r="Y236" s="24">
        <f>TModelo[[#This Row],[Act]]*(TModelo[[#This Row],[IniCOLCAP]]+TModelo[[#This Row],[IntCOLCAP]]+PesoCOLCAP*TModelo[[#This Row],[Outflow]])</f>
        <v>0</v>
      </c>
      <c r="Z236" s="24">
        <f>TModelo[[#This Row],[Act]]*(TModelo[[#This Row],[IniUSD]]+TModelo[[#This Row],[IntUSD]]+PesoUSD*TModelo[[#This Row],[Outflow]])</f>
        <v>0</v>
      </c>
      <c r="AA236" s="24">
        <f>TModelo[[#This Row],[BalCDT]]+TModelo[[#This Row],[BalCOLCAP]]+TModelo[[#This Row],[BalUSD]]</f>
        <v>0</v>
      </c>
      <c r="AB236" s="24">
        <f>IF(TModelo[[#This Row],[CumInfl]]&gt;0,TModelo[[#This Row],[TotalPreLiq]]/TModelo[[#This Row],[CumInfl]],0)</f>
        <v>0</v>
      </c>
      <c r="AC236" s="41">
        <f>(1+PerRate)^(-TModelo[[#This Row],[Period]])</f>
        <v>0.1961890174472373</v>
      </c>
      <c r="AD236" s="42">
        <f>TModelo[[#This Row],[NetCF]]*TModelo[[#This Row],[fd]]</f>
        <v>0</v>
      </c>
    </row>
    <row r="237" spans="2:30" ht="16.95" customHeight="1">
      <c r="B237" s="11">
        <v>210</v>
      </c>
      <c r="C237" s="25">
        <f>EDATE(FechaInicio,TModelo[[#This Row],[Period]])</f>
        <v>52685</v>
      </c>
      <c r="D237" s="11">
        <f>IF(AND(TModelo[[#This Row],[Period]]&gt;=1,TModelo[[#This Row],[Period]]&lt;=HorizonteMeses),1,0)</f>
        <v>0</v>
      </c>
      <c r="E237" s="40">
        <f>TModelo[[#This Row],[Act]]*(INFb+(INFpi0-INFb)*(1-INFa)^TModelo[[#This Row],[Period]])</f>
        <v>0</v>
      </c>
      <c r="F237" s="28">
        <f>IF(TModelo[[#This Row],[Period]]&lt;=HorizonteMeses,F236*(1+TModelo[[#This Row],[InflMes]]),0)</f>
        <v>0</v>
      </c>
      <c r="G237" s="21">
        <f>TModelo[[#This Row],[Act]]*(CDTb+(CDTx0-CDTb)*(1-CDTa)^TModelo[[#This Row],[Period]]+CDTspread)</f>
        <v>0</v>
      </c>
      <c r="H237" s="40">
        <f>TModelo[[#This Row],[Act]]*((1+TModelo[[#This Row],[TasaCDT]])^(1/12)-1)*(1-Retencion)</f>
        <v>0</v>
      </c>
      <c r="I237" s="40">
        <f>TModelo[[#This Row],[Act]]*(EXP(MuCOLCAP+SigmaCOLCAP^2/2)-1)</f>
        <v>0</v>
      </c>
      <c r="J237" s="40">
        <f>TModelo[[#This Row],[Act]]*(EXP(MuTRM+SigmaTRM^2/2)-1)</f>
        <v>0</v>
      </c>
      <c r="K237" s="11">
        <f>TModelo[[#This Row],[Act]]*IF(Rebalanceo="Mensual",1,IF(Rebalanceo="Anual",IF(MOD(TModelo[[#This Row],[Period]]-1,12)=0,1,0),0))</f>
        <v>0</v>
      </c>
      <c r="L237" s="24">
        <f>TModelo[[#This Row],[Act]]*AporteMensual*IF(CrecimientoAporte="Con IPC",F236,1)</f>
        <v>0</v>
      </c>
      <c r="M237" s="24">
        <f>IF(TModelo[[#This Row],[Period]]=HorizonteMeses,TModelo[[#This Row],[TotalPreLiq]],0)</f>
        <v>0</v>
      </c>
      <c r="N237" s="24">
        <f>TModelo[[#This Row],[Inflow]]-TModelo[[#This Row],[Outflow]]</f>
        <v>0</v>
      </c>
      <c r="O237" s="24">
        <f t="shared" si="3"/>
        <v>0</v>
      </c>
      <c r="P237" s="24">
        <f>TModelo[[#This Row],[IntCDT]]+TModelo[[#This Row],[IntCOLCAP]]+TModelo[[#This Row],[IntUSD]]</f>
        <v>0</v>
      </c>
      <c r="Q237" s="24">
        <f>TModelo[[#This Row],[InitialBalance]]+TModelo[[#This Row],[Interest]]+TModelo[[#This Row],[Outflow]]-TModelo[[#This Row],[Inflow]]</f>
        <v>0</v>
      </c>
      <c r="R237" s="24">
        <f>TModelo[[#This Row],[Act]]*IF(TModelo[[#This Row],[Rebal]]=1,PesoCDT*(X236+Y236+Z236),X236)</f>
        <v>0</v>
      </c>
      <c r="S237" s="24">
        <f>TModelo[[#This Row],[Act]]*IF(TModelo[[#This Row],[Rebal]]=1,PesoCOLCAP*(X236+Y236+Z236),Y236)</f>
        <v>0</v>
      </c>
      <c r="T237" s="24">
        <f>TModelo[[#This Row],[Act]]*IF(TModelo[[#This Row],[Rebal]]=1,PesoUSD*(X236+Y236+Z236),Z236)</f>
        <v>0</v>
      </c>
      <c r="U237" s="24">
        <f>TModelo[[#This Row],[IniCDT]]*TModelo[[#This Row],[RetCDT]]</f>
        <v>0</v>
      </c>
      <c r="V237" s="24">
        <f>TModelo[[#This Row],[IniCOLCAP]]*TModelo[[#This Row],[RetCOLCAP]]</f>
        <v>0</v>
      </c>
      <c r="W237" s="24">
        <f>TModelo[[#This Row],[IniUSD]]*TModelo[[#This Row],[RetUSD]]</f>
        <v>0</v>
      </c>
      <c r="X237" s="24">
        <f>TModelo[[#This Row],[Act]]*(TModelo[[#This Row],[IniCDT]]+TModelo[[#This Row],[IntCDT]]+PesoCDT*TModelo[[#This Row],[Outflow]])</f>
        <v>0</v>
      </c>
      <c r="Y237" s="24">
        <f>TModelo[[#This Row],[Act]]*(TModelo[[#This Row],[IniCOLCAP]]+TModelo[[#This Row],[IntCOLCAP]]+PesoCOLCAP*TModelo[[#This Row],[Outflow]])</f>
        <v>0</v>
      </c>
      <c r="Z237" s="24">
        <f>TModelo[[#This Row],[Act]]*(TModelo[[#This Row],[IniUSD]]+TModelo[[#This Row],[IntUSD]]+PesoUSD*TModelo[[#This Row],[Outflow]])</f>
        <v>0</v>
      </c>
      <c r="AA237" s="24">
        <f>TModelo[[#This Row],[BalCDT]]+TModelo[[#This Row],[BalCOLCAP]]+TModelo[[#This Row],[BalUSD]]</f>
        <v>0</v>
      </c>
      <c r="AB237" s="24">
        <f>IF(TModelo[[#This Row],[CumInfl]]&gt;0,TModelo[[#This Row],[TotalPreLiq]]/TModelo[[#This Row],[CumInfl]],0)</f>
        <v>0</v>
      </c>
      <c r="AC237" s="41">
        <f>(1+PerRate)^(-TModelo[[#This Row],[Period]])</f>
        <v>0.19466611450728985</v>
      </c>
      <c r="AD237" s="42">
        <f>TModelo[[#This Row],[NetCF]]*TModelo[[#This Row],[fd]]</f>
        <v>0</v>
      </c>
    </row>
    <row r="238" spans="2:30" ht="16.95" customHeight="1">
      <c r="B238" s="11">
        <v>211</v>
      </c>
      <c r="C238" s="25">
        <f>EDATE(FechaInicio,TModelo[[#This Row],[Period]])</f>
        <v>52716</v>
      </c>
      <c r="D238" s="11">
        <f>IF(AND(TModelo[[#This Row],[Period]]&gt;=1,TModelo[[#This Row],[Period]]&lt;=HorizonteMeses),1,0)</f>
        <v>0</v>
      </c>
      <c r="E238" s="40">
        <f>TModelo[[#This Row],[Act]]*(INFb+(INFpi0-INFb)*(1-INFa)^TModelo[[#This Row],[Period]])</f>
        <v>0</v>
      </c>
      <c r="F238" s="28">
        <f>IF(TModelo[[#This Row],[Period]]&lt;=HorizonteMeses,F237*(1+TModelo[[#This Row],[InflMes]]),0)</f>
        <v>0</v>
      </c>
      <c r="G238" s="21">
        <f>TModelo[[#This Row],[Act]]*(CDTb+(CDTx0-CDTb)*(1-CDTa)^TModelo[[#This Row],[Period]]+CDTspread)</f>
        <v>0</v>
      </c>
      <c r="H238" s="40">
        <f>TModelo[[#This Row],[Act]]*((1+TModelo[[#This Row],[TasaCDT]])^(1/12)-1)*(1-Retencion)</f>
        <v>0</v>
      </c>
      <c r="I238" s="40">
        <f>TModelo[[#This Row],[Act]]*(EXP(MuCOLCAP+SigmaCOLCAP^2/2)-1)</f>
        <v>0</v>
      </c>
      <c r="J238" s="40">
        <f>TModelo[[#This Row],[Act]]*(EXP(MuTRM+SigmaTRM^2/2)-1)</f>
        <v>0</v>
      </c>
      <c r="K238" s="11">
        <f>TModelo[[#This Row],[Act]]*IF(Rebalanceo="Mensual",1,IF(Rebalanceo="Anual",IF(MOD(TModelo[[#This Row],[Period]]-1,12)=0,1,0),0))</f>
        <v>0</v>
      </c>
      <c r="L238" s="24">
        <f>TModelo[[#This Row],[Act]]*AporteMensual*IF(CrecimientoAporte="Con IPC",F237,1)</f>
        <v>0</v>
      </c>
      <c r="M238" s="24">
        <f>IF(TModelo[[#This Row],[Period]]=HorizonteMeses,TModelo[[#This Row],[TotalPreLiq]],0)</f>
        <v>0</v>
      </c>
      <c r="N238" s="24">
        <f>TModelo[[#This Row],[Inflow]]-TModelo[[#This Row],[Outflow]]</f>
        <v>0</v>
      </c>
      <c r="O238" s="24">
        <f t="shared" si="3"/>
        <v>0</v>
      </c>
      <c r="P238" s="24">
        <f>TModelo[[#This Row],[IntCDT]]+TModelo[[#This Row],[IntCOLCAP]]+TModelo[[#This Row],[IntUSD]]</f>
        <v>0</v>
      </c>
      <c r="Q238" s="24">
        <f>TModelo[[#This Row],[InitialBalance]]+TModelo[[#This Row],[Interest]]+TModelo[[#This Row],[Outflow]]-TModelo[[#This Row],[Inflow]]</f>
        <v>0</v>
      </c>
      <c r="R238" s="24">
        <f>TModelo[[#This Row],[Act]]*IF(TModelo[[#This Row],[Rebal]]=1,PesoCDT*(X237+Y237+Z237),X237)</f>
        <v>0</v>
      </c>
      <c r="S238" s="24">
        <f>TModelo[[#This Row],[Act]]*IF(TModelo[[#This Row],[Rebal]]=1,PesoCOLCAP*(X237+Y237+Z237),Y237)</f>
        <v>0</v>
      </c>
      <c r="T238" s="24">
        <f>TModelo[[#This Row],[Act]]*IF(TModelo[[#This Row],[Rebal]]=1,PesoUSD*(X237+Y237+Z237),Z237)</f>
        <v>0</v>
      </c>
      <c r="U238" s="24">
        <f>TModelo[[#This Row],[IniCDT]]*TModelo[[#This Row],[RetCDT]]</f>
        <v>0</v>
      </c>
      <c r="V238" s="24">
        <f>TModelo[[#This Row],[IniCOLCAP]]*TModelo[[#This Row],[RetCOLCAP]]</f>
        <v>0</v>
      </c>
      <c r="W238" s="24">
        <f>TModelo[[#This Row],[IniUSD]]*TModelo[[#This Row],[RetUSD]]</f>
        <v>0</v>
      </c>
      <c r="X238" s="24">
        <f>TModelo[[#This Row],[Act]]*(TModelo[[#This Row],[IniCDT]]+TModelo[[#This Row],[IntCDT]]+PesoCDT*TModelo[[#This Row],[Outflow]])</f>
        <v>0</v>
      </c>
      <c r="Y238" s="24">
        <f>TModelo[[#This Row],[Act]]*(TModelo[[#This Row],[IniCOLCAP]]+TModelo[[#This Row],[IntCOLCAP]]+PesoCOLCAP*TModelo[[#This Row],[Outflow]])</f>
        <v>0</v>
      </c>
      <c r="Z238" s="24">
        <f>TModelo[[#This Row],[Act]]*(TModelo[[#This Row],[IniUSD]]+TModelo[[#This Row],[IntUSD]]+PesoUSD*TModelo[[#This Row],[Outflow]])</f>
        <v>0</v>
      </c>
      <c r="AA238" s="24">
        <f>TModelo[[#This Row],[BalCDT]]+TModelo[[#This Row],[BalCOLCAP]]+TModelo[[#This Row],[BalUSD]]</f>
        <v>0</v>
      </c>
      <c r="AB238" s="24">
        <f>IF(TModelo[[#This Row],[CumInfl]]&gt;0,TModelo[[#This Row],[TotalPreLiq]]/TModelo[[#This Row],[CumInfl]],0)</f>
        <v>0</v>
      </c>
      <c r="AC238" s="41">
        <f>(1+PerRate)^(-TModelo[[#This Row],[Period]])</f>
        <v>0.19315503299034908</v>
      </c>
      <c r="AD238" s="42">
        <f>TModelo[[#This Row],[NetCF]]*TModelo[[#This Row],[fd]]</f>
        <v>0</v>
      </c>
    </row>
    <row r="239" spans="2:30" ht="16.95" customHeight="1">
      <c r="B239" s="11">
        <v>212</v>
      </c>
      <c r="C239" s="25">
        <f>EDATE(FechaInicio,TModelo[[#This Row],[Period]])</f>
        <v>52746</v>
      </c>
      <c r="D239" s="11">
        <f>IF(AND(TModelo[[#This Row],[Period]]&gt;=1,TModelo[[#This Row],[Period]]&lt;=HorizonteMeses),1,0)</f>
        <v>0</v>
      </c>
      <c r="E239" s="40">
        <f>TModelo[[#This Row],[Act]]*(INFb+(INFpi0-INFb)*(1-INFa)^TModelo[[#This Row],[Period]])</f>
        <v>0</v>
      </c>
      <c r="F239" s="28">
        <f>IF(TModelo[[#This Row],[Period]]&lt;=HorizonteMeses,F238*(1+TModelo[[#This Row],[InflMes]]),0)</f>
        <v>0</v>
      </c>
      <c r="G239" s="21">
        <f>TModelo[[#This Row],[Act]]*(CDTb+(CDTx0-CDTb)*(1-CDTa)^TModelo[[#This Row],[Period]]+CDTspread)</f>
        <v>0</v>
      </c>
      <c r="H239" s="40">
        <f>TModelo[[#This Row],[Act]]*((1+TModelo[[#This Row],[TasaCDT]])^(1/12)-1)*(1-Retencion)</f>
        <v>0</v>
      </c>
      <c r="I239" s="40">
        <f>TModelo[[#This Row],[Act]]*(EXP(MuCOLCAP+SigmaCOLCAP^2/2)-1)</f>
        <v>0</v>
      </c>
      <c r="J239" s="40">
        <f>TModelo[[#This Row],[Act]]*(EXP(MuTRM+SigmaTRM^2/2)-1)</f>
        <v>0</v>
      </c>
      <c r="K239" s="11">
        <f>TModelo[[#This Row],[Act]]*IF(Rebalanceo="Mensual",1,IF(Rebalanceo="Anual",IF(MOD(TModelo[[#This Row],[Period]]-1,12)=0,1,0),0))</f>
        <v>0</v>
      </c>
      <c r="L239" s="24">
        <f>TModelo[[#This Row],[Act]]*AporteMensual*IF(CrecimientoAporte="Con IPC",F238,1)</f>
        <v>0</v>
      </c>
      <c r="M239" s="24">
        <f>IF(TModelo[[#This Row],[Period]]=HorizonteMeses,TModelo[[#This Row],[TotalPreLiq]],0)</f>
        <v>0</v>
      </c>
      <c r="N239" s="24">
        <f>TModelo[[#This Row],[Inflow]]-TModelo[[#This Row],[Outflow]]</f>
        <v>0</v>
      </c>
      <c r="O239" s="24">
        <f t="shared" si="3"/>
        <v>0</v>
      </c>
      <c r="P239" s="24">
        <f>TModelo[[#This Row],[IntCDT]]+TModelo[[#This Row],[IntCOLCAP]]+TModelo[[#This Row],[IntUSD]]</f>
        <v>0</v>
      </c>
      <c r="Q239" s="24">
        <f>TModelo[[#This Row],[InitialBalance]]+TModelo[[#This Row],[Interest]]+TModelo[[#This Row],[Outflow]]-TModelo[[#This Row],[Inflow]]</f>
        <v>0</v>
      </c>
      <c r="R239" s="24">
        <f>TModelo[[#This Row],[Act]]*IF(TModelo[[#This Row],[Rebal]]=1,PesoCDT*(X238+Y238+Z238),X238)</f>
        <v>0</v>
      </c>
      <c r="S239" s="24">
        <f>TModelo[[#This Row],[Act]]*IF(TModelo[[#This Row],[Rebal]]=1,PesoCOLCAP*(X238+Y238+Z238),Y238)</f>
        <v>0</v>
      </c>
      <c r="T239" s="24">
        <f>TModelo[[#This Row],[Act]]*IF(TModelo[[#This Row],[Rebal]]=1,PesoUSD*(X238+Y238+Z238),Z238)</f>
        <v>0</v>
      </c>
      <c r="U239" s="24">
        <f>TModelo[[#This Row],[IniCDT]]*TModelo[[#This Row],[RetCDT]]</f>
        <v>0</v>
      </c>
      <c r="V239" s="24">
        <f>TModelo[[#This Row],[IniCOLCAP]]*TModelo[[#This Row],[RetCOLCAP]]</f>
        <v>0</v>
      </c>
      <c r="W239" s="24">
        <f>TModelo[[#This Row],[IniUSD]]*TModelo[[#This Row],[RetUSD]]</f>
        <v>0</v>
      </c>
      <c r="X239" s="24">
        <f>TModelo[[#This Row],[Act]]*(TModelo[[#This Row],[IniCDT]]+TModelo[[#This Row],[IntCDT]]+PesoCDT*TModelo[[#This Row],[Outflow]])</f>
        <v>0</v>
      </c>
      <c r="Y239" s="24">
        <f>TModelo[[#This Row],[Act]]*(TModelo[[#This Row],[IniCOLCAP]]+TModelo[[#This Row],[IntCOLCAP]]+PesoCOLCAP*TModelo[[#This Row],[Outflow]])</f>
        <v>0</v>
      </c>
      <c r="Z239" s="24">
        <f>TModelo[[#This Row],[Act]]*(TModelo[[#This Row],[IniUSD]]+TModelo[[#This Row],[IntUSD]]+PesoUSD*TModelo[[#This Row],[Outflow]])</f>
        <v>0</v>
      </c>
      <c r="AA239" s="24">
        <f>TModelo[[#This Row],[BalCDT]]+TModelo[[#This Row],[BalCOLCAP]]+TModelo[[#This Row],[BalUSD]]</f>
        <v>0</v>
      </c>
      <c r="AB239" s="24">
        <f>IF(TModelo[[#This Row],[CumInfl]]&gt;0,TModelo[[#This Row],[TotalPreLiq]]/TModelo[[#This Row],[CumInfl]],0)</f>
        <v>0</v>
      </c>
      <c r="AC239" s="41">
        <f>(1+PerRate)^(-TModelo[[#This Row],[Period]])</f>
        <v>0.19165568113348097</v>
      </c>
      <c r="AD239" s="42">
        <f>TModelo[[#This Row],[NetCF]]*TModelo[[#This Row],[fd]]</f>
        <v>0</v>
      </c>
    </row>
    <row r="240" spans="2:30" ht="16.95" customHeight="1">
      <c r="B240" s="11">
        <v>213</v>
      </c>
      <c r="C240" s="25">
        <f>EDATE(FechaInicio,TModelo[[#This Row],[Period]])</f>
        <v>52777</v>
      </c>
      <c r="D240" s="11">
        <f>IF(AND(TModelo[[#This Row],[Period]]&gt;=1,TModelo[[#This Row],[Period]]&lt;=HorizonteMeses),1,0)</f>
        <v>0</v>
      </c>
      <c r="E240" s="40">
        <f>TModelo[[#This Row],[Act]]*(INFb+(INFpi0-INFb)*(1-INFa)^TModelo[[#This Row],[Period]])</f>
        <v>0</v>
      </c>
      <c r="F240" s="28">
        <f>IF(TModelo[[#This Row],[Period]]&lt;=HorizonteMeses,F239*(1+TModelo[[#This Row],[InflMes]]),0)</f>
        <v>0</v>
      </c>
      <c r="G240" s="21">
        <f>TModelo[[#This Row],[Act]]*(CDTb+(CDTx0-CDTb)*(1-CDTa)^TModelo[[#This Row],[Period]]+CDTspread)</f>
        <v>0</v>
      </c>
      <c r="H240" s="40">
        <f>TModelo[[#This Row],[Act]]*((1+TModelo[[#This Row],[TasaCDT]])^(1/12)-1)*(1-Retencion)</f>
        <v>0</v>
      </c>
      <c r="I240" s="40">
        <f>TModelo[[#This Row],[Act]]*(EXP(MuCOLCAP+SigmaCOLCAP^2/2)-1)</f>
        <v>0</v>
      </c>
      <c r="J240" s="40">
        <f>TModelo[[#This Row],[Act]]*(EXP(MuTRM+SigmaTRM^2/2)-1)</f>
        <v>0</v>
      </c>
      <c r="K240" s="11">
        <f>TModelo[[#This Row],[Act]]*IF(Rebalanceo="Mensual",1,IF(Rebalanceo="Anual",IF(MOD(TModelo[[#This Row],[Period]]-1,12)=0,1,0),0))</f>
        <v>0</v>
      </c>
      <c r="L240" s="24">
        <f>TModelo[[#This Row],[Act]]*AporteMensual*IF(CrecimientoAporte="Con IPC",F239,1)</f>
        <v>0</v>
      </c>
      <c r="M240" s="24">
        <f>IF(TModelo[[#This Row],[Period]]=HorizonteMeses,TModelo[[#This Row],[TotalPreLiq]],0)</f>
        <v>0</v>
      </c>
      <c r="N240" s="24">
        <f>TModelo[[#This Row],[Inflow]]-TModelo[[#This Row],[Outflow]]</f>
        <v>0</v>
      </c>
      <c r="O240" s="24">
        <f t="shared" si="3"/>
        <v>0</v>
      </c>
      <c r="P240" s="24">
        <f>TModelo[[#This Row],[IntCDT]]+TModelo[[#This Row],[IntCOLCAP]]+TModelo[[#This Row],[IntUSD]]</f>
        <v>0</v>
      </c>
      <c r="Q240" s="24">
        <f>TModelo[[#This Row],[InitialBalance]]+TModelo[[#This Row],[Interest]]+TModelo[[#This Row],[Outflow]]-TModelo[[#This Row],[Inflow]]</f>
        <v>0</v>
      </c>
      <c r="R240" s="24">
        <f>TModelo[[#This Row],[Act]]*IF(TModelo[[#This Row],[Rebal]]=1,PesoCDT*(X239+Y239+Z239),X239)</f>
        <v>0</v>
      </c>
      <c r="S240" s="24">
        <f>TModelo[[#This Row],[Act]]*IF(TModelo[[#This Row],[Rebal]]=1,PesoCOLCAP*(X239+Y239+Z239),Y239)</f>
        <v>0</v>
      </c>
      <c r="T240" s="24">
        <f>TModelo[[#This Row],[Act]]*IF(TModelo[[#This Row],[Rebal]]=1,PesoUSD*(X239+Y239+Z239),Z239)</f>
        <v>0</v>
      </c>
      <c r="U240" s="24">
        <f>TModelo[[#This Row],[IniCDT]]*TModelo[[#This Row],[RetCDT]]</f>
        <v>0</v>
      </c>
      <c r="V240" s="24">
        <f>TModelo[[#This Row],[IniCOLCAP]]*TModelo[[#This Row],[RetCOLCAP]]</f>
        <v>0</v>
      </c>
      <c r="W240" s="24">
        <f>TModelo[[#This Row],[IniUSD]]*TModelo[[#This Row],[RetUSD]]</f>
        <v>0</v>
      </c>
      <c r="X240" s="24">
        <f>TModelo[[#This Row],[Act]]*(TModelo[[#This Row],[IniCDT]]+TModelo[[#This Row],[IntCDT]]+PesoCDT*TModelo[[#This Row],[Outflow]])</f>
        <v>0</v>
      </c>
      <c r="Y240" s="24">
        <f>TModelo[[#This Row],[Act]]*(TModelo[[#This Row],[IniCOLCAP]]+TModelo[[#This Row],[IntCOLCAP]]+PesoCOLCAP*TModelo[[#This Row],[Outflow]])</f>
        <v>0</v>
      </c>
      <c r="Z240" s="24">
        <f>TModelo[[#This Row],[Act]]*(TModelo[[#This Row],[IniUSD]]+TModelo[[#This Row],[IntUSD]]+PesoUSD*TModelo[[#This Row],[Outflow]])</f>
        <v>0</v>
      </c>
      <c r="AA240" s="24">
        <f>TModelo[[#This Row],[BalCDT]]+TModelo[[#This Row],[BalCOLCAP]]+TModelo[[#This Row],[BalUSD]]</f>
        <v>0</v>
      </c>
      <c r="AB240" s="24">
        <f>IF(TModelo[[#This Row],[CumInfl]]&gt;0,TModelo[[#This Row],[TotalPreLiq]]/TModelo[[#This Row],[CumInfl]],0)</f>
        <v>0</v>
      </c>
      <c r="AC240" s="41">
        <f>(1+PerRate)^(-TModelo[[#This Row],[Period]])</f>
        <v>0.1901679678860547</v>
      </c>
      <c r="AD240" s="42">
        <f>TModelo[[#This Row],[NetCF]]*TModelo[[#This Row],[fd]]</f>
        <v>0</v>
      </c>
    </row>
    <row r="241" spans="2:30" ht="16.95" customHeight="1">
      <c r="B241" s="11">
        <v>214</v>
      </c>
      <c r="C241" s="25">
        <f>EDATE(FechaInicio,TModelo[[#This Row],[Period]])</f>
        <v>52807</v>
      </c>
      <c r="D241" s="11">
        <f>IF(AND(TModelo[[#This Row],[Period]]&gt;=1,TModelo[[#This Row],[Period]]&lt;=HorizonteMeses),1,0)</f>
        <v>0</v>
      </c>
      <c r="E241" s="40">
        <f>TModelo[[#This Row],[Act]]*(INFb+(INFpi0-INFb)*(1-INFa)^TModelo[[#This Row],[Period]])</f>
        <v>0</v>
      </c>
      <c r="F241" s="28">
        <f>IF(TModelo[[#This Row],[Period]]&lt;=HorizonteMeses,F240*(1+TModelo[[#This Row],[InflMes]]),0)</f>
        <v>0</v>
      </c>
      <c r="G241" s="21">
        <f>TModelo[[#This Row],[Act]]*(CDTb+(CDTx0-CDTb)*(1-CDTa)^TModelo[[#This Row],[Period]]+CDTspread)</f>
        <v>0</v>
      </c>
      <c r="H241" s="40">
        <f>TModelo[[#This Row],[Act]]*((1+TModelo[[#This Row],[TasaCDT]])^(1/12)-1)*(1-Retencion)</f>
        <v>0</v>
      </c>
      <c r="I241" s="40">
        <f>TModelo[[#This Row],[Act]]*(EXP(MuCOLCAP+SigmaCOLCAP^2/2)-1)</f>
        <v>0</v>
      </c>
      <c r="J241" s="40">
        <f>TModelo[[#This Row],[Act]]*(EXP(MuTRM+SigmaTRM^2/2)-1)</f>
        <v>0</v>
      </c>
      <c r="K241" s="11">
        <f>TModelo[[#This Row],[Act]]*IF(Rebalanceo="Mensual",1,IF(Rebalanceo="Anual",IF(MOD(TModelo[[#This Row],[Period]]-1,12)=0,1,0),0))</f>
        <v>0</v>
      </c>
      <c r="L241" s="24">
        <f>TModelo[[#This Row],[Act]]*AporteMensual*IF(CrecimientoAporte="Con IPC",F240,1)</f>
        <v>0</v>
      </c>
      <c r="M241" s="24">
        <f>IF(TModelo[[#This Row],[Period]]=HorizonteMeses,TModelo[[#This Row],[TotalPreLiq]],0)</f>
        <v>0</v>
      </c>
      <c r="N241" s="24">
        <f>TModelo[[#This Row],[Inflow]]-TModelo[[#This Row],[Outflow]]</f>
        <v>0</v>
      </c>
      <c r="O241" s="24">
        <f t="shared" si="3"/>
        <v>0</v>
      </c>
      <c r="P241" s="24">
        <f>TModelo[[#This Row],[IntCDT]]+TModelo[[#This Row],[IntCOLCAP]]+TModelo[[#This Row],[IntUSD]]</f>
        <v>0</v>
      </c>
      <c r="Q241" s="24">
        <f>TModelo[[#This Row],[InitialBalance]]+TModelo[[#This Row],[Interest]]+TModelo[[#This Row],[Outflow]]-TModelo[[#This Row],[Inflow]]</f>
        <v>0</v>
      </c>
      <c r="R241" s="24">
        <f>TModelo[[#This Row],[Act]]*IF(TModelo[[#This Row],[Rebal]]=1,PesoCDT*(X240+Y240+Z240),X240)</f>
        <v>0</v>
      </c>
      <c r="S241" s="24">
        <f>TModelo[[#This Row],[Act]]*IF(TModelo[[#This Row],[Rebal]]=1,PesoCOLCAP*(X240+Y240+Z240),Y240)</f>
        <v>0</v>
      </c>
      <c r="T241" s="24">
        <f>TModelo[[#This Row],[Act]]*IF(TModelo[[#This Row],[Rebal]]=1,PesoUSD*(X240+Y240+Z240),Z240)</f>
        <v>0</v>
      </c>
      <c r="U241" s="24">
        <f>TModelo[[#This Row],[IniCDT]]*TModelo[[#This Row],[RetCDT]]</f>
        <v>0</v>
      </c>
      <c r="V241" s="24">
        <f>TModelo[[#This Row],[IniCOLCAP]]*TModelo[[#This Row],[RetCOLCAP]]</f>
        <v>0</v>
      </c>
      <c r="W241" s="24">
        <f>TModelo[[#This Row],[IniUSD]]*TModelo[[#This Row],[RetUSD]]</f>
        <v>0</v>
      </c>
      <c r="X241" s="24">
        <f>TModelo[[#This Row],[Act]]*(TModelo[[#This Row],[IniCDT]]+TModelo[[#This Row],[IntCDT]]+PesoCDT*TModelo[[#This Row],[Outflow]])</f>
        <v>0</v>
      </c>
      <c r="Y241" s="24">
        <f>TModelo[[#This Row],[Act]]*(TModelo[[#This Row],[IniCOLCAP]]+TModelo[[#This Row],[IntCOLCAP]]+PesoCOLCAP*TModelo[[#This Row],[Outflow]])</f>
        <v>0</v>
      </c>
      <c r="Z241" s="24">
        <f>TModelo[[#This Row],[Act]]*(TModelo[[#This Row],[IniUSD]]+TModelo[[#This Row],[IntUSD]]+PesoUSD*TModelo[[#This Row],[Outflow]])</f>
        <v>0</v>
      </c>
      <c r="AA241" s="24">
        <f>TModelo[[#This Row],[BalCDT]]+TModelo[[#This Row],[BalCOLCAP]]+TModelo[[#This Row],[BalUSD]]</f>
        <v>0</v>
      </c>
      <c r="AB241" s="24">
        <f>IF(TModelo[[#This Row],[CumInfl]]&gt;0,TModelo[[#This Row],[TotalPreLiq]]/TModelo[[#This Row],[CumInfl]],0)</f>
        <v>0</v>
      </c>
      <c r="AC241" s="41">
        <f>(1+PerRate)^(-TModelo[[#This Row],[Period]])</f>
        <v>0.18869180290421325</v>
      </c>
      <c r="AD241" s="42">
        <f>TModelo[[#This Row],[NetCF]]*TModelo[[#This Row],[fd]]</f>
        <v>0</v>
      </c>
    </row>
    <row r="242" spans="2:30" ht="16.95" customHeight="1">
      <c r="B242" s="11">
        <v>215</v>
      </c>
      <c r="C242" s="25">
        <f>EDATE(FechaInicio,TModelo[[#This Row],[Period]])</f>
        <v>52838</v>
      </c>
      <c r="D242" s="11">
        <f>IF(AND(TModelo[[#This Row],[Period]]&gt;=1,TModelo[[#This Row],[Period]]&lt;=HorizonteMeses),1,0)</f>
        <v>0</v>
      </c>
      <c r="E242" s="40">
        <f>TModelo[[#This Row],[Act]]*(INFb+(INFpi0-INFb)*(1-INFa)^TModelo[[#This Row],[Period]])</f>
        <v>0</v>
      </c>
      <c r="F242" s="28">
        <f>IF(TModelo[[#This Row],[Period]]&lt;=HorizonteMeses,F241*(1+TModelo[[#This Row],[InflMes]]),0)</f>
        <v>0</v>
      </c>
      <c r="G242" s="21">
        <f>TModelo[[#This Row],[Act]]*(CDTb+(CDTx0-CDTb)*(1-CDTa)^TModelo[[#This Row],[Period]]+CDTspread)</f>
        <v>0</v>
      </c>
      <c r="H242" s="40">
        <f>TModelo[[#This Row],[Act]]*((1+TModelo[[#This Row],[TasaCDT]])^(1/12)-1)*(1-Retencion)</f>
        <v>0</v>
      </c>
      <c r="I242" s="40">
        <f>TModelo[[#This Row],[Act]]*(EXP(MuCOLCAP+SigmaCOLCAP^2/2)-1)</f>
        <v>0</v>
      </c>
      <c r="J242" s="40">
        <f>TModelo[[#This Row],[Act]]*(EXP(MuTRM+SigmaTRM^2/2)-1)</f>
        <v>0</v>
      </c>
      <c r="K242" s="11">
        <f>TModelo[[#This Row],[Act]]*IF(Rebalanceo="Mensual",1,IF(Rebalanceo="Anual",IF(MOD(TModelo[[#This Row],[Period]]-1,12)=0,1,0),0))</f>
        <v>0</v>
      </c>
      <c r="L242" s="24">
        <f>TModelo[[#This Row],[Act]]*AporteMensual*IF(CrecimientoAporte="Con IPC",F241,1)</f>
        <v>0</v>
      </c>
      <c r="M242" s="24">
        <f>IF(TModelo[[#This Row],[Period]]=HorizonteMeses,TModelo[[#This Row],[TotalPreLiq]],0)</f>
        <v>0</v>
      </c>
      <c r="N242" s="24">
        <f>TModelo[[#This Row],[Inflow]]-TModelo[[#This Row],[Outflow]]</f>
        <v>0</v>
      </c>
      <c r="O242" s="24">
        <f t="shared" si="3"/>
        <v>0</v>
      </c>
      <c r="P242" s="24">
        <f>TModelo[[#This Row],[IntCDT]]+TModelo[[#This Row],[IntCOLCAP]]+TModelo[[#This Row],[IntUSD]]</f>
        <v>0</v>
      </c>
      <c r="Q242" s="24">
        <f>TModelo[[#This Row],[InitialBalance]]+TModelo[[#This Row],[Interest]]+TModelo[[#This Row],[Outflow]]-TModelo[[#This Row],[Inflow]]</f>
        <v>0</v>
      </c>
      <c r="R242" s="24">
        <f>TModelo[[#This Row],[Act]]*IF(TModelo[[#This Row],[Rebal]]=1,PesoCDT*(X241+Y241+Z241),X241)</f>
        <v>0</v>
      </c>
      <c r="S242" s="24">
        <f>TModelo[[#This Row],[Act]]*IF(TModelo[[#This Row],[Rebal]]=1,PesoCOLCAP*(X241+Y241+Z241),Y241)</f>
        <v>0</v>
      </c>
      <c r="T242" s="24">
        <f>TModelo[[#This Row],[Act]]*IF(TModelo[[#This Row],[Rebal]]=1,PesoUSD*(X241+Y241+Z241),Z241)</f>
        <v>0</v>
      </c>
      <c r="U242" s="24">
        <f>TModelo[[#This Row],[IniCDT]]*TModelo[[#This Row],[RetCDT]]</f>
        <v>0</v>
      </c>
      <c r="V242" s="24">
        <f>TModelo[[#This Row],[IniCOLCAP]]*TModelo[[#This Row],[RetCOLCAP]]</f>
        <v>0</v>
      </c>
      <c r="W242" s="24">
        <f>TModelo[[#This Row],[IniUSD]]*TModelo[[#This Row],[RetUSD]]</f>
        <v>0</v>
      </c>
      <c r="X242" s="24">
        <f>TModelo[[#This Row],[Act]]*(TModelo[[#This Row],[IniCDT]]+TModelo[[#This Row],[IntCDT]]+PesoCDT*TModelo[[#This Row],[Outflow]])</f>
        <v>0</v>
      </c>
      <c r="Y242" s="24">
        <f>TModelo[[#This Row],[Act]]*(TModelo[[#This Row],[IniCOLCAP]]+TModelo[[#This Row],[IntCOLCAP]]+PesoCOLCAP*TModelo[[#This Row],[Outflow]])</f>
        <v>0</v>
      </c>
      <c r="Z242" s="24">
        <f>TModelo[[#This Row],[Act]]*(TModelo[[#This Row],[IniUSD]]+TModelo[[#This Row],[IntUSD]]+PesoUSD*TModelo[[#This Row],[Outflow]])</f>
        <v>0</v>
      </c>
      <c r="AA242" s="24">
        <f>TModelo[[#This Row],[BalCDT]]+TModelo[[#This Row],[BalCOLCAP]]+TModelo[[#This Row],[BalUSD]]</f>
        <v>0</v>
      </c>
      <c r="AB242" s="24">
        <f>IF(TModelo[[#This Row],[CumInfl]]&gt;0,TModelo[[#This Row],[TotalPreLiq]]/TModelo[[#This Row],[CumInfl]],0)</f>
        <v>0</v>
      </c>
      <c r="AC242" s="41">
        <f>(1+PerRate)^(-TModelo[[#This Row],[Period]])</f>
        <v>0.18722709654538713</v>
      </c>
      <c r="AD242" s="42">
        <f>TModelo[[#This Row],[NetCF]]*TModelo[[#This Row],[fd]]</f>
        <v>0</v>
      </c>
    </row>
    <row r="243" spans="2:30" ht="16.95" customHeight="1">
      <c r="B243" s="11">
        <v>216</v>
      </c>
      <c r="C243" s="25">
        <f>EDATE(FechaInicio,TModelo[[#This Row],[Period]])</f>
        <v>52869</v>
      </c>
      <c r="D243" s="11">
        <f>IF(AND(TModelo[[#This Row],[Period]]&gt;=1,TModelo[[#This Row],[Period]]&lt;=HorizonteMeses),1,0)</f>
        <v>0</v>
      </c>
      <c r="E243" s="40">
        <f>TModelo[[#This Row],[Act]]*(INFb+(INFpi0-INFb)*(1-INFa)^TModelo[[#This Row],[Period]])</f>
        <v>0</v>
      </c>
      <c r="F243" s="28">
        <f>IF(TModelo[[#This Row],[Period]]&lt;=HorizonteMeses,F242*(1+TModelo[[#This Row],[InflMes]]),0)</f>
        <v>0</v>
      </c>
      <c r="G243" s="21">
        <f>TModelo[[#This Row],[Act]]*(CDTb+(CDTx0-CDTb)*(1-CDTa)^TModelo[[#This Row],[Period]]+CDTspread)</f>
        <v>0</v>
      </c>
      <c r="H243" s="40">
        <f>TModelo[[#This Row],[Act]]*((1+TModelo[[#This Row],[TasaCDT]])^(1/12)-1)*(1-Retencion)</f>
        <v>0</v>
      </c>
      <c r="I243" s="40">
        <f>TModelo[[#This Row],[Act]]*(EXP(MuCOLCAP+SigmaCOLCAP^2/2)-1)</f>
        <v>0</v>
      </c>
      <c r="J243" s="40">
        <f>TModelo[[#This Row],[Act]]*(EXP(MuTRM+SigmaTRM^2/2)-1)</f>
        <v>0</v>
      </c>
      <c r="K243" s="11">
        <f>TModelo[[#This Row],[Act]]*IF(Rebalanceo="Mensual",1,IF(Rebalanceo="Anual",IF(MOD(TModelo[[#This Row],[Period]]-1,12)=0,1,0),0))</f>
        <v>0</v>
      </c>
      <c r="L243" s="24">
        <f>TModelo[[#This Row],[Act]]*AporteMensual*IF(CrecimientoAporte="Con IPC",F242,1)</f>
        <v>0</v>
      </c>
      <c r="M243" s="24">
        <f>IF(TModelo[[#This Row],[Period]]=HorizonteMeses,TModelo[[#This Row],[TotalPreLiq]],0)</f>
        <v>0</v>
      </c>
      <c r="N243" s="24">
        <f>TModelo[[#This Row],[Inflow]]-TModelo[[#This Row],[Outflow]]</f>
        <v>0</v>
      </c>
      <c r="O243" s="24">
        <f t="shared" si="3"/>
        <v>0</v>
      </c>
      <c r="P243" s="24">
        <f>TModelo[[#This Row],[IntCDT]]+TModelo[[#This Row],[IntCOLCAP]]+TModelo[[#This Row],[IntUSD]]</f>
        <v>0</v>
      </c>
      <c r="Q243" s="24">
        <f>TModelo[[#This Row],[InitialBalance]]+TModelo[[#This Row],[Interest]]+TModelo[[#This Row],[Outflow]]-TModelo[[#This Row],[Inflow]]</f>
        <v>0</v>
      </c>
      <c r="R243" s="24">
        <f>TModelo[[#This Row],[Act]]*IF(TModelo[[#This Row],[Rebal]]=1,PesoCDT*(X242+Y242+Z242),X242)</f>
        <v>0</v>
      </c>
      <c r="S243" s="24">
        <f>TModelo[[#This Row],[Act]]*IF(TModelo[[#This Row],[Rebal]]=1,PesoCOLCAP*(X242+Y242+Z242),Y242)</f>
        <v>0</v>
      </c>
      <c r="T243" s="24">
        <f>TModelo[[#This Row],[Act]]*IF(TModelo[[#This Row],[Rebal]]=1,PesoUSD*(X242+Y242+Z242),Z242)</f>
        <v>0</v>
      </c>
      <c r="U243" s="24">
        <f>TModelo[[#This Row],[IniCDT]]*TModelo[[#This Row],[RetCDT]]</f>
        <v>0</v>
      </c>
      <c r="V243" s="24">
        <f>TModelo[[#This Row],[IniCOLCAP]]*TModelo[[#This Row],[RetCOLCAP]]</f>
        <v>0</v>
      </c>
      <c r="W243" s="24">
        <f>TModelo[[#This Row],[IniUSD]]*TModelo[[#This Row],[RetUSD]]</f>
        <v>0</v>
      </c>
      <c r="X243" s="24">
        <f>TModelo[[#This Row],[Act]]*(TModelo[[#This Row],[IniCDT]]+TModelo[[#This Row],[IntCDT]]+PesoCDT*TModelo[[#This Row],[Outflow]])</f>
        <v>0</v>
      </c>
      <c r="Y243" s="24">
        <f>TModelo[[#This Row],[Act]]*(TModelo[[#This Row],[IniCOLCAP]]+TModelo[[#This Row],[IntCOLCAP]]+PesoCOLCAP*TModelo[[#This Row],[Outflow]])</f>
        <v>0</v>
      </c>
      <c r="Z243" s="24">
        <f>TModelo[[#This Row],[Act]]*(TModelo[[#This Row],[IniUSD]]+TModelo[[#This Row],[IntUSD]]+PesoUSD*TModelo[[#This Row],[Outflow]])</f>
        <v>0</v>
      </c>
      <c r="AA243" s="24">
        <f>TModelo[[#This Row],[BalCDT]]+TModelo[[#This Row],[BalCOLCAP]]+TModelo[[#This Row],[BalUSD]]</f>
        <v>0</v>
      </c>
      <c r="AB243" s="24">
        <f>IF(TModelo[[#This Row],[CumInfl]]&gt;0,TModelo[[#This Row],[TotalPreLiq]]/TModelo[[#This Row],[CumInfl]],0)</f>
        <v>0</v>
      </c>
      <c r="AC243" s="41">
        <f>(1+PerRate)^(-TModelo[[#This Row],[Period]])</f>
        <v>0.18577375986285102</v>
      </c>
      <c r="AD243" s="42">
        <f>TModelo[[#This Row],[NetCF]]*TModelo[[#This Row],[fd]]</f>
        <v>0</v>
      </c>
    </row>
    <row r="244" spans="2:30" ht="16.95" customHeight="1">
      <c r="B244" s="11">
        <v>217</v>
      </c>
      <c r="C244" s="25">
        <f>EDATE(FechaInicio,TModelo[[#This Row],[Period]])</f>
        <v>52899</v>
      </c>
      <c r="D244" s="11">
        <f>IF(AND(TModelo[[#This Row],[Period]]&gt;=1,TModelo[[#This Row],[Period]]&lt;=HorizonteMeses),1,0)</f>
        <v>0</v>
      </c>
      <c r="E244" s="40">
        <f>TModelo[[#This Row],[Act]]*(INFb+(INFpi0-INFb)*(1-INFa)^TModelo[[#This Row],[Period]])</f>
        <v>0</v>
      </c>
      <c r="F244" s="28">
        <f>IF(TModelo[[#This Row],[Period]]&lt;=HorizonteMeses,F243*(1+TModelo[[#This Row],[InflMes]]),0)</f>
        <v>0</v>
      </c>
      <c r="G244" s="21">
        <f>TModelo[[#This Row],[Act]]*(CDTb+(CDTx0-CDTb)*(1-CDTa)^TModelo[[#This Row],[Period]]+CDTspread)</f>
        <v>0</v>
      </c>
      <c r="H244" s="40">
        <f>TModelo[[#This Row],[Act]]*((1+TModelo[[#This Row],[TasaCDT]])^(1/12)-1)*(1-Retencion)</f>
        <v>0</v>
      </c>
      <c r="I244" s="40">
        <f>TModelo[[#This Row],[Act]]*(EXP(MuCOLCAP+SigmaCOLCAP^2/2)-1)</f>
        <v>0</v>
      </c>
      <c r="J244" s="40">
        <f>TModelo[[#This Row],[Act]]*(EXP(MuTRM+SigmaTRM^2/2)-1)</f>
        <v>0</v>
      </c>
      <c r="K244" s="11">
        <f>TModelo[[#This Row],[Act]]*IF(Rebalanceo="Mensual",1,IF(Rebalanceo="Anual",IF(MOD(TModelo[[#This Row],[Period]]-1,12)=0,1,0),0))</f>
        <v>0</v>
      </c>
      <c r="L244" s="24">
        <f>TModelo[[#This Row],[Act]]*AporteMensual*IF(CrecimientoAporte="Con IPC",F243,1)</f>
        <v>0</v>
      </c>
      <c r="M244" s="24">
        <f>IF(TModelo[[#This Row],[Period]]=HorizonteMeses,TModelo[[#This Row],[TotalPreLiq]],0)</f>
        <v>0</v>
      </c>
      <c r="N244" s="24">
        <f>TModelo[[#This Row],[Inflow]]-TModelo[[#This Row],[Outflow]]</f>
        <v>0</v>
      </c>
      <c r="O244" s="24">
        <f t="shared" si="3"/>
        <v>0</v>
      </c>
      <c r="P244" s="24">
        <f>TModelo[[#This Row],[IntCDT]]+TModelo[[#This Row],[IntCOLCAP]]+TModelo[[#This Row],[IntUSD]]</f>
        <v>0</v>
      </c>
      <c r="Q244" s="24">
        <f>TModelo[[#This Row],[InitialBalance]]+TModelo[[#This Row],[Interest]]+TModelo[[#This Row],[Outflow]]-TModelo[[#This Row],[Inflow]]</f>
        <v>0</v>
      </c>
      <c r="R244" s="24">
        <f>TModelo[[#This Row],[Act]]*IF(TModelo[[#This Row],[Rebal]]=1,PesoCDT*(X243+Y243+Z243),X243)</f>
        <v>0</v>
      </c>
      <c r="S244" s="24">
        <f>TModelo[[#This Row],[Act]]*IF(TModelo[[#This Row],[Rebal]]=1,PesoCOLCAP*(X243+Y243+Z243),Y243)</f>
        <v>0</v>
      </c>
      <c r="T244" s="24">
        <f>TModelo[[#This Row],[Act]]*IF(TModelo[[#This Row],[Rebal]]=1,PesoUSD*(X243+Y243+Z243),Z243)</f>
        <v>0</v>
      </c>
      <c r="U244" s="24">
        <f>TModelo[[#This Row],[IniCDT]]*TModelo[[#This Row],[RetCDT]]</f>
        <v>0</v>
      </c>
      <c r="V244" s="24">
        <f>TModelo[[#This Row],[IniCOLCAP]]*TModelo[[#This Row],[RetCOLCAP]]</f>
        <v>0</v>
      </c>
      <c r="W244" s="24">
        <f>TModelo[[#This Row],[IniUSD]]*TModelo[[#This Row],[RetUSD]]</f>
        <v>0</v>
      </c>
      <c r="X244" s="24">
        <f>TModelo[[#This Row],[Act]]*(TModelo[[#This Row],[IniCDT]]+TModelo[[#This Row],[IntCDT]]+PesoCDT*TModelo[[#This Row],[Outflow]])</f>
        <v>0</v>
      </c>
      <c r="Y244" s="24">
        <f>TModelo[[#This Row],[Act]]*(TModelo[[#This Row],[IniCOLCAP]]+TModelo[[#This Row],[IntCOLCAP]]+PesoCOLCAP*TModelo[[#This Row],[Outflow]])</f>
        <v>0</v>
      </c>
      <c r="Z244" s="24">
        <f>TModelo[[#This Row],[Act]]*(TModelo[[#This Row],[IniUSD]]+TModelo[[#This Row],[IntUSD]]+PesoUSD*TModelo[[#This Row],[Outflow]])</f>
        <v>0</v>
      </c>
      <c r="AA244" s="24">
        <f>TModelo[[#This Row],[BalCDT]]+TModelo[[#This Row],[BalCOLCAP]]+TModelo[[#This Row],[BalUSD]]</f>
        <v>0</v>
      </c>
      <c r="AB244" s="24">
        <f>IF(TModelo[[#This Row],[CumInfl]]&gt;0,TModelo[[#This Row],[TotalPreLiq]]/TModelo[[#This Row],[CumInfl]],0)</f>
        <v>0</v>
      </c>
      <c r="AC244" s="41">
        <f>(1+PerRate)^(-TModelo[[#This Row],[Period]])</f>
        <v>0.18433170460032186</v>
      </c>
      <c r="AD244" s="42">
        <f>TModelo[[#This Row],[NetCF]]*TModelo[[#This Row],[fd]]</f>
        <v>0</v>
      </c>
    </row>
    <row r="245" spans="2:30" ht="16.95" customHeight="1">
      <c r="B245" s="11">
        <v>218</v>
      </c>
      <c r="C245" s="25">
        <f>EDATE(FechaInicio,TModelo[[#This Row],[Period]])</f>
        <v>52930</v>
      </c>
      <c r="D245" s="11">
        <f>IF(AND(TModelo[[#This Row],[Period]]&gt;=1,TModelo[[#This Row],[Period]]&lt;=HorizonteMeses),1,0)</f>
        <v>0</v>
      </c>
      <c r="E245" s="40">
        <f>TModelo[[#This Row],[Act]]*(INFb+(INFpi0-INFb)*(1-INFa)^TModelo[[#This Row],[Period]])</f>
        <v>0</v>
      </c>
      <c r="F245" s="28">
        <f>IF(TModelo[[#This Row],[Period]]&lt;=HorizonteMeses,F244*(1+TModelo[[#This Row],[InflMes]]),0)</f>
        <v>0</v>
      </c>
      <c r="G245" s="21">
        <f>TModelo[[#This Row],[Act]]*(CDTb+(CDTx0-CDTb)*(1-CDTa)^TModelo[[#This Row],[Period]]+CDTspread)</f>
        <v>0</v>
      </c>
      <c r="H245" s="40">
        <f>TModelo[[#This Row],[Act]]*((1+TModelo[[#This Row],[TasaCDT]])^(1/12)-1)*(1-Retencion)</f>
        <v>0</v>
      </c>
      <c r="I245" s="40">
        <f>TModelo[[#This Row],[Act]]*(EXP(MuCOLCAP+SigmaCOLCAP^2/2)-1)</f>
        <v>0</v>
      </c>
      <c r="J245" s="40">
        <f>TModelo[[#This Row],[Act]]*(EXP(MuTRM+SigmaTRM^2/2)-1)</f>
        <v>0</v>
      </c>
      <c r="K245" s="11">
        <f>TModelo[[#This Row],[Act]]*IF(Rebalanceo="Mensual",1,IF(Rebalanceo="Anual",IF(MOD(TModelo[[#This Row],[Period]]-1,12)=0,1,0),0))</f>
        <v>0</v>
      </c>
      <c r="L245" s="24">
        <f>TModelo[[#This Row],[Act]]*AporteMensual*IF(CrecimientoAporte="Con IPC",F244,1)</f>
        <v>0</v>
      </c>
      <c r="M245" s="24">
        <f>IF(TModelo[[#This Row],[Period]]=HorizonteMeses,TModelo[[#This Row],[TotalPreLiq]],0)</f>
        <v>0</v>
      </c>
      <c r="N245" s="24">
        <f>TModelo[[#This Row],[Inflow]]-TModelo[[#This Row],[Outflow]]</f>
        <v>0</v>
      </c>
      <c r="O245" s="24">
        <f t="shared" si="3"/>
        <v>0</v>
      </c>
      <c r="P245" s="24">
        <f>TModelo[[#This Row],[IntCDT]]+TModelo[[#This Row],[IntCOLCAP]]+TModelo[[#This Row],[IntUSD]]</f>
        <v>0</v>
      </c>
      <c r="Q245" s="24">
        <f>TModelo[[#This Row],[InitialBalance]]+TModelo[[#This Row],[Interest]]+TModelo[[#This Row],[Outflow]]-TModelo[[#This Row],[Inflow]]</f>
        <v>0</v>
      </c>
      <c r="R245" s="24">
        <f>TModelo[[#This Row],[Act]]*IF(TModelo[[#This Row],[Rebal]]=1,PesoCDT*(X244+Y244+Z244),X244)</f>
        <v>0</v>
      </c>
      <c r="S245" s="24">
        <f>TModelo[[#This Row],[Act]]*IF(TModelo[[#This Row],[Rebal]]=1,PesoCOLCAP*(X244+Y244+Z244),Y244)</f>
        <v>0</v>
      </c>
      <c r="T245" s="24">
        <f>TModelo[[#This Row],[Act]]*IF(TModelo[[#This Row],[Rebal]]=1,PesoUSD*(X244+Y244+Z244),Z244)</f>
        <v>0</v>
      </c>
      <c r="U245" s="24">
        <f>TModelo[[#This Row],[IniCDT]]*TModelo[[#This Row],[RetCDT]]</f>
        <v>0</v>
      </c>
      <c r="V245" s="24">
        <f>TModelo[[#This Row],[IniCOLCAP]]*TModelo[[#This Row],[RetCOLCAP]]</f>
        <v>0</v>
      </c>
      <c r="W245" s="24">
        <f>TModelo[[#This Row],[IniUSD]]*TModelo[[#This Row],[RetUSD]]</f>
        <v>0</v>
      </c>
      <c r="X245" s="24">
        <f>TModelo[[#This Row],[Act]]*(TModelo[[#This Row],[IniCDT]]+TModelo[[#This Row],[IntCDT]]+PesoCDT*TModelo[[#This Row],[Outflow]])</f>
        <v>0</v>
      </c>
      <c r="Y245" s="24">
        <f>TModelo[[#This Row],[Act]]*(TModelo[[#This Row],[IniCOLCAP]]+TModelo[[#This Row],[IntCOLCAP]]+PesoCOLCAP*TModelo[[#This Row],[Outflow]])</f>
        <v>0</v>
      </c>
      <c r="Z245" s="24">
        <f>TModelo[[#This Row],[Act]]*(TModelo[[#This Row],[IniUSD]]+TModelo[[#This Row],[IntUSD]]+PesoUSD*TModelo[[#This Row],[Outflow]])</f>
        <v>0</v>
      </c>
      <c r="AA245" s="24">
        <f>TModelo[[#This Row],[BalCDT]]+TModelo[[#This Row],[BalCOLCAP]]+TModelo[[#This Row],[BalUSD]]</f>
        <v>0</v>
      </c>
      <c r="AB245" s="24">
        <f>IF(TModelo[[#This Row],[CumInfl]]&gt;0,TModelo[[#This Row],[TotalPreLiq]]/TModelo[[#This Row],[CumInfl]],0)</f>
        <v>0</v>
      </c>
      <c r="AC245" s="41">
        <f>(1+PerRate)^(-TModelo[[#This Row],[Period]])</f>
        <v>0.18290084318659947</v>
      </c>
      <c r="AD245" s="42">
        <f>TModelo[[#This Row],[NetCF]]*TModelo[[#This Row],[fd]]</f>
        <v>0</v>
      </c>
    </row>
    <row r="246" spans="2:30" ht="16.95" customHeight="1">
      <c r="B246" s="11">
        <v>219</v>
      </c>
      <c r="C246" s="25">
        <f>EDATE(FechaInicio,TModelo[[#This Row],[Period]])</f>
        <v>52960</v>
      </c>
      <c r="D246" s="11">
        <f>IF(AND(TModelo[[#This Row],[Period]]&gt;=1,TModelo[[#This Row],[Period]]&lt;=HorizonteMeses),1,0)</f>
        <v>0</v>
      </c>
      <c r="E246" s="40">
        <f>TModelo[[#This Row],[Act]]*(INFb+(INFpi0-INFb)*(1-INFa)^TModelo[[#This Row],[Period]])</f>
        <v>0</v>
      </c>
      <c r="F246" s="28">
        <f>IF(TModelo[[#This Row],[Period]]&lt;=HorizonteMeses,F245*(1+TModelo[[#This Row],[InflMes]]),0)</f>
        <v>0</v>
      </c>
      <c r="G246" s="21">
        <f>TModelo[[#This Row],[Act]]*(CDTb+(CDTx0-CDTb)*(1-CDTa)^TModelo[[#This Row],[Period]]+CDTspread)</f>
        <v>0</v>
      </c>
      <c r="H246" s="40">
        <f>TModelo[[#This Row],[Act]]*((1+TModelo[[#This Row],[TasaCDT]])^(1/12)-1)*(1-Retencion)</f>
        <v>0</v>
      </c>
      <c r="I246" s="40">
        <f>TModelo[[#This Row],[Act]]*(EXP(MuCOLCAP+SigmaCOLCAP^2/2)-1)</f>
        <v>0</v>
      </c>
      <c r="J246" s="40">
        <f>TModelo[[#This Row],[Act]]*(EXP(MuTRM+SigmaTRM^2/2)-1)</f>
        <v>0</v>
      </c>
      <c r="K246" s="11">
        <f>TModelo[[#This Row],[Act]]*IF(Rebalanceo="Mensual",1,IF(Rebalanceo="Anual",IF(MOD(TModelo[[#This Row],[Period]]-1,12)=0,1,0),0))</f>
        <v>0</v>
      </c>
      <c r="L246" s="24">
        <f>TModelo[[#This Row],[Act]]*AporteMensual*IF(CrecimientoAporte="Con IPC",F245,1)</f>
        <v>0</v>
      </c>
      <c r="M246" s="24">
        <f>IF(TModelo[[#This Row],[Period]]=HorizonteMeses,TModelo[[#This Row],[TotalPreLiq]],0)</f>
        <v>0</v>
      </c>
      <c r="N246" s="24">
        <f>TModelo[[#This Row],[Inflow]]-TModelo[[#This Row],[Outflow]]</f>
        <v>0</v>
      </c>
      <c r="O246" s="24">
        <f t="shared" si="3"/>
        <v>0</v>
      </c>
      <c r="P246" s="24">
        <f>TModelo[[#This Row],[IntCDT]]+TModelo[[#This Row],[IntCOLCAP]]+TModelo[[#This Row],[IntUSD]]</f>
        <v>0</v>
      </c>
      <c r="Q246" s="24">
        <f>TModelo[[#This Row],[InitialBalance]]+TModelo[[#This Row],[Interest]]+TModelo[[#This Row],[Outflow]]-TModelo[[#This Row],[Inflow]]</f>
        <v>0</v>
      </c>
      <c r="R246" s="24">
        <f>TModelo[[#This Row],[Act]]*IF(TModelo[[#This Row],[Rebal]]=1,PesoCDT*(X245+Y245+Z245),X245)</f>
        <v>0</v>
      </c>
      <c r="S246" s="24">
        <f>TModelo[[#This Row],[Act]]*IF(TModelo[[#This Row],[Rebal]]=1,PesoCOLCAP*(X245+Y245+Z245),Y245)</f>
        <v>0</v>
      </c>
      <c r="T246" s="24">
        <f>TModelo[[#This Row],[Act]]*IF(TModelo[[#This Row],[Rebal]]=1,PesoUSD*(X245+Y245+Z245),Z245)</f>
        <v>0</v>
      </c>
      <c r="U246" s="24">
        <f>TModelo[[#This Row],[IniCDT]]*TModelo[[#This Row],[RetCDT]]</f>
        <v>0</v>
      </c>
      <c r="V246" s="24">
        <f>TModelo[[#This Row],[IniCOLCAP]]*TModelo[[#This Row],[RetCOLCAP]]</f>
        <v>0</v>
      </c>
      <c r="W246" s="24">
        <f>TModelo[[#This Row],[IniUSD]]*TModelo[[#This Row],[RetUSD]]</f>
        <v>0</v>
      </c>
      <c r="X246" s="24">
        <f>TModelo[[#This Row],[Act]]*(TModelo[[#This Row],[IniCDT]]+TModelo[[#This Row],[IntCDT]]+PesoCDT*TModelo[[#This Row],[Outflow]])</f>
        <v>0</v>
      </c>
      <c r="Y246" s="24">
        <f>TModelo[[#This Row],[Act]]*(TModelo[[#This Row],[IniCOLCAP]]+TModelo[[#This Row],[IntCOLCAP]]+PesoCOLCAP*TModelo[[#This Row],[Outflow]])</f>
        <v>0</v>
      </c>
      <c r="Z246" s="24">
        <f>TModelo[[#This Row],[Act]]*(TModelo[[#This Row],[IniUSD]]+TModelo[[#This Row],[IntUSD]]+PesoUSD*TModelo[[#This Row],[Outflow]])</f>
        <v>0</v>
      </c>
      <c r="AA246" s="24">
        <f>TModelo[[#This Row],[BalCDT]]+TModelo[[#This Row],[BalCOLCAP]]+TModelo[[#This Row],[BalUSD]]</f>
        <v>0</v>
      </c>
      <c r="AB246" s="24">
        <f>IF(TModelo[[#This Row],[CumInfl]]&gt;0,TModelo[[#This Row],[TotalPreLiq]]/TModelo[[#This Row],[CumInfl]],0)</f>
        <v>0</v>
      </c>
      <c r="AC246" s="41">
        <f>(1+PerRate)^(-TModelo[[#This Row],[Period]])</f>
        <v>0.18148108873024899</v>
      </c>
      <c r="AD246" s="42">
        <f>TModelo[[#This Row],[NetCF]]*TModelo[[#This Row],[fd]]</f>
        <v>0</v>
      </c>
    </row>
    <row r="247" spans="2:30" ht="16.95" customHeight="1">
      <c r="B247" s="11">
        <v>220</v>
      </c>
      <c r="C247" s="25">
        <f>EDATE(FechaInicio,TModelo[[#This Row],[Period]])</f>
        <v>52991</v>
      </c>
      <c r="D247" s="11">
        <f>IF(AND(TModelo[[#This Row],[Period]]&gt;=1,TModelo[[#This Row],[Period]]&lt;=HorizonteMeses),1,0)</f>
        <v>0</v>
      </c>
      <c r="E247" s="40">
        <f>TModelo[[#This Row],[Act]]*(INFb+(INFpi0-INFb)*(1-INFa)^TModelo[[#This Row],[Period]])</f>
        <v>0</v>
      </c>
      <c r="F247" s="28">
        <f>IF(TModelo[[#This Row],[Period]]&lt;=HorizonteMeses,F246*(1+TModelo[[#This Row],[InflMes]]),0)</f>
        <v>0</v>
      </c>
      <c r="G247" s="21">
        <f>TModelo[[#This Row],[Act]]*(CDTb+(CDTx0-CDTb)*(1-CDTa)^TModelo[[#This Row],[Period]]+CDTspread)</f>
        <v>0</v>
      </c>
      <c r="H247" s="40">
        <f>TModelo[[#This Row],[Act]]*((1+TModelo[[#This Row],[TasaCDT]])^(1/12)-1)*(1-Retencion)</f>
        <v>0</v>
      </c>
      <c r="I247" s="40">
        <f>TModelo[[#This Row],[Act]]*(EXP(MuCOLCAP+SigmaCOLCAP^2/2)-1)</f>
        <v>0</v>
      </c>
      <c r="J247" s="40">
        <f>TModelo[[#This Row],[Act]]*(EXP(MuTRM+SigmaTRM^2/2)-1)</f>
        <v>0</v>
      </c>
      <c r="K247" s="11">
        <f>TModelo[[#This Row],[Act]]*IF(Rebalanceo="Mensual",1,IF(Rebalanceo="Anual",IF(MOD(TModelo[[#This Row],[Period]]-1,12)=0,1,0),0))</f>
        <v>0</v>
      </c>
      <c r="L247" s="24">
        <f>TModelo[[#This Row],[Act]]*AporteMensual*IF(CrecimientoAporte="Con IPC",F246,1)</f>
        <v>0</v>
      </c>
      <c r="M247" s="24">
        <f>IF(TModelo[[#This Row],[Period]]=HorizonteMeses,TModelo[[#This Row],[TotalPreLiq]],0)</f>
        <v>0</v>
      </c>
      <c r="N247" s="24">
        <f>TModelo[[#This Row],[Inflow]]-TModelo[[#This Row],[Outflow]]</f>
        <v>0</v>
      </c>
      <c r="O247" s="24">
        <f t="shared" si="3"/>
        <v>0</v>
      </c>
      <c r="P247" s="24">
        <f>TModelo[[#This Row],[IntCDT]]+TModelo[[#This Row],[IntCOLCAP]]+TModelo[[#This Row],[IntUSD]]</f>
        <v>0</v>
      </c>
      <c r="Q247" s="24">
        <f>TModelo[[#This Row],[InitialBalance]]+TModelo[[#This Row],[Interest]]+TModelo[[#This Row],[Outflow]]-TModelo[[#This Row],[Inflow]]</f>
        <v>0</v>
      </c>
      <c r="R247" s="24">
        <f>TModelo[[#This Row],[Act]]*IF(TModelo[[#This Row],[Rebal]]=1,PesoCDT*(X246+Y246+Z246),X246)</f>
        <v>0</v>
      </c>
      <c r="S247" s="24">
        <f>TModelo[[#This Row],[Act]]*IF(TModelo[[#This Row],[Rebal]]=1,PesoCOLCAP*(X246+Y246+Z246),Y246)</f>
        <v>0</v>
      </c>
      <c r="T247" s="24">
        <f>TModelo[[#This Row],[Act]]*IF(TModelo[[#This Row],[Rebal]]=1,PesoUSD*(X246+Y246+Z246),Z246)</f>
        <v>0</v>
      </c>
      <c r="U247" s="24">
        <f>TModelo[[#This Row],[IniCDT]]*TModelo[[#This Row],[RetCDT]]</f>
        <v>0</v>
      </c>
      <c r="V247" s="24">
        <f>TModelo[[#This Row],[IniCOLCAP]]*TModelo[[#This Row],[RetCOLCAP]]</f>
        <v>0</v>
      </c>
      <c r="W247" s="24">
        <f>TModelo[[#This Row],[IniUSD]]*TModelo[[#This Row],[RetUSD]]</f>
        <v>0</v>
      </c>
      <c r="X247" s="24">
        <f>TModelo[[#This Row],[Act]]*(TModelo[[#This Row],[IniCDT]]+TModelo[[#This Row],[IntCDT]]+PesoCDT*TModelo[[#This Row],[Outflow]])</f>
        <v>0</v>
      </c>
      <c r="Y247" s="24">
        <f>TModelo[[#This Row],[Act]]*(TModelo[[#This Row],[IniCOLCAP]]+TModelo[[#This Row],[IntCOLCAP]]+PesoCOLCAP*TModelo[[#This Row],[Outflow]])</f>
        <v>0</v>
      </c>
      <c r="Z247" s="24">
        <f>TModelo[[#This Row],[Act]]*(TModelo[[#This Row],[IniUSD]]+TModelo[[#This Row],[IntUSD]]+PesoUSD*TModelo[[#This Row],[Outflow]])</f>
        <v>0</v>
      </c>
      <c r="AA247" s="24">
        <f>TModelo[[#This Row],[BalCDT]]+TModelo[[#This Row],[BalCOLCAP]]+TModelo[[#This Row],[BalUSD]]</f>
        <v>0</v>
      </c>
      <c r="AB247" s="24">
        <f>IF(TModelo[[#This Row],[CumInfl]]&gt;0,TModelo[[#This Row],[TotalPreLiq]]/TModelo[[#This Row],[CumInfl]],0)</f>
        <v>0</v>
      </c>
      <c r="AC247" s="41">
        <f>(1+PerRate)^(-TModelo[[#This Row],[Period]])</f>
        <v>0.18007235501432389</v>
      </c>
      <c r="AD247" s="42">
        <f>TModelo[[#This Row],[NetCF]]*TModelo[[#This Row],[fd]]</f>
        <v>0</v>
      </c>
    </row>
    <row r="248" spans="2:30" ht="16.95" customHeight="1">
      <c r="B248" s="11">
        <v>221</v>
      </c>
      <c r="C248" s="25">
        <f>EDATE(FechaInicio,TModelo[[#This Row],[Period]])</f>
        <v>53021</v>
      </c>
      <c r="D248" s="11">
        <f>IF(AND(TModelo[[#This Row],[Period]]&gt;=1,TModelo[[#This Row],[Period]]&lt;=HorizonteMeses),1,0)</f>
        <v>0</v>
      </c>
      <c r="E248" s="40">
        <f>TModelo[[#This Row],[Act]]*(INFb+(INFpi0-INFb)*(1-INFa)^TModelo[[#This Row],[Period]])</f>
        <v>0</v>
      </c>
      <c r="F248" s="28">
        <f>IF(TModelo[[#This Row],[Period]]&lt;=HorizonteMeses,F247*(1+TModelo[[#This Row],[InflMes]]),0)</f>
        <v>0</v>
      </c>
      <c r="G248" s="21">
        <f>TModelo[[#This Row],[Act]]*(CDTb+(CDTx0-CDTb)*(1-CDTa)^TModelo[[#This Row],[Period]]+CDTspread)</f>
        <v>0</v>
      </c>
      <c r="H248" s="40">
        <f>TModelo[[#This Row],[Act]]*((1+TModelo[[#This Row],[TasaCDT]])^(1/12)-1)*(1-Retencion)</f>
        <v>0</v>
      </c>
      <c r="I248" s="40">
        <f>TModelo[[#This Row],[Act]]*(EXP(MuCOLCAP+SigmaCOLCAP^2/2)-1)</f>
        <v>0</v>
      </c>
      <c r="J248" s="40">
        <f>TModelo[[#This Row],[Act]]*(EXP(MuTRM+SigmaTRM^2/2)-1)</f>
        <v>0</v>
      </c>
      <c r="K248" s="11">
        <f>TModelo[[#This Row],[Act]]*IF(Rebalanceo="Mensual",1,IF(Rebalanceo="Anual",IF(MOD(TModelo[[#This Row],[Period]]-1,12)=0,1,0),0))</f>
        <v>0</v>
      </c>
      <c r="L248" s="24">
        <f>TModelo[[#This Row],[Act]]*AporteMensual*IF(CrecimientoAporte="Con IPC",F247,1)</f>
        <v>0</v>
      </c>
      <c r="M248" s="24">
        <f>IF(TModelo[[#This Row],[Period]]=HorizonteMeses,TModelo[[#This Row],[TotalPreLiq]],0)</f>
        <v>0</v>
      </c>
      <c r="N248" s="24">
        <f>TModelo[[#This Row],[Inflow]]-TModelo[[#This Row],[Outflow]]</f>
        <v>0</v>
      </c>
      <c r="O248" s="24">
        <f t="shared" si="3"/>
        <v>0</v>
      </c>
      <c r="P248" s="24">
        <f>TModelo[[#This Row],[IntCDT]]+TModelo[[#This Row],[IntCOLCAP]]+TModelo[[#This Row],[IntUSD]]</f>
        <v>0</v>
      </c>
      <c r="Q248" s="24">
        <f>TModelo[[#This Row],[InitialBalance]]+TModelo[[#This Row],[Interest]]+TModelo[[#This Row],[Outflow]]-TModelo[[#This Row],[Inflow]]</f>
        <v>0</v>
      </c>
      <c r="R248" s="24">
        <f>TModelo[[#This Row],[Act]]*IF(TModelo[[#This Row],[Rebal]]=1,PesoCDT*(X247+Y247+Z247),X247)</f>
        <v>0</v>
      </c>
      <c r="S248" s="24">
        <f>TModelo[[#This Row],[Act]]*IF(TModelo[[#This Row],[Rebal]]=1,PesoCOLCAP*(X247+Y247+Z247),Y247)</f>
        <v>0</v>
      </c>
      <c r="T248" s="24">
        <f>TModelo[[#This Row],[Act]]*IF(TModelo[[#This Row],[Rebal]]=1,PesoUSD*(X247+Y247+Z247),Z247)</f>
        <v>0</v>
      </c>
      <c r="U248" s="24">
        <f>TModelo[[#This Row],[IniCDT]]*TModelo[[#This Row],[RetCDT]]</f>
        <v>0</v>
      </c>
      <c r="V248" s="24">
        <f>TModelo[[#This Row],[IniCOLCAP]]*TModelo[[#This Row],[RetCOLCAP]]</f>
        <v>0</v>
      </c>
      <c r="W248" s="24">
        <f>TModelo[[#This Row],[IniUSD]]*TModelo[[#This Row],[RetUSD]]</f>
        <v>0</v>
      </c>
      <c r="X248" s="24">
        <f>TModelo[[#This Row],[Act]]*(TModelo[[#This Row],[IniCDT]]+TModelo[[#This Row],[IntCDT]]+PesoCDT*TModelo[[#This Row],[Outflow]])</f>
        <v>0</v>
      </c>
      <c r="Y248" s="24">
        <f>TModelo[[#This Row],[Act]]*(TModelo[[#This Row],[IniCOLCAP]]+TModelo[[#This Row],[IntCOLCAP]]+PesoCOLCAP*TModelo[[#This Row],[Outflow]])</f>
        <v>0</v>
      </c>
      <c r="Z248" s="24">
        <f>TModelo[[#This Row],[Act]]*(TModelo[[#This Row],[IniUSD]]+TModelo[[#This Row],[IntUSD]]+PesoUSD*TModelo[[#This Row],[Outflow]])</f>
        <v>0</v>
      </c>
      <c r="AA248" s="24">
        <f>TModelo[[#This Row],[BalCDT]]+TModelo[[#This Row],[BalCOLCAP]]+TModelo[[#This Row],[BalUSD]]</f>
        <v>0</v>
      </c>
      <c r="AB248" s="24">
        <f>IF(TModelo[[#This Row],[CumInfl]]&gt;0,TModelo[[#This Row],[TotalPreLiq]]/TModelo[[#This Row],[CumInfl]],0)</f>
        <v>0</v>
      </c>
      <c r="AC248" s="41">
        <f>(1+PerRate)^(-TModelo[[#This Row],[Period]])</f>
        <v>0.17867455649113018</v>
      </c>
      <c r="AD248" s="42">
        <f>TModelo[[#This Row],[NetCF]]*TModelo[[#This Row],[fd]]</f>
        <v>0</v>
      </c>
    </row>
    <row r="249" spans="2:30" ht="16.95" customHeight="1">
      <c r="B249" s="11">
        <v>222</v>
      </c>
      <c r="C249" s="25">
        <f>EDATE(FechaInicio,TModelo[[#This Row],[Period]])</f>
        <v>53050</v>
      </c>
      <c r="D249" s="11">
        <f>IF(AND(TModelo[[#This Row],[Period]]&gt;=1,TModelo[[#This Row],[Period]]&lt;=HorizonteMeses),1,0)</f>
        <v>0</v>
      </c>
      <c r="E249" s="40">
        <f>TModelo[[#This Row],[Act]]*(INFb+(INFpi0-INFb)*(1-INFa)^TModelo[[#This Row],[Period]])</f>
        <v>0</v>
      </c>
      <c r="F249" s="28">
        <f>IF(TModelo[[#This Row],[Period]]&lt;=HorizonteMeses,F248*(1+TModelo[[#This Row],[InflMes]]),0)</f>
        <v>0</v>
      </c>
      <c r="G249" s="21">
        <f>TModelo[[#This Row],[Act]]*(CDTb+(CDTx0-CDTb)*(1-CDTa)^TModelo[[#This Row],[Period]]+CDTspread)</f>
        <v>0</v>
      </c>
      <c r="H249" s="40">
        <f>TModelo[[#This Row],[Act]]*((1+TModelo[[#This Row],[TasaCDT]])^(1/12)-1)*(1-Retencion)</f>
        <v>0</v>
      </c>
      <c r="I249" s="40">
        <f>TModelo[[#This Row],[Act]]*(EXP(MuCOLCAP+SigmaCOLCAP^2/2)-1)</f>
        <v>0</v>
      </c>
      <c r="J249" s="40">
        <f>TModelo[[#This Row],[Act]]*(EXP(MuTRM+SigmaTRM^2/2)-1)</f>
        <v>0</v>
      </c>
      <c r="K249" s="11">
        <f>TModelo[[#This Row],[Act]]*IF(Rebalanceo="Mensual",1,IF(Rebalanceo="Anual",IF(MOD(TModelo[[#This Row],[Period]]-1,12)=0,1,0),0))</f>
        <v>0</v>
      </c>
      <c r="L249" s="24">
        <f>TModelo[[#This Row],[Act]]*AporteMensual*IF(CrecimientoAporte="Con IPC",F248,1)</f>
        <v>0</v>
      </c>
      <c r="M249" s="24">
        <f>IF(TModelo[[#This Row],[Period]]=HorizonteMeses,TModelo[[#This Row],[TotalPreLiq]],0)</f>
        <v>0</v>
      </c>
      <c r="N249" s="24">
        <f>TModelo[[#This Row],[Inflow]]-TModelo[[#This Row],[Outflow]]</f>
        <v>0</v>
      </c>
      <c r="O249" s="24">
        <f t="shared" si="3"/>
        <v>0</v>
      </c>
      <c r="P249" s="24">
        <f>TModelo[[#This Row],[IntCDT]]+TModelo[[#This Row],[IntCOLCAP]]+TModelo[[#This Row],[IntUSD]]</f>
        <v>0</v>
      </c>
      <c r="Q249" s="24">
        <f>TModelo[[#This Row],[InitialBalance]]+TModelo[[#This Row],[Interest]]+TModelo[[#This Row],[Outflow]]-TModelo[[#This Row],[Inflow]]</f>
        <v>0</v>
      </c>
      <c r="R249" s="24">
        <f>TModelo[[#This Row],[Act]]*IF(TModelo[[#This Row],[Rebal]]=1,PesoCDT*(X248+Y248+Z248),X248)</f>
        <v>0</v>
      </c>
      <c r="S249" s="24">
        <f>TModelo[[#This Row],[Act]]*IF(TModelo[[#This Row],[Rebal]]=1,PesoCOLCAP*(X248+Y248+Z248),Y248)</f>
        <v>0</v>
      </c>
      <c r="T249" s="24">
        <f>TModelo[[#This Row],[Act]]*IF(TModelo[[#This Row],[Rebal]]=1,PesoUSD*(X248+Y248+Z248),Z248)</f>
        <v>0</v>
      </c>
      <c r="U249" s="24">
        <f>TModelo[[#This Row],[IniCDT]]*TModelo[[#This Row],[RetCDT]]</f>
        <v>0</v>
      </c>
      <c r="V249" s="24">
        <f>TModelo[[#This Row],[IniCOLCAP]]*TModelo[[#This Row],[RetCOLCAP]]</f>
        <v>0</v>
      </c>
      <c r="W249" s="24">
        <f>TModelo[[#This Row],[IniUSD]]*TModelo[[#This Row],[RetUSD]]</f>
        <v>0</v>
      </c>
      <c r="X249" s="24">
        <f>TModelo[[#This Row],[Act]]*(TModelo[[#This Row],[IniCDT]]+TModelo[[#This Row],[IntCDT]]+PesoCDT*TModelo[[#This Row],[Outflow]])</f>
        <v>0</v>
      </c>
      <c r="Y249" s="24">
        <f>TModelo[[#This Row],[Act]]*(TModelo[[#This Row],[IniCOLCAP]]+TModelo[[#This Row],[IntCOLCAP]]+PesoCOLCAP*TModelo[[#This Row],[Outflow]])</f>
        <v>0</v>
      </c>
      <c r="Z249" s="24">
        <f>TModelo[[#This Row],[Act]]*(TModelo[[#This Row],[IniUSD]]+TModelo[[#This Row],[IntUSD]]+PesoUSD*TModelo[[#This Row],[Outflow]])</f>
        <v>0</v>
      </c>
      <c r="AA249" s="24">
        <f>TModelo[[#This Row],[BalCDT]]+TModelo[[#This Row],[BalCOLCAP]]+TModelo[[#This Row],[BalUSD]]</f>
        <v>0</v>
      </c>
      <c r="AB249" s="24">
        <f>IF(TModelo[[#This Row],[CumInfl]]&gt;0,TModelo[[#This Row],[TotalPreLiq]]/TModelo[[#This Row],[CumInfl]],0)</f>
        <v>0</v>
      </c>
      <c r="AC249" s="41">
        <f>(1+PerRate)^(-TModelo[[#This Row],[Period]])</f>
        <v>0.17728760827703188</v>
      </c>
      <c r="AD249" s="42">
        <f>TModelo[[#This Row],[NetCF]]*TModelo[[#This Row],[fd]]</f>
        <v>0</v>
      </c>
    </row>
    <row r="250" spans="2:30" ht="16.95" customHeight="1">
      <c r="B250" s="11">
        <v>223</v>
      </c>
      <c r="C250" s="25">
        <f>EDATE(FechaInicio,TModelo[[#This Row],[Period]])</f>
        <v>53081</v>
      </c>
      <c r="D250" s="11">
        <f>IF(AND(TModelo[[#This Row],[Period]]&gt;=1,TModelo[[#This Row],[Period]]&lt;=HorizonteMeses),1,0)</f>
        <v>0</v>
      </c>
      <c r="E250" s="40">
        <f>TModelo[[#This Row],[Act]]*(INFb+(INFpi0-INFb)*(1-INFa)^TModelo[[#This Row],[Period]])</f>
        <v>0</v>
      </c>
      <c r="F250" s="28">
        <f>IF(TModelo[[#This Row],[Period]]&lt;=HorizonteMeses,F249*(1+TModelo[[#This Row],[InflMes]]),0)</f>
        <v>0</v>
      </c>
      <c r="G250" s="21">
        <f>TModelo[[#This Row],[Act]]*(CDTb+(CDTx0-CDTb)*(1-CDTa)^TModelo[[#This Row],[Period]]+CDTspread)</f>
        <v>0</v>
      </c>
      <c r="H250" s="40">
        <f>TModelo[[#This Row],[Act]]*((1+TModelo[[#This Row],[TasaCDT]])^(1/12)-1)*(1-Retencion)</f>
        <v>0</v>
      </c>
      <c r="I250" s="40">
        <f>TModelo[[#This Row],[Act]]*(EXP(MuCOLCAP+SigmaCOLCAP^2/2)-1)</f>
        <v>0</v>
      </c>
      <c r="J250" s="40">
        <f>TModelo[[#This Row],[Act]]*(EXP(MuTRM+SigmaTRM^2/2)-1)</f>
        <v>0</v>
      </c>
      <c r="K250" s="11">
        <f>TModelo[[#This Row],[Act]]*IF(Rebalanceo="Mensual",1,IF(Rebalanceo="Anual",IF(MOD(TModelo[[#This Row],[Period]]-1,12)=0,1,0),0))</f>
        <v>0</v>
      </c>
      <c r="L250" s="24">
        <f>TModelo[[#This Row],[Act]]*AporteMensual*IF(CrecimientoAporte="Con IPC",F249,1)</f>
        <v>0</v>
      </c>
      <c r="M250" s="24">
        <f>IF(TModelo[[#This Row],[Period]]=HorizonteMeses,TModelo[[#This Row],[TotalPreLiq]],0)</f>
        <v>0</v>
      </c>
      <c r="N250" s="24">
        <f>TModelo[[#This Row],[Inflow]]-TModelo[[#This Row],[Outflow]]</f>
        <v>0</v>
      </c>
      <c r="O250" s="24">
        <f t="shared" si="3"/>
        <v>0</v>
      </c>
      <c r="P250" s="24">
        <f>TModelo[[#This Row],[IntCDT]]+TModelo[[#This Row],[IntCOLCAP]]+TModelo[[#This Row],[IntUSD]]</f>
        <v>0</v>
      </c>
      <c r="Q250" s="24">
        <f>TModelo[[#This Row],[InitialBalance]]+TModelo[[#This Row],[Interest]]+TModelo[[#This Row],[Outflow]]-TModelo[[#This Row],[Inflow]]</f>
        <v>0</v>
      </c>
      <c r="R250" s="24">
        <f>TModelo[[#This Row],[Act]]*IF(TModelo[[#This Row],[Rebal]]=1,PesoCDT*(X249+Y249+Z249),X249)</f>
        <v>0</v>
      </c>
      <c r="S250" s="24">
        <f>TModelo[[#This Row],[Act]]*IF(TModelo[[#This Row],[Rebal]]=1,PesoCOLCAP*(X249+Y249+Z249),Y249)</f>
        <v>0</v>
      </c>
      <c r="T250" s="24">
        <f>TModelo[[#This Row],[Act]]*IF(TModelo[[#This Row],[Rebal]]=1,PesoUSD*(X249+Y249+Z249),Z249)</f>
        <v>0</v>
      </c>
      <c r="U250" s="24">
        <f>TModelo[[#This Row],[IniCDT]]*TModelo[[#This Row],[RetCDT]]</f>
        <v>0</v>
      </c>
      <c r="V250" s="24">
        <f>TModelo[[#This Row],[IniCOLCAP]]*TModelo[[#This Row],[RetCOLCAP]]</f>
        <v>0</v>
      </c>
      <c r="W250" s="24">
        <f>TModelo[[#This Row],[IniUSD]]*TModelo[[#This Row],[RetUSD]]</f>
        <v>0</v>
      </c>
      <c r="X250" s="24">
        <f>TModelo[[#This Row],[Act]]*(TModelo[[#This Row],[IniCDT]]+TModelo[[#This Row],[IntCDT]]+PesoCDT*TModelo[[#This Row],[Outflow]])</f>
        <v>0</v>
      </c>
      <c r="Y250" s="24">
        <f>TModelo[[#This Row],[Act]]*(TModelo[[#This Row],[IniCOLCAP]]+TModelo[[#This Row],[IntCOLCAP]]+PesoCOLCAP*TModelo[[#This Row],[Outflow]])</f>
        <v>0</v>
      </c>
      <c r="Z250" s="24">
        <f>TModelo[[#This Row],[Act]]*(TModelo[[#This Row],[IniUSD]]+TModelo[[#This Row],[IntUSD]]+PesoUSD*TModelo[[#This Row],[Outflow]])</f>
        <v>0</v>
      </c>
      <c r="AA250" s="24">
        <f>TModelo[[#This Row],[BalCDT]]+TModelo[[#This Row],[BalCOLCAP]]+TModelo[[#This Row],[BalUSD]]</f>
        <v>0</v>
      </c>
      <c r="AB250" s="24">
        <f>IF(TModelo[[#This Row],[CumInfl]]&gt;0,TModelo[[#This Row],[TotalPreLiq]]/TModelo[[#This Row],[CumInfl]],0)</f>
        <v>0</v>
      </c>
      <c r="AC250" s="41">
        <f>(1+PerRate)^(-TModelo[[#This Row],[Period]])</f>
        <v>0.17591142614729596</v>
      </c>
      <c r="AD250" s="42">
        <f>TModelo[[#This Row],[NetCF]]*TModelo[[#This Row],[fd]]</f>
        <v>0</v>
      </c>
    </row>
    <row r="251" spans="2:30" ht="16.95" customHeight="1">
      <c r="B251" s="11">
        <v>224</v>
      </c>
      <c r="C251" s="25">
        <f>EDATE(FechaInicio,TModelo[[#This Row],[Period]])</f>
        <v>53111</v>
      </c>
      <c r="D251" s="11">
        <f>IF(AND(TModelo[[#This Row],[Period]]&gt;=1,TModelo[[#This Row],[Period]]&lt;=HorizonteMeses),1,0)</f>
        <v>0</v>
      </c>
      <c r="E251" s="40">
        <f>TModelo[[#This Row],[Act]]*(INFb+(INFpi0-INFb)*(1-INFa)^TModelo[[#This Row],[Period]])</f>
        <v>0</v>
      </c>
      <c r="F251" s="28">
        <f>IF(TModelo[[#This Row],[Period]]&lt;=HorizonteMeses,F250*(1+TModelo[[#This Row],[InflMes]]),0)</f>
        <v>0</v>
      </c>
      <c r="G251" s="21">
        <f>TModelo[[#This Row],[Act]]*(CDTb+(CDTx0-CDTb)*(1-CDTa)^TModelo[[#This Row],[Period]]+CDTspread)</f>
        <v>0</v>
      </c>
      <c r="H251" s="40">
        <f>TModelo[[#This Row],[Act]]*((1+TModelo[[#This Row],[TasaCDT]])^(1/12)-1)*(1-Retencion)</f>
        <v>0</v>
      </c>
      <c r="I251" s="40">
        <f>TModelo[[#This Row],[Act]]*(EXP(MuCOLCAP+SigmaCOLCAP^2/2)-1)</f>
        <v>0</v>
      </c>
      <c r="J251" s="40">
        <f>TModelo[[#This Row],[Act]]*(EXP(MuTRM+SigmaTRM^2/2)-1)</f>
        <v>0</v>
      </c>
      <c r="K251" s="11">
        <f>TModelo[[#This Row],[Act]]*IF(Rebalanceo="Mensual",1,IF(Rebalanceo="Anual",IF(MOD(TModelo[[#This Row],[Period]]-1,12)=0,1,0),0))</f>
        <v>0</v>
      </c>
      <c r="L251" s="24">
        <f>TModelo[[#This Row],[Act]]*AporteMensual*IF(CrecimientoAporte="Con IPC",F250,1)</f>
        <v>0</v>
      </c>
      <c r="M251" s="24">
        <f>IF(TModelo[[#This Row],[Period]]=HorizonteMeses,TModelo[[#This Row],[TotalPreLiq]],0)</f>
        <v>0</v>
      </c>
      <c r="N251" s="24">
        <f>TModelo[[#This Row],[Inflow]]-TModelo[[#This Row],[Outflow]]</f>
        <v>0</v>
      </c>
      <c r="O251" s="24">
        <f t="shared" si="3"/>
        <v>0</v>
      </c>
      <c r="P251" s="24">
        <f>TModelo[[#This Row],[IntCDT]]+TModelo[[#This Row],[IntCOLCAP]]+TModelo[[#This Row],[IntUSD]]</f>
        <v>0</v>
      </c>
      <c r="Q251" s="24">
        <f>TModelo[[#This Row],[InitialBalance]]+TModelo[[#This Row],[Interest]]+TModelo[[#This Row],[Outflow]]-TModelo[[#This Row],[Inflow]]</f>
        <v>0</v>
      </c>
      <c r="R251" s="24">
        <f>TModelo[[#This Row],[Act]]*IF(TModelo[[#This Row],[Rebal]]=1,PesoCDT*(X250+Y250+Z250),X250)</f>
        <v>0</v>
      </c>
      <c r="S251" s="24">
        <f>TModelo[[#This Row],[Act]]*IF(TModelo[[#This Row],[Rebal]]=1,PesoCOLCAP*(X250+Y250+Z250),Y250)</f>
        <v>0</v>
      </c>
      <c r="T251" s="24">
        <f>TModelo[[#This Row],[Act]]*IF(TModelo[[#This Row],[Rebal]]=1,PesoUSD*(X250+Y250+Z250),Z250)</f>
        <v>0</v>
      </c>
      <c r="U251" s="24">
        <f>TModelo[[#This Row],[IniCDT]]*TModelo[[#This Row],[RetCDT]]</f>
        <v>0</v>
      </c>
      <c r="V251" s="24">
        <f>TModelo[[#This Row],[IniCOLCAP]]*TModelo[[#This Row],[RetCOLCAP]]</f>
        <v>0</v>
      </c>
      <c r="W251" s="24">
        <f>TModelo[[#This Row],[IniUSD]]*TModelo[[#This Row],[RetUSD]]</f>
        <v>0</v>
      </c>
      <c r="X251" s="24">
        <f>TModelo[[#This Row],[Act]]*(TModelo[[#This Row],[IniCDT]]+TModelo[[#This Row],[IntCDT]]+PesoCDT*TModelo[[#This Row],[Outflow]])</f>
        <v>0</v>
      </c>
      <c r="Y251" s="24">
        <f>TModelo[[#This Row],[Act]]*(TModelo[[#This Row],[IniCOLCAP]]+TModelo[[#This Row],[IntCOLCAP]]+PesoCOLCAP*TModelo[[#This Row],[Outflow]])</f>
        <v>0</v>
      </c>
      <c r="Z251" s="24">
        <f>TModelo[[#This Row],[Act]]*(TModelo[[#This Row],[IniUSD]]+TModelo[[#This Row],[IntUSD]]+PesoUSD*TModelo[[#This Row],[Outflow]])</f>
        <v>0</v>
      </c>
      <c r="AA251" s="24">
        <f>TModelo[[#This Row],[BalCDT]]+TModelo[[#This Row],[BalCOLCAP]]+TModelo[[#This Row],[BalUSD]]</f>
        <v>0</v>
      </c>
      <c r="AB251" s="24">
        <f>IF(TModelo[[#This Row],[CumInfl]]&gt;0,TModelo[[#This Row],[TotalPreLiq]]/TModelo[[#This Row],[CumInfl]],0)</f>
        <v>0</v>
      </c>
      <c r="AC251" s="41">
        <f>(1+PerRate)^(-TModelo[[#This Row],[Period]])</f>
        <v>0.1745459265309777</v>
      </c>
      <c r="AD251" s="42">
        <f>TModelo[[#This Row],[NetCF]]*TModelo[[#This Row],[fd]]</f>
        <v>0</v>
      </c>
    </row>
    <row r="252" spans="2:30" ht="16.95" customHeight="1">
      <c r="B252" s="11">
        <v>225</v>
      </c>
      <c r="C252" s="25">
        <f>EDATE(FechaInicio,TModelo[[#This Row],[Period]])</f>
        <v>53142</v>
      </c>
      <c r="D252" s="11">
        <f>IF(AND(TModelo[[#This Row],[Period]]&gt;=1,TModelo[[#This Row],[Period]]&lt;=HorizonteMeses),1,0)</f>
        <v>0</v>
      </c>
      <c r="E252" s="40">
        <f>TModelo[[#This Row],[Act]]*(INFb+(INFpi0-INFb)*(1-INFa)^TModelo[[#This Row],[Period]])</f>
        <v>0</v>
      </c>
      <c r="F252" s="28">
        <f>IF(TModelo[[#This Row],[Period]]&lt;=HorizonteMeses,F251*(1+TModelo[[#This Row],[InflMes]]),0)</f>
        <v>0</v>
      </c>
      <c r="G252" s="21">
        <f>TModelo[[#This Row],[Act]]*(CDTb+(CDTx0-CDTb)*(1-CDTa)^TModelo[[#This Row],[Period]]+CDTspread)</f>
        <v>0</v>
      </c>
      <c r="H252" s="40">
        <f>TModelo[[#This Row],[Act]]*((1+TModelo[[#This Row],[TasaCDT]])^(1/12)-1)*(1-Retencion)</f>
        <v>0</v>
      </c>
      <c r="I252" s="40">
        <f>TModelo[[#This Row],[Act]]*(EXP(MuCOLCAP+SigmaCOLCAP^2/2)-1)</f>
        <v>0</v>
      </c>
      <c r="J252" s="40">
        <f>TModelo[[#This Row],[Act]]*(EXP(MuTRM+SigmaTRM^2/2)-1)</f>
        <v>0</v>
      </c>
      <c r="K252" s="11">
        <f>TModelo[[#This Row],[Act]]*IF(Rebalanceo="Mensual",1,IF(Rebalanceo="Anual",IF(MOD(TModelo[[#This Row],[Period]]-1,12)=0,1,0),0))</f>
        <v>0</v>
      </c>
      <c r="L252" s="24">
        <f>TModelo[[#This Row],[Act]]*AporteMensual*IF(CrecimientoAporte="Con IPC",F251,1)</f>
        <v>0</v>
      </c>
      <c r="M252" s="24">
        <f>IF(TModelo[[#This Row],[Period]]=HorizonteMeses,TModelo[[#This Row],[TotalPreLiq]],0)</f>
        <v>0</v>
      </c>
      <c r="N252" s="24">
        <f>TModelo[[#This Row],[Inflow]]-TModelo[[#This Row],[Outflow]]</f>
        <v>0</v>
      </c>
      <c r="O252" s="24">
        <f t="shared" si="3"/>
        <v>0</v>
      </c>
      <c r="P252" s="24">
        <f>TModelo[[#This Row],[IntCDT]]+TModelo[[#This Row],[IntCOLCAP]]+TModelo[[#This Row],[IntUSD]]</f>
        <v>0</v>
      </c>
      <c r="Q252" s="24">
        <f>TModelo[[#This Row],[InitialBalance]]+TModelo[[#This Row],[Interest]]+TModelo[[#This Row],[Outflow]]-TModelo[[#This Row],[Inflow]]</f>
        <v>0</v>
      </c>
      <c r="R252" s="24">
        <f>TModelo[[#This Row],[Act]]*IF(TModelo[[#This Row],[Rebal]]=1,PesoCDT*(X251+Y251+Z251),X251)</f>
        <v>0</v>
      </c>
      <c r="S252" s="24">
        <f>TModelo[[#This Row],[Act]]*IF(TModelo[[#This Row],[Rebal]]=1,PesoCOLCAP*(X251+Y251+Z251),Y251)</f>
        <v>0</v>
      </c>
      <c r="T252" s="24">
        <f>TModelo[[#This Row],[Act]]*IF(TModelo[[#This Row],[Rebal]]=1,PesoUSD*(X251+Y251+Z251),Z251)</f>
        <v>0</v>
      </c>
      <c r="U252" s="24">
        <f>TModelo[[#This Row],[IniCDT]]*TModelo[[#This Row],[RetCDT]]</f>
        <v>0</v>
      </c>
      <c r="V252" s="24">
        <f>TModelo[[#This Row],[IniCOLCAP]]*TModelo[[#This Row],[RetCOLCAP]]</f>
        <v>0</v>
      </c>
      <c r="W252" s="24">
        <f>TModelo[[#This Row],[IniUSD]]*TModelo[[#This Row],[RetUSD]]</f>
        <v>0</v>
      </c>
      <c r="X252" s="24">
        <f>TModelo[[#This Row],[Act]]*(TModelo[[#This Row],[IniCDT]]+TModelo[[#This Row],[IntCDT]]+PesoCDT*TModelo[[#This Row],[Outflow]])</f>
        <v>0</v>
      </c>
      <c r="Y252" s="24">
        <f>TModelo[[#This Row],[Act]]*(TModelo[[#This Row],[IniCOLCAP]]+TModelo[[#This Row],[IntCOLCAP]]+PesoCOLCAP*TModelo[[#This Row],[Outflow]])</f>
        <v>0</v>
      </c>
      <c r="Z252" s="24">
        <f>TModelo[[#This Row],[Act]]*(TModelo[[#This Row],[IniUSD]]+TModelo[[#This Row],[IntUSD]]+PesoUSD*TModelo[[#This Row],[Outflow]])</f>
        <v>0</v>
      </c>
      <c r="AA252" s="24">
        <f>TModelo[[#This Row],[BalCDT]]+TModelo[[#This Row],[BalCOLCAP]]+TModelo[[#This Row],[BalUSD]]</f>
        <v>0</v>
      </c>
      <c r="AB252" s="24">
        <f>IF(TModelo[[#This Row],[CumInfl]]&gt;0,TModelo[[#This Row],[TotalPreLiq]]/TModelo[[#This Row],[CumInfl]],0)</f>
        <v>0</v>
      </c>
      <c r="AC252" s="41">
        <f>(1+PerRate)^(-TModelo[[#This Row],[Period]])</f>
        <v>0.17319102650584572</v>
      </c>
      <c r="AD252" s="42">
        <f>TModelo[[#This Row],[NetCF]]*TModelo[[#This Row],[fd]]</f>
        <v>0</v>
      </c>
    </row>
    <row r="253" spans="2:30" ht="16.95" customHeight="1">
      <c r="B253" s="11">
        <v>226</v>
      </c>
      <c r="C253" s="25">
        <f>EDATE(FechaInicio,TModelo[[#This Row],[Period]])</f>
        <v>53172</v>
      </c>
      <c r="D253" s="11">
        <f>IF(AND(TModelo[[#This Row],[Period]]&gt;=1,TModelo[[#This Row],[Period]]&lt;=HorizonteMeses),1,0)</f>
        <v>0</v>
      </c>
      <c r="E253" s="40">
        <f>TModelo[[#This Row],[Act]]*(INFb+(INFpi0-INFb)*(1-INFa)^TModelo[[#This Row],[Period]])</f>
        <v>0</v>
      </c>
      <c r="F253" s="28">
        <f>IF(TModelo[[#This Row],[Period]]&lt;=HorizonteMeses,F252*(1+TModelo[[#This Row],[InflMes]]),0)</f>
        <v>0</v>
      </c>
      <c r="G253" s="21">
        <f>TModelo[[#This Row],[Act]]*(CDTb+(CDTx0-CDTb)*(1-CDTa)^TModelo[[#This Row],[Period]]+CDTspread)</f>
        <v>0</v>
      </c>
      <c r="H253" s="40">
        <f>TModelo[[#This Row],[Act]]*((1+TModelo[[#This Row],[TasaCDT]])^(1/12)-1)*(1-Retencion)</f>
        <v>0</v>
      </c>
      <c r="I253" s="40">
        <f>TModelo[[#This Row],[Act]]*(EXP(MuCOLCAP+SigmaCOLCAP^2/2)-1)</f>
        <v>0</v>
      </c>
      <c r="J253" s="40">
        <f>TModelo[[#This Row],[Act]]*(EXP(MuTRM+SigmaTRM^2/2)-1)</f>
        <v>0</v>
      </c>
      <c r="K253" s="11">
        <f>TModelo[[#This Row],[Act]]*IF(Rebalanceo="Mensual",1,IF(Rebalanceo="Anual",IF(MOD(TModelo[[#This Row],[Period]]-1,12)=0,1,0),0))</f>
        <v>0</v>
      </c>
      <c r="L253" s="24">
        <f>TModelo[[#This Row],[Act]]*AporteMensual*IF(CrecimientoAporte="Con IPC",F252,1)</f>
        <v>0</v>
      </c>
      <c r="M253" s="24">
        <f>IF(TModelo[[#This Row],[Period]]=HorizonteMeses,TModelo[[#This Row],[TotalPreLiq]],0)</f>
        <v>0</v>
      </c>
      <c r="N253" s="24">
        <f>TModelo[[#This Row],[Inflow]]-TModelo[[#This Row],[Outflow]]</f>
        <v>0</v>
      </c>
      <c r="O253" s="24">
        <f t="shared" si="3"/>
        <v>0</v>
      </c>
      <c r="P253" s="24">
        <f>TModelo[[#This Row],[IntCDT]]+TModelo[[#This Row],[IntCOLCAP]]+TModelo[[#This Row],[IntUSD]]</f>
        <v>0</v>
      </c>
      <c r="Q253" s="24">
        <f>TModelo[[#This Row],[InitialBalance]]+TModelo[[#This Row],[Interest]]+TModelo[[#This Row],[Outflow]]-TModelo[[#This Row],[Inflow]]</f>
        <v>0</v>
      </c>
      <c r="R253" s="24">
        <f>TModelo[[#This Row],[Act]]*IF(TModelo[[#This Row],[Rebal]]=1,PesoCDT*(X252+Y252+Z252),X252)</f>
        <v>0</v>
      </c>
      <c r="S253" s="24">
        <f>TModelo[[#This Row],[Act]]*IF(TModelo[[#This Row],[Rebal]]=1,PesoCOLCAP*(X252+Y252+Z252),Y252)</f>
        <v>0</v>
      </c>
      <c r="T253" s="24">
        <f>TModelo[[#This Row],[Act]]*IF(TModelo[[#This Row],[Rebal]]=1,PesoUSD*(X252+Y252+Z252),Z252)</f>
        <v>0</v>
      </c>
      <c r="U253" s="24">
        <f>TModelo[[#This Row],[IniCDT]]*TModelo[[#This Row],[RetCDT]]</f>
        <v>0</v>
      </c>
      <c r="V253" s="24">
        <f>TModelo[[#This Row],[IniCOLCAP]]*TModelo[[#This Row],[RetCOLCAP]]</f>
        <v>0</v>
      </c>
      <c r="W253" s="24">
        <f>TModelo[[#This Row],[IniUSD]]*TModelo[[#This Row],[RetUSD]]</f>
        <v>0</v>
      </c>
      <c r="X253" s="24">
        <f>TModelo[[#This Row],[Act]]*(TModelo[[#This Row],[IniCDT]]+TModelo[[#This Row],[IntCDT]]+PesoCDT*TModelo[[#This Row],[Outflow]])</f>
        <v>0</v>
      </c>
      <c r="Y253" s="24">
        <f>TModelo[[#This Row],[Act]]*(TModelo[[#This Row],[IniCOLCAP]]+TModelo[[#This Row],[IntCOLCAP]]+PesoCOLCAP*TModelo[[#This Row],[Outflow]])</f>
        <v>0</v>
      </c>
      <c r="Z253" s="24">
        <f>TModelo[[#This Row],[Act]]*(TModelo[[#This Row],[IniUSD]]+TModelo[[#This Row],[IntUSD]]+PesoUSD*TModelo[[#This Row],[Outflow]])</f>
        <v>0</v>
      </c>
      <c r="AA253" s="24">
        <f>TModelo[[#This Row],[BalCDT]]+TModelo[[#This Row],[BalCOLCAP]]+TModelo[[#This Row],[BalUSD]]</f>
        <v>0</v>
      </c>
      <c r="AB253" s="24">
        <f>IF(TModelo[[#This Row],[CumInfl]]&gt;0,TModelo[[#This Row],[TotalPreLiq]]/TModelo[[#This Row],[CumInfl]],0)</f>
        <v>0</v>
      </c>
      <c r="AC253" s="41">
        <f>(1+PerRate)^(-TModelo[[#This Row],[Period]])</f>
        <v>0.17184664379334658</v>
      </c>
      <c r="AD253" s="42">
        <f>TModelo[[#This Row],[NetCF]]*TModelo[[#This Row],[fd]]</f>
        <v>0</v>
      </c>
    </row>
    <row r="254" spans="2:30" ht="16.95" customHeight="1">
      <c r="B254" s="11">
        <v>227</v>
      </c>
      <c r="C254" s="25">
        <f>EDATE(FechaInicio,TModelo[[#This Row],[Period]])</f>
        <v>53203</v>
      </c>
      <c r="D254" s="11">
        <f>IF(AND(TModelo[[#This Row],[Period]]&gt;=1,TModelo[[#This Row],[Period]]&lt;=HorizonteMeses),1,0)</f>
        <v>0</v>
      </c>
      <c r="E254" s="40">
        <f>TModelo[[#This Row],[Act]]*(INFb+(INFpi0-INFb)*(1-INFa)^TModelo[[#This Row],[Period]])</f>
        <v>0</v>
      </c>
      <c r="F254" s="28">
        <f>IF(TModelo[[#This Row],[Period]]&lt;=HorizonteMeses,F253*(1+TModelo[[#This Row],[InflMes]]),0)</f>
        <v>0</v>
      </c>
      <c r="G254" s="21">
        <f>TModelo[[#This Row],[Act]]*(CDTb+(CDTx0-CDTb)*(1-CDTa)^TModelo[[#This Row],[Period]]+CDTspread)</f>
        <v>0</v>
      </c>
      <c r="H254" s="40">
        <f>TModelo[[#This Row],[Act]]*((1+TModelo[[#This Row],[TasaCDT]])^(1/12)-1)*(1-Retencion)</f>
        <v>0</v>
      </c>
      <c r="I254" s="40">
        <f>TModelo[[#This Row],[Act]]*(EXP(MuCOLCAP+SigmaCOLCAP^2/2)-1)</f>
        <v>0</v>
      </c>
      <c r="J254" s="40">
        <f>TModelo[[#This Row],[Act]]*(EXP(MuTRM+SigmaTRM^2/2)-1)</f>
        <v>0</v>
      </c>
      <c r="K254" s="11">
        <f>TModelo[[#This Row],[Act]]*IF(Rebalanceo="Mensual",1,IF(Rebalanceo="Anual",IF(MOD(TModelo[[#This Row],[Period]]-1,12)=0,1,0),0))</f>
        <v>0</v>
      </c>
      <c r="L254" s="24">
        <f>TModelo[[#This Row],[Act]]*AporteMensual*IF(CrecimientoAporte="Con IPC",F253,1)</f>
        <v>0</v>
      </c>
      <c r="M254" s="24">
        <f>IF(TModelo[[#This Row],[Period]]=HorizonteMeses,TModelo[[#This Row],[TotalPreLiq]],0)</f>
        <v>0</v>
      </c>
      <c r="N254" s="24">
        <f>TModelo[[#This Row],[Inflow]]-TModelo[[#This Row],[Outflow]]</f>
        <v>0</v>
      </c>
      <c r="O254" s="24">
        <f t="shared" si="3"/>
        <v>0</v>
      </c>
      <c r="P254" s="24">
        <f>TModelo[[#This Row],[IntCDT]]+TModelo[[#This Row],[IntCOLCAP]]+TModelo[[#This Row],[IntUSD]]</f>
        <v>0</v>
      </c>
      <c r="Q254" s="24">
        <f>TModelo[[#This Row],[InitialBalance]]+TModelo[[#This Row],[Interest]]+TModelo[[#This Row],[Outflow]]-TModelo[[#This Row],[Inflow]]</f>
        <v>0</v>
      </c>
      <c r="R254" s="24">
        <f>TModelo[[#This Row],[Act]]*IF(TModelo[[#This Row],[Rebal]]=1,PesoCDT*(X253+Y253+Z253),X253)</f>
        <v>0</v>
      </c>
      <c r="S254" s="24">
        <f>TModelo[[#This Row],[Act]]*IF(TModelo[[#This Row],[Rebal]]=1,PesoCOLCAP*(X253+Y253+Z253),Y253)</f>
        <v>0</v>
      </c>
      <c r="T254" s="24">
        <f>TModelo[[#This Row],[Act]]*IF(TModelo[[#This Row],[Rebal]]=1,PesoUSD*(X253+Y253+Z253),Z253)</f>
        <v>0</v>
      </c>
      <c r="U254" s="24">
        <f>TModelo[[#This Row],[IniCDT]]*TModelo[[#This Row],[RetCDT]]</f>
        <v>0</v>
      </c>
      <c r="V254" s="24">
        <f>TModelo[[#This Row],[IniCOLCAP]]*TModelo[[#This Row],[RetCOLCAP]]</f>
        <v>0</v>
      </c>
      <c r="W254" s="24">
        <f>TModelo[[#This Row],[IniUSD]]*TModelo[[#This Row],[RetUSD]]</f>
        <v>0</v>
      </c>
      <c r="X254" s="24">
        <f>TModelo[[#This Row],[Act]]*(TModelo[[#This Row],[IniCDT]]+TModelo[[#This Row],[IntCDT]]+PesoCDT*TModelo[[#This Row],[Outflow]])</f>
        <v>0</v>
      </c>
      <c r="Y254" s="24">
        <f>TModelo[[#This Row],[Act]]*(TModelo[[#This Row],[IniCOLCAP]]+TModelo[[#This Row],[IntCOLCAP]]+PesoCOLCAP*TModelo[[#This Row],[Outflow]])</f>
        <v>0</v>
      </c>
      <c r="Z254" s="24">
        <f>TModelo[[#This Row],[Act]]*(TModelo[[#This Row],[IniUSD]]+TModelo[[#This Row],[IntUSD]]+PesoUSD*TModelo[[#This Row],[Outflow]])</f>
        <v>0</v>
      </c>
      <c r="AA254" s="24">
        <f>TModelo[[#This Row],[BalCDT]]+TModelo[[#This Row],[BalCOLCAP]]+TModelo[[#This Row],[BalUSD]]</f>
        <v>0</v>
      </c>
      <c r="AB254" s="24">
        <f>IF(TModelo[[#This Row],[CumInfl]]&gt;0,TModelo[[#This Row],[TotalPreLiq]]/TModelo[[#This Row],[CumInfl]],0)</f>
        <v>0</v>
      </c>
      <c r="AC254" s="41">
        <f>(1+PerRate)^(-TModelo[[#This Row],[Period]])</f>
        <v>0.17051269675360786</v>
      </c>
      <c r="AD254" s="42">
        <f>TModelo[[#This Row],[NetCF]]*TModelo[[#This Row],[fd]]</f>
        <v>0</v>
      </c>
    </row>
    <row r="255" spans="2:30" ht="16.95" customHeight="1">
      <c r="B255" s="11">
        <v>228</v>
      </c>
      <c r="C255" s="25">
        <f>EDATE(FechaInicio,TModelo[[#This Row],[Period]])</f>
        <v>53234</v>
      </c>
      <c r="D255" s="11">
        <f>IF(AND(TModelo[[#This Row],[Period]]&gt;=1,TModelo[[#This Row],[Period]]&lt;=HorizonteMeses),1,0)</f>
        <v>0</v>
      </c>
      <c r="E255" s="40">
        <f>TModelo[[#This Row],[Act]]*(INFb+(INFpi0-INFb)*(1-INFa)^TModelo[[#This Row],[Period]])</f>
        <v>0</v>
      </c>
      <c r="F255" s="28">
        <f>IF(TModelo[[#This Row],[Period]]&lt;=HorizonteMeses,F254*(1+TModelo[[#This Row],[InflMes]]),0)</f>
        <v>0</v>
      </c>
      <c r="G255" s="21">
        <f>TModelo[[#This Row],[Act]]*(CDTb+(CDTx0-CDTb)*(1-CDTa)^TModelo[[#This Row],[Period]]+CDTspread)</f>
        <v>0</v>
      </c>
      <c r="H255" s="40">
        <f>TModelo[[#This Row],[Act]]*((1+TModelo[[#This Row],[TasaCDT]])^(1/12)-1)*(1-Retencion)</f>
        <v>0</v>
      </c>
      <c r="I255" s="40">
        <f>TModelo[[#This Row],[Act]]*(EXP(MuCOLCAP+SigmaCOLCAP^2/2)-1)</f>
        <v>0</v>
      </c>
      <c r="J255" s="40">
        <f>TModelo[[#This Row],[Act]]*(EXP(MuTRM+SigmaTRM^2/2)-1)</f>
        <v>0</v>
      </c>
      <c r="K255" s="11">
        <f>TModelo[[#This Row],[Act]]*IF(Rebalanceo="Mensual",1,IF(Rebalanceo="Anual",IF(MOD(TModelo[[#This Row],[Period]]-1,12)=0,1,0),0))</f>
        <v>0</v>
      </c>
      <c r="L255" s="24">
        <f>TModelo[[#This Row],[Act]]*AporteMensual*IF(CrecimientoAporte="Con IPC",F254,1)</f>
        <v>0</v>
      </c>
      <c r="M255" s="24">
        <f>IF(TModelo[[#This Row],[Period]]=HorizonteMeses,TModelo[[#This Row],[TotalPreLiq]],0)</f>
        <v>0</v>
      </c>
      <c r="N255" s="24">
        <f>TModelo[[#This Row],[Inflow]]-TModelo[[#This Row],[Outflow]]</f>
        <v>0</v>
      </c>
      <c r="O255" s="24">
        <f t="shared" si="3"/>
        <v>0</v>
      </c>
      <c r="P255" s="24">
        <f>TModelo[[#This Row],[IntCDT]]+TModelo[[#This Row],[IntCOLCAP]]+TModelo[[#This Row],[IntUSD]]</f>
        <v>0</v>
      </c>
      <c r="Q255" s="24">
        <f>TModelo[[#This Row],[InitialBalance]]+TModelo[[#This Row],[Interest]]+TModelo[[#This Row],[Outflow]]-TModelo[[#This Row],[Inflow]]</f>
        <v>0</v>
      </c>
      <c r="R255" s="24">
        <f>TModelo[[#This Row],[Act]]*IF(TModelo[[#This Row],[Rebal]]=1,PesoCDT*(X254+Y254+Z254),X254)</f>
        <v>0</v>
      </c>
      <c r="S255" s="24">
        <f>TModelo[[#This Row],[Act]]*IF(TModelo[[#This Row],[Rebal]]=1,PesoCOLCAP*(X254+Y254+Z254),Y254)</f>
        <v>0</v>
      </c>
      <c r="T255" s="24">
        <f>TModelo[[#This Row],[Act]]*IF(TModelo[[#This Row],[Rebal]]=1,PesoUSD*(X254+Y254+Z254),Z254)</f>
        <v>0</v>
      </c>
      <c r="U255" s="24">
        <f>TModelo[[#This Row],[IniCDT]]*TModelo[[#This Row],[RetCDT]]</f>
        <v>0</v>
      </c>
      <c r="V255" s="24">
        <f>TModelo[[#This Row],[IniCOLCAP]]*TModelo[[#This Row],[RetCOLCAP]]</f>
        <v>0</v>
      </c>
      <c r="W255" s="24">
        <f>TModelo[[#This Row],[IniUSD]]*TModelo[[#This Row],[RetUSD]]</f>
        <v>0</v>
      </c>
      <c r="X255" s="24">
        <f>TModelo[[#This Row],[Act]]*(TModelo[[#This Row],[IniCDT]]+TModelo[[#This Row],[IntCDT]]+PesoCDT*TModelo[[#This Row],[Outflow]])</f>
        <v>0</v>
      </c>
      <c r="Y255" s="24">
        <f>TModelo[[#This Row],[Act]]*(TModelo[[#This Row],[IniCOLCAP]]+TModelo[[#This Row],[IntCOLCAP]]+PesoCOLCAP*TModelo[[#This Row],[Outflow]])</f>
        <v>0</v>
      </c>
      <c r="Z255" s="24">
        <f>TModelo[[#This Row],[Act]]*(TModelo[[#This Row],[IniUSD]]+TModelo[[#This Row],[IntUSD]]+PesoUSD*TModelo[[#This Row],[Outflow]])</f>
        <v>0</v>
      </c>
      <c r="AA255" s="24">
        <f>TModelo[[#This Row],[BalCDT]]+TModelo[[#This Row],[BalCOLCAP]]+TModelo[[#This Row],[BalUSD]]</f>
        <v>0</v>
      </c>
      <c r="AB255" s="24">
        <f>IF(TModelo[[#This Row],[CumInfl]]&gt;0,TModelo[[#This Row],[TotalPreLiq]]/TModelo[[#This Row],[CumInfl]],0)</f>
        <v>0</v>
      </c>
      <c r="AC255" s="41">
        <f>(1+PerRate)^(-TModelo[[#This Row],[Period]])</f>
        <v>0.1691891043804809</v>
      </c>
      <c r="AD255" s="42">
        <f>TModelo[[#This Row],[NetCF]]*TModelo[[#This Row],[fd]]</f>
        <v>0</v>
      </c>
    </row>
    <row r="256" spans="2:30" ht="16.95" customHeight="1">
      <c r="B256" s="11">
        <v>229</v>
      </c>
      <c r="C256" s="25">
        <f>EDATE(FechaInicio,TModelo[[#This Row],[Period]])</f>
        <v>53264</v>
      </c>
      <c r="D256" s="11">
        <f>IF(AND(TModelo[[#This Row],[Period]]&gt;=1,TModelo[[#This Row],[Period]]&lt;=HorizonteMeses),1,0)</f>
        <v>0</v>
      </c>
      <c r="E256" s="40">
        <f>TModelo[[#This Row],[Act]]*(INFb+(INFpi0-INFb)*(1-INFa)^TModelo[[#This Row],[Period]])</f>
        <v>0</v>
      </c>
      <c r="F256" s="28">
        <f>IF(TModelo[[#This Row],[Period]]&lt;=HorizonteMeses,F255*(1+TModelo[[#This Row],[InflMes]]),0)</f>
        <v>0</v>
      </c>
      <c r="G256" s="21">
        <f>TModelo[[#This Row],[Act]]*(CDTb+(CDTx0-CDTb)*(1-CDTa)^TModelo[[#This Row],[Period]]+CDTspread)</f>
        <v>0</v>
      </c>
      <c r="H256" s="40">
        <f>TModelo[[#This Row],[Act]]*((1+TModelo[[#This Row],[TasaCDT]])^(1/12)-1)*(1-Retencion)</f>
        <v>0</v>
      </c>
      <c r="I256" s="40">
        <f>TModelo[[#This Row],[Act]]*(EXP(MuCOLCAP+SigmaCOLCAP^2/2)-1)</f>
        <v>0</v>
      </c>
      <c r="J256" s="40">
        <f>TModelo[[#This Row],[Act]]*(EXP(MuTRM+SigmaTRM^2/2)-1)</f>
        <v>0</v>
      </c>
      <c r="K256" s="11">
        <f>TModelo[[#This Row],[Act]]*IF(Rebalanceo="Mensual",1,IF(Rebalanceo="Anual",IF(MOD(TModelo[[#This Row],[Period]]-1,12)=0,1,0),0))</f>
        <v>0</v>
      </c>
      <c r="L256" s="24">
        <f>TModelo[[#This Row],[Act]]*AporteMensual*IF(CrecimientoAporte="Con IPC",F255,1)</f>
        <v>0</v>
      </c>
      <c r="M256" s="24">
        <f>IF(TModelo[[#This Row],[Period]]=HorizonteMeses,TModelo[[#This Row],[TotalPreLiq]],0)</f>
        <v>0</v>
      </c>
      <c r="N256" s="24">
        <f>TModelo[[#This Row],[Inflow]]-TModelo[[#This Row],[Outflow]]</f>
        <v>0</v>
      </c>
      <c r="O256" s="24">
        <f t="shared" si="3"/>
        <v>0</v>
      </c>
      <c r="P256" s="24">
        <f>TModelo[[#This Row],[IntCDT]]+TModelo[[#This Row],[IntCOLCAP]]+TModelo[[#This Row],[IntUSD]]</f>
        <v>0</v>
      </c>
      <c r="Q256" s="24">
        <f>TModelo[[#This Row],[InitialBalance]]+TModelo[[#This Row],[Interest]]+TModelo[[#This Row],[Outflow]]-TModelo[[#This Row],[Inflow]]</f>
        <v>0</v>
      </c>
      <c r="R256" s="24">
        <f>TModelo[[#This Row],[Act]]*IF(TModelo[[#This Row],[Rebal]]=1,PesoCDT*(X255+Y255+Z255),X255)</f>
        <v>0</v>
      </c>
      <c r="S256" s="24">
        <f>TModelo[[#This Row],[Act]]*IF(TModelo[[#This Row],[Rebal]]=1,PesoCOLCAP*(X255+Y255+Z255),Y255)</f>
        <v>0</v>
      </c>
      <c r="T256" s="24">
        <f>TModelo[[#This Row],[Act]]*IF(TModelo[[#This Row],[Rebal]]=1,PesoUSD*(X255+Y255+Z255),Z255)</f>
        <v>0</v>
      </c>
      <c r="U256" s="24">
        <f>TModelo[[#This Row],[IniCDT]]*TModelo[[#This Row],[RetCDT]]</f>
        <v>0</v>
      </c>
      <c r="V256" s="24">
        <f>TModelo[[#This Row],[IniCOLCAP]]*TModelo[[#This Row],[RetCOLCAP]]</f>
        <v>0</v>
      </c>
      <c r="W256" s="24">
        <f>TModelo[[#This Row],[IniUSD]]*TModelo[[#This Row],[RetUSD]]</f>
        <v>0</v>
      </c>
      <c r="X256" s="24">
        <f>TModelo[[#This Row],[Act]]*(TModelo[[#This Row],[IniCDT]]+TModelo[[#This Row],[IntCDT]]+PesoCDT*TModelo[[#This Row],[Outflow]])</f>
        <v>0</v>
      </c>
      <c r="Y256" s="24">
        <f>TModelo[[#This Row],[Act]]*(TModelo[[#This Row],[IniCOLCAP]]+TModelo[[#This Row],[IntCOLCAP]]+PesoCOLCAP*TModelo[[#This Row],[Outflow]])</f>
        <v>0</v>
      </c>
      <c r="Z256" s="24">
        <f>TModelo[[#This Row],[Act]]*(TModelo[[#This Row],[IniUSD]]+TModelo[[#This Row],[IntUSD]]+PesoUSD*TModelo[[#This Row],[Outflow]])</f>
        <v>0</v>
      </c>
      <c r="AA256" s="24">
        <f>TModelo[[#This Row],[BalCDT]]+TModelo[[#This Row],[BalCOLCAP]]+TModelo[[#This Row],[BalUSD]]</f>
        <v>0</v>
      </c>
      <c r="AB256" s="24">
        <f>IF(TModelo[[#This Row],[CumInfl]]&gt;0,TModelo[[#This Row],[TotalPreLiq]]/TModelo[[#This Row],[CumInfl]],0)</f>
        <v>0</v>
      </c>
      <c r="AC256" s="41">
        <f>(1+PerRate)^(-TModelo[[#This Row],[Period]])</f>
        <v>0.16787578629662128</v>
      </c>
      <c r="AD256" s="42">
        <f>TModelo[[#This Row],[NetCF]]*TModelo[[#This Row],[fd]]</f>
        <v>0</v>
      </c>
    </row>
    <row r="257" spans="2:30" ht="16.95" customHeight="1">
      <c r="B257" s="11">
        <v>230</v>
      </c>
      <c r="C257" s="25">
        <f>EDATE(FechaInicio,TModelo[[#This Row],[Period]])</f>
        <v>53295</v>
      </c>
      <c r="D257" s="11">
        <f>IF(AND(TModelo[[#This Row],[Period]]&gt;=1,TModelo[[#This Row],[Period]]&lt;=HorizonteMeses),1,0)</f>
        <v>0</v>
      </c>
      <c r="E257" s="40">
        <f>TModelo[[#This Row],[Act]]*(INFb+(INFpi0-INFb)*(1-INFa)^TModelo[[#This Row],[Period]])</f>
        <v>0</v>
      </c>
      <c r="F257" s="28">
        <f>IF(TModelo[[#This Row],[Period]]&lt;=HorizonteMeses,F256*(1+TModelo[[#This Row],[InflMes]]),0)</f>
        <v>0</v>
      </c>
      <c r="G257" s="21">
        <f>TModelo[[#This Row],[Act]]*(CDTb+(CDTx0-CDTb)*(1-CDTa)^TModelo[[#This Row],[Period]]+CDTspread)</f>
        <v>0</v>
      </c>
      <c r="H257" s="40">
        <f>TModelo[[#This Row],[Act]]*((1+TModelo[[#This Row],[TasaCDT]])^(1/12)-1)*(1-Retencion)</f>
        <v>0</v>
      </c>
      <c r="I257" s="40">
        <f>TModelo[[#This Row],[Act]]*(EXP(MuCOLCAP+SigmaCOLCAP^2/2)-1)</f>
        <v>0</v>
      </c>
      <c r="J257" s="40">
        <f>TModelo[[#This Row],[Act]]*(EXP(MuTRM+SigmaTRM^2/2)-1)</f>
        <v>0</v>
      </c>
      <c r="K257" s="11">
        <f>TModelo[[#This Row],[Act]]*IF(Rebalanceo="Mensual",1,IF(Rebalanceo="Anual",IF(MOD(TModelo[[#This Row],[Period]]-1,12)=0,1,0),0))</f>
        <v>0</v>
      </c>
      <c r="L257" s="24">
        <f>TModelo[[#This Row],[Act]]*AporteMensual*IF(CrecimientoAporte="Con IPC",F256,1)</f>
        <v>0</v>
      </c>
      <c r="M257" s="24">
        <f>IF(TModelo[[#This Row],[Period]]=HorizonteMeses,TModelo[[#This Row],[TotalPreLiq]],0)</f>
        <v>0</v>
      </c>
      <c r="N257" s="24">
        <f>TModelo[[#This Row],[Inflow]]-TModelo[[#This Row],[Outflow]]</f>
        <v>0</v>
      </c>
      <c r="O257" s="24">
        <f t="shared" si="3"/>
        <v>0</v>
      </c>
      <c r="P257" s="24">
        <f>TModelo[[#This Row],[IntCDT]]+TModelo[[#This Row],[IntCOLCAP]]+TModelo[[#This Row],[IntUSD]]</f>
        <v>0</v>
      </c>
      <c r="Q257" s="24">
        <f>TModelo[[#This Row],[InitialBalance]]+TModelo[[#This Row],[Interest]]+TModelo[[#This Row],[Outflow]]-TModelo[[#This Row],[Inflow]]</f>
        <v>0</v>
      </c>
      <c r="R257" s="24">
        <f>TModelo[[#This Row],[Act]]*IF(TModelo[[#This Row],[Rebal]]=1,PesoCDT*(X256+Y256+Z256),X256)</f>
        <v>0</v>
      </c>
      <c r="S257" s="24">
        <f>TModelo[[#This Row],[Act]]*IF(TModelo[[#This Row],[Rebal]]=1,PesoCOLCAP*(X256+Y256+Z256),Y256)</f>
        <v>0</v>
      </c>
      <c r="T257" s="24">
        <f>TModelo[[#This Row],[Act]]*IF(TModelo[[#This Row],[Rebal]]=1,PesoUSD*(X256+Y256+Z256),Z256)</f>
        <v>0</v>
      </c>
      <c r="U257" s="24">
        <f>TModelo[[#This Row],[IniCDT]]*TModelo[[#This Row],[RetCDT]]</f>
        <v>0</v>
      </c>
      <c r="V257" s="24">
        <f>TModelo[[#This Row],[IniCOLCAP]]*TModelo[[#This Row],[RetCOLCAP]]</f>
        <v>0</v>
      </c>
      <c r="W257" s="24">
        <f>TModelo[[#This Row],[IniUSD]]*TModelo[[#This Row],[RetUSD]]</f>
        <v>0</v>
      </c>
      <c r="X257" s="24">
        <f>TModelo[[#This Row],[Act]]*(TModelo[[#This Row],[IniCDT]]+TModelo[[#This Row],[IntCDT]]+PesoCDT*TModelo[[#This Row],[Outflow]])</f>
        <v>0</v>
      </c>
      <c r="Y257" s="24">
        <f>TModelo[[#This Row],[Act]]*(TModelo[[#This Row],[IniCOLCAP]]+TModelo[[#This Row],[IntCOLCAP]]+PesoCOLCAP*TModelo[[#This Row],[Outflow]])</f>
        <v>0</v>
      </c>
      <c r="Z257" s="24">
        <f>TModelo[[#This Row],[Act]]*(TModelo[[#This Row],[IniUSD]]+TModelo[[#This Row],[IntUSD]]+PesoUSD*TModelo[[#This Row],[Outflow]])</f>
        <v>0</v>
      </c>
      <c r="AA257" s="24">
        <f>TModelo[[#This Row],[BalCDT]]+TModelo[[#This Row],[BalCOLCAP]]+TModelo[[#This Row],[BalUSD]]</f>
        <v>0</v>
      </c>
      <c r="AB257" s="24">
        <f>IF(TModelo[[#This Row],[CumInfl]]&gt;0,TModelo[[#This Row],[TotalPreLiq]]/TModelo[[#This Row],[CumInfl]],0)</f>
        <v>0</v>
      </c>
      <c r="AC257" s="41">
        <f>(1+PerRate)^(-TModelo[[#This Row],[Period]])</f>
        <v>0.16657266274860791</v>
      </c>
      <c r="AD257" s="42">
        <f>TModelo[[#This Row],[NetCF]]*TModelo[[#This Row],[fd]]</f>
        <v>0</v>
      </c>
    </row>
    <row r="258" spans="2:30" ht="16.95" customHeight="1">
      <c r="B258" s="11">
        <v>231</v>
      </c>
      <c r="C258" s="25">
        <f>EDATE(FechaInicio,TModelo[[#This Row],[Period]])</f>
        <v>53325</v>
      </c>
      <c r="D258" s="11">
        <f>IF(AND(TModelo[[#This Row],[Period]]&gt;=1,TModelo[[#This Row],[Period]]&lt;=HorizonteMeses),1,0)</f>
        <v>0</v>
      </c>
      <c r="E258" s="40">
        <f>TModelo[[#This Row],[Act]]*(INFb+(INFpi0-INFb)*(1-INFa)^TModelo[[#This Row],[Period]])</f>
        <v>0</v>
      </c>
      <c r="F258" s="28">
        <f>IF(TModelo[[#This Row],[Period]]&lt;=HorizonteMeses,F257*(1+TModelo[[#This Row],[InflMes]]),0)</f>
        <v>0</v>
      </c>
      <c r="G258" s="21">
        <f>TModelo[[#This Row],[Act]]*(CDTb+(CDTx0-CDTb)*(1-CDTa)^TModelo[[#This Row],[Period]]+CDTspread)</f>
        <v>0</v>
      </c>
      <c r="H258" s="40">
        <f>TModelo[[#This Row],[Act]]*((1+TModelo[[#This Row],[TasaCDT]])^(1/12)-1)*(1-Retencion)</f>
        <v>0</v>
      </c>
      <c r="I258" s="40">
        <f>TModelo[[#This Row],[Act]]*(EXP(MuCOLCAP+SigmaCOLCAP^2/2)-1)</f>
        <v>0</v>
      </c>
      <c r="J258" s="40">
        <f>TModelo[[#This Row],[Act]]*(EXP(MuTRM+SigmaTRM^2/2)-1)</f>
        <v>0</v>
      </c>
      <c r="K258" s="11">
        <f>TModelo[[#This Row],[Act]]*IF(Rebalanceo="Mensual",1,IF(Rebalanceo="Anual",IF(MOD(TModelo[[#This Row],[Period]]-1,12)=0,1,0),0))</f>
        <v>0</v>
      </c>
      <c r="L258" s="24">
        <f>TModelo[[#This Row],[Act]]*AporteMensual*IF(CrecimientoAporte="Con IPC",F257,1)</f>
        <v>0</v>
      </c>
      <c r="M258" s="24">
        <f>IF(TModelo[[#This Row],[Period]]=HorizonteMeses,TModelo[[#This Row],[TotalPreLiq]],0)</f>
        <v>0</v>
      </c>
      <c r="N258" s="24">
        <f>TModelo[[#This Row],[Inflow]]-TModelo[[#This Row],[Outflow]]</f>
        <v>0</v>
      </c>
      <c r="O258" s="24">
        <f t="shared" si="3"/>
        <v>0</v>
      </c>
      <c r="P258" s="24">
        <f>TModelo[[#This Row],[IntCDT]]+TModelo[[#This Row],[IntCOLCAP]]+TModelo[[#This Row],[IntUSD]]</f>
        <v>0</v>
      </c>
      <c r="Q258" s="24">
        <f>TModelo[[#This Row],[InitialBalance]]+TModelo[[#This Row],[Interest]]+TModelo[[#This Row],[Outflow]]-TModelo[[#This Row],[Inflow]]</f>
        <v>0</v>
      </c>
      <c r="R258" s="24">
        <f>TModelo[[#This Row],[Act]]*IF(TModelo[[#This Row],[Rebal]]=1,PesoCDT*(X257+Y257+Z257),X257)</f>
        <v>0</v>
      </c>
      <c r="S258" s="24">
        <f>TModelo[[#This Row],[Act]]*IF(TModelo[[#This Row],[Rebal]]=1,PesoCOLCAP*(X257+Y257+Z257),Y257)</f>
        <v>0</v>
      </c>
      <c r="T258" s="24">
        <f>TModelo[[#This Row],[Act]]*IF(TModelo[[#This Row],[Rebal]]=1,PesoUSD*(X257+Y257+Z257),Z257)</f>
        <v>0</v>
      </c>
      <c r="U258" s="24">
        <f>TModelo[[#This Row],[IniCDT]]*TModelo[[#This Row],[RetCDT]]</f>
        <v>0</v>
      </c>
      <c r="V258" s="24">
        <f>TModelo[[#This Row],[IniCOLCAP]]*TModelo[[#This Row],[RetCOLCAP]]</f>
        <v>0</v>
      </c>
      <c r="W258" s="24">
        <f>TModelo[[#This Row],[IniUSD]]*TModelo[[#This Row],[RetUSD]]</f>
        <v>0</v>
      </c>
      <c r="X258" s="24">
        <f>TModelo[[#This Row],[Act]]*(TModelo[[#This Row],[IniCDT]]+TModelo[[#This Row],[IntCDT]]+PesoCDT*TModelo[[#This Row],[Outflow]])</f>
        <v>0</v>
      </c>
      <c r="Y258" s="24">
        <f>TModelo[[#This Row],[Act]]*(TModelo[[#This Row],[IniCOLCAP]]+TModelo[[#This Row],[IntCOLCAP]]+PesoCOLCAP*TModelo[[#This Row],[Outflow]])</f>
        <v>0</v>
      </c>
      <c r="Z258" s="24">
        <f>TModelo[[#This Row],[Act]]*(TModelo[[#This Row],[IniUSD]]+TModelo[[#This Row],[IntUSD]]+PesoUSD*TModelo[[#This Row],[Outflow]])</f>
        <v>0</v>
      </c>
      <c r="AA258" s="24">
        <f>TModelo[[#This Row],[BalCDT]]+TModelo[[#This Row],[BalCOLCAP]]+TModelo[[#This Row],[BalUSD]]</f>
        <v>0</v>
      </c>
      <c r="AB258" s="24">
        <f>IF(TModelo[[#This Row],[CumInfl]]&gt;0,TModelo[[#This Row],[TotalPreLiq]]/TModelo[[#This Row],[CumInfl]],0)</f>
        <v>0</v>
      </c>
      <c r="AC258" s="41">
        <f>(1+PerRate)^(-TModelo[[#This Row],[Period]])</f>
        <v>0.16527965460209967</v>
      </c>
      <c r="AD258" s="42">
        <f>TModelo[[#This Row],[NetCF]]*TModelo[[#This Row],[fd]]</f>
        <v>0</v>
      </c>
    </row>
    <row r="259" spans="2:30" ht="16.95" customHeight="1">
      <c r="B259" s="11">
        <v>232</v>
      </c>
      <c r="C259" s="25">
        <f>EDATE(FechaInicio,TModelo[[#This Row],[Period]])</f>
        <v>53356</v>
      </c>
      <c r="D259" s="11">
        <f>IF(AND(TModelo[[#This Row],[Period]]&gt;=1,TModelo[[#This Row],[Period]]&lt;=HorizonteMeses),1,0)</f>
        <v>0</v>
      </c>
      <c r="E259" s="40">
        <f>TModelo[[#This Row],[Act]]*(INFb+(INFpi0-INFb)*(1-INFa)^TModelo[[#This Row],[Period]])</f>
        <v>0</v>
      </c>
      <c r="F259" s="28">
        <f>IF(TModelo[[#This Row],[Period]]&lt;=HorizonteMeses,F258*(1+TModelo[[#This Row],[InflMes]]),0)</f>
        <v>0</v>
      </c>
      <c r="G259" s="21">
        <f>TModelo[[#This Row],[Act]]*(CDTb+(CDTx0-CDTb)*(1-CDTa)^TModelo[[#This Row],[Period]]+CDTspread)</f>
        <v>0</v>
      </c>
      <c r="H259" s="40">
        <f>TModelo[[#This Row],[Act]]*((1+TModelo[[#This Row],[TasaCDT]])^(1/12)-1)*(1-Retencion)</f>
        <v>0</v>
      </c>
      <c r="I259" s="40">
        <f>TModelo[[#This Row],[Act]]*(EXP(MuCOLCAP+SigmaCOLCAP^2/2)-1)</f>
        <v>0</v>
      </c>
      <c r="J259" s="40">
        <f>TModelo[[#This Row],[Act]]*(EXP(MuTRM+SigmaTRM^2/2)-1)</f>
        <v>0</v>
      </c>
      <c r="K259" s="11">
        <f>TModelo[[#This Row],[Act]]*IF(Rebalanceo="Mensual",1,IF(Rebalanceo="Anual",IF(MOD(TModelo[[#This Row],[Period]]-1,12)=0,1,0),0))</f>
        <v>0</v>
      </c>
      <c r="L259" s="24">
        <f>TModelo[[#This Row],[Act]]*AporteMensual*IF(CrecimientoAporte="Con IPC",F258,1)</f>
        <v>0</v>
      </c>
      <c r="M259" s="24">
        <f>IF(TModelo[[#This Row],[Period]]=HorizonteMeses,TModelo[[#This Row],[TotalPreLiq]],0)</f>
        <v>0</v>
      </c>
      <c r="N259" s="24">
        <f>TModelo[[#This Row],[Inflow]]-TModelo[[#This Row],[Outflow]]</f>
        <v>0</v>
      </c>
      <c r="O259" s="24">
        <f t="shared" si="3"/>
        <v>0</v>
      </c>
      <c r="P259" s="24">
        <f>TModelo[[#This Row],[IntCDT]]+TModelo[[#This Row],[IntCOLCAP]]+TModelo[[#This Row],[IntUSD]]</f>
        <v>0</v>
      </c>
      <c r="Q259" s="24">
        <f>TModelo[[#This Row],[InitialBalance]]+TModelo[[#This Row],[Interest]]+TModelo[[#This Row],[Outflow]]-TModelo[[#This Row],[Inflow]]</f>
        <v>0</v>
      </c>
      <c r="R259" s="24">
        <f>TModelo[[#This Row],[Act]]*IF(TModelo[[#This Row],[Rebal]]=1,PesoCDT*(X258+Y258+Z258),X258)</f>
        <v>0</v>
      </c>
      <c r="S259" s="24">
        <f>TModelo[[#This Row],[Act]]*IF(TModelo[[#This Row],[Rebal]]=1,PesoCOLCAP*(X258+Y258+Z258),Y258)</f>
        <v>0</v>
      </c>
      <c r="T259" s="24">
        <f>TModelo[[#This Row],[Act]]*IF(TModelo[[#This Row],[Rebal]]=1,PesoUSD*(X258+Y258+Z258),Z258)</f>
        <v>0</v>
      </c>
      <c r="U259" s="24">
        <f>TModelo[[#This Row],[IniCDT]]*TModelo[[#This Row],[RetCDT]]</f>
        <v>0</v>
      </c>
      <c r="V259" s="24">
        <f>TModelo[[#This Row],[IniCOLCAP]]*TModelo[[#This Row],[RetCOLCAP]]</f>
        <v>0</v>
      </c>
      <c r="W259" s="24">
        <f>TModelo[[#This Row],[IniUSD]]*TModelo[[#This Row],[RetUSD]]</f>
        <v>0</v>
      </c>
      <c r="X259" s="24">
        <f>TModelo[[#This Row],[Act]]*(TModelo[[#This Row],[IniCDT]]+TModelo[[#This Row],[IntCDT]]+PesoCDT*TModelo[[#This Row],[Outflow]])</f>
        <v>0</v>
      </c>
      <c r="Y259" s="24">
        <f>TModelo[[#This Row],[Act]]*(TModelo[[#This Row],[IniCOLCAP]]+TModelo[[#This Row],[IntCOLCAP]]+PesoCOLCAP*TModelo[[#This Row],[Outflow]])</f>
        <v>0</v>
      </c>
      <c r="Z259" s="24">
        <f>TModelo[[#This Row],[Act]]*(TModelo[[#This Row],[IniUSD]]+TModelo[[#This Row],[IntUSD]]+PesoUSD*TModelo[[#This Row],[Outflow]])</f>
        <v>0</v>
      </c>
      <c r="AA259" s="24">
        <f>TModelo[[#This Row],[BalCDT]]+TModelo[[#This Row],[BalCOLCAP]]+TModelo[[#This Row],[BalUSD]]</f>
        <v>0</v>
      </c>
      <c r="AB259" s="24">
        <f>IF(TModelo[[#This Row],[CumInfl]]&gt;0,TModelo[[#This Row],[TotalPreLiq]]/TModelo[[#This Row],[CumInfl]],0)</f>
        <v>0</v>
      </c>
      <c r="AC259" s="41">
        <f>(1+PerRate)^(-TModelo[[#This Row],[Period]])</f>
        <v>0.1639966833370301</v>
      </c>
      <c r="AD259" s="42">
        <f>TModelo[[#This Row],[NetCF]]*TModelo[[#This Row],[fd]]</f>
        <v>0</v>
      </c>
    </row>
    <row r="260" spans="2:30" ht="16.95" customHeight="1">
      <c r="B260" s="11">
        <v>233</v>
      </c>
      <c r="C260" s="25">
        <f>EDATE(FechaInicio,TModelo[[#This Row],[Period]])</f>
        <v>53386</v>
      </c>
      <c r="D260" s="11">
        <f>IF(AND(TModelo[[#This Row],[Period]]&gt;=1,TModelo[[#This Row],[Period]]&lt;=HorizonteMeses),1,0)</f>
        <v>0</v>
      </c>
      <c r="E260" s="40">
        <f>TModelo[[#This Row],[Act]]*(INFb+(INFpi0-INFb)*(1-INFa)^TModelo[[#This Row],[Period]])</f>
        <v>0</v>
      </c>
      <c r="F260" s="28">
        <f>IF(TModelo[[#This Row],[Period]]&lt;=HorizonteMeses,F259*(1+TModelo[[#This Row],[InflMes]]),0)</f>
        <v>0</v>
      </c>
      <c r="G260" s="21">
        <f>TModelo[[#This Row],[Act]]*(CDTb+(CDTx0-CDTb)*(1-CDTa)^TModelo[[#This Row],[Period]]+CDTspread)</f>
        <v>0</v>
      </c>
      <c r="H260" s="40">
        <f>TModelo[[#This Row],[Act]]*((1+TModelo[[#This Row],[TasaCDT]])^(1/12)-1)*(1-Retencion)</f>
        <v>0</v>
      </c>
      <c r="I260" s="40">
        <f>TModelo[[#This Row],[Act]]*(EXP(MuCOLCAP+SigmaCOLCAP^2/2)-1)</f>
        <v>0</v>
      </c>
      <c r="J260" s="40">
        <f>TModelo[[#This Row],[Act]]*(EXP(MuTRM+SigmaTRM^2/2)-1)</f>
        <v>0</v>
      </c>
      <c r="K260" s="11">
        <f>TModelo[[#This Row],[Act]]*IF(Rebalanceo="Mensual",1,IF(Rebalanceo="Anual",IF(MOD(TModelo[[#This Row],[Period]]-1,12)=0,1,0),0))</f>
        <v>0</v>
      </c>
      <c r="L260" s="24">
        <f>TModelo[[#This Row],[Act]]*AporteMensual*IF(CrecimientoAporte="Con IPC",F259,1)</f>
        <v>0</v>
      </c>
      <c r="M260" s="24">
        <f>IF(TModelo[[#This Row],[Period]]=HorizonteMeses,TModelo[[#This Row],[TotalPreLiq]],0)</f>
        <v>0</v>
      </c>
      <c r="N260" s="24">
        <f>TModelo[[#This Row],[Inflow]]-TModelo[[#This Row],[Outflow]]</f>
        <v>0</v>
      </c>
      <c r="O260" s="24">
        <f t="shared" si="3"/>
        <v>0</v>
      </c>
      <c r="P260" s="24">
        <f>TModelo[[#This Row],[IntCDT]]+TModelo[[#This Row],[IntCOLCAP]]+TModelo[[#This Row],[IntUSD]]</f>
        <v>0</v>
      </c>
      <c r="Q260" s="24">
        <f>TModelo[[#This Row],[InitialBalance]]+TModelo[[#This Row],[Interest]]+TModelo[[#This Row],[Outflow]]-TModelo[[#This Row],[Inflow]]</f>
        <v>0</v>
      </c>
      <c r="R260" s="24">
        <f>TModelo[[#This Row],[Act]]*IF(TModelo[[#This Row],[Rebal]]=1,PesoCDT*(X259+Y259+Z259),X259)</f>
        <v>0</v>
      </c>
      <c r="S260" s="24">
        <f>TModelo[[#This Row],[Act]]*IF(TModelo[[#This Row],[Rebal]]=1,PesoCOLCAP*(X259+Y259+Z259),Y259)</f>
        <v>0</v>
      </c>
      <c r="T260" s="24">
        <f>TModelo[[#This Row],[Act]]*IF(TModelo[[#This Row],[Rebal]]=1,PesoUSD*(X259+Y259+Z259),Z259)</f>
        <v>0</v>
      </c>
      <c r="U260" s="24">
        <f>TModelo[[#This Row],[IniCDT]]*TModelo[[#This Row],[RetCDT]]</f>
        <v>0</v>
      </c>
      <c r="V260" s="24">
        <f>TModelo[[#This Row],[IniCOLCAP]]*TModelo[[#This Row],[RetCOLCAP]]</f>
        <v>0</v>
      </c>
      <c r="W260" s="24">
        <f>TModelo[[#This Row],[IniUSD]]*TModelo[[#This Row],[RetUSD]]</f>
        <v>0</v>
      </c>
      <c r="X260" s="24">
        <f>TModelo[[#This Row],[Act]]*(TModelo[[#This Row],[IniCDT]]+TModelo[[#This Row],[IntCDT]]+PesoCDT*TModelo[[#This Row],[Outflow]])</f>
        <v>0</v>
      </c>
      <c r="Y260" s="24">
        <f>TModelo[[#This Row],[Act]]*(TModelo[[#This Row],[IniCOLCAP]]+TModelo[[#This Row],[IntCOLCAP]]+PesoCOLCAP*TModelo[[#This Row],[Outflow]])</f>
        <v>0</v>
      </c>
      <c r="Z260" s="24">
        <f>TModelo[[#This Row],[Act]]*(TModelo[[#This Row],[IniUSD]]+TModelo[[#This Row],[IntUSD]]+PesoUSD*TModelo[[#This Row],[Outflow]])</f>
        <v>0</v>
      </c>
      <c r="AA260" s="24">
        <f>TModelo[[#This Row],[BalCDT]]+TModelo[[#This Row],[BalCOLCAP]]+TModelo[[#This Row],[BalUSD]]</f>
        <v>0</v>
      </c>
      <c r="AB260" s="24">
        <f>IF(TModelo[[#This Row],[CumInfl]]&gt;0,TModelo[[#This Row],[TotalPreLiq]]/TModelo[[#This Row],[CumInfl]],0)</f>
        <v>0</v>
      </c>
      <c r="AC260" s="41">
        <f>(1+PerRate)^(-TModelo[[#This Row],[Period]])</f>
        <v>0.16272367104283908</v>
      </c>
      <c r="AD260" s="42">
        <f>TModelo[[#This Row],[NetCF]]*TModelo[[#This Row],[fd]]</f>
        <v>0</v>
      </c>
    </row>
    <row r="261" spans="2:30" ht="16.95" customHeight="1">
      <c r="B261" s="11">
        <v>234</v>
      </c>
      <c r="C261" s="25">
        <f>EDATE(FechaInicio,TModelo[[#This Row],[Period]])</f>
        <v>53415</v>
      </c>
      <c r="D261" s="11">
        <f>IF(AND(TModelo[[#This Row],[Period]]&gt;=1,TModelo[[#This Row],[Period]]&lt;=HorizonteMeses),1,0)</f>
        <v>0</v>
      </c>
      <c r="E261" s="40">
        <f>TModelo[[#This Row],[Act]]*(INFb+(INFpi0-INFb)*(1-INFa)^TModelo[[#This Row],[Period]])</f>
        <v>0</v>
      </c>
      <c r="F261" s="28">
        <f>IF(TModelo[[#This Row],[Period]]&lt;=HorizonteMeses,F260*(1+TModelo[[#This Row],[InflMes]]),0)</f>
        <v>0</v>
      </c>
      <c r="G261" s="21">
        <f>TModelo[[#This Row],[Act]]*(CDTb+(CDTx0-CDTb)*(1-CDTa)^TModelo[[#This Row],[Period]]+CDTspread)</f>
        <v>0</v>
      </c>
      <c r="H261" s="40">
        <f>TModelo[[#This Row],[Act]]*((1+TModelo[[#This Row],[TasaCDT]])^(1/12)-1)*(1-Retencion)</f>
        <v>0</v>
      </c>
      <c r="I261" s="40">
        <f>TModelo[[#This Row],[Act]]*(EXP(MuCOLCAP+SigmaCOLCAP^2/2)-1)</f>
        <v>0</v>
      </c>
      <c r="J261" s="40">
        <f>TModelo[[#This Row],[Act]]*(EXP(MuTRM+SigmaTRM^2/2)-1)</f>
        <v>0</v>
      </c>
      <c r="K261" s="11">
        <f>TModelo[[#This Row],[Act]]*IF(Rebalanceo="Mensual",1,IF(Rebalanceo="Anual",IF(MOD(TModelo[[#This Row],[Period]]-1,12)=0,1,0),0))</f>
        <v>0</v>
      </c>
      <c r="L261" s="24">
        <f>TModelo[[#This Row],[Act]]*AporteMensual*IF(CrecimientoAporte="Con IPC",F260,1)</f>
        <v>0</v>
      </c>
      <c r="M261" s="24">
        <f>IF(TModelo[[#This Row],[Period]]=HorizonteMeses,TModelo[[#This Row],[TotalPreLiq]],0)</f>
        <v>0</v>
      </c>
      <c r="N261" s="24">
        <f>TModelo[[#This Row],[Inflow]]-TModelo[[#This Row],[Outflow]]</f>
        <v>0</v>
      </c>
      <c r="O261" s="24">
        <f t="shared" si="3"/>
        <v>0</v>
      </c>
      <c r="P261" s="24">
        <f>TModelo[[#This Row],[IntCDT]]+TModelo[[#This Row],[IntCOLCAP]]+TModelo[[#This Row],[IntUSD]]</f>
        <v>0</v>
      </c>
      <c r="Q261" s="24">
        <f>TModelo[[#This Row],[InitialBalance]]+TModelo[[#This Row],[Interest]]+TModelo[[#This Row],[Outflow]]-TModelo[[#This Row],[Inflow]]</f>
        <v>0</v>
      </c>
      <c r="R261" s="24">
        <f>TModelo[[#This Row],[Act]]*IF(TModelo[[#This Row],[Rebal]]=1,PesoCDT*(X260+Y260+Z260),X260)</f>
        <v>0</v>
      </c>
      <c r="S261" s="24">
        <f>TModelo[[#This Row],[Act]]*IF(TModelo[[#This Row],[Rebal]]=1,PesoCOLCAP*(X260+Y260+Z260),Y260)</f>
        <v>0</v>
      </c>
      <c r="T261" s="24">
        <f>TModelo[[#This Row],[Act]]*IF(TModelo[[#This Row],[Rebal]]=1,PesoUSD*(X260+Y260+Z260),Z260)</f>
        <v>0</v>
      </c>
      <c r="U261" s="24">
        <f>TModelo[[#This Row],[IniCDT]]*TModelo[[#This Row],[RetCDT]]</f>
        <v>0</v>
      </c>
      <c r="V261" s="24">
        <f>TModelo[[#This Row],[IniCOLCAP]]*TModelo[[#This Row],[RetCOLCAP]]</f>
        <v>0</v>
      </c>
      <c r="W261" s="24">
        <f>TModelo[[#This Row],[IniUSD]]*TModelo[[#This Row],[RetUSD]]</f>
        <v>0</v>
      </c>
      <c r="X261" s="24">
        <f>TModelo[[#This Row],[Act]]*(TModelo[[#This Row],[IniCDT]]+TModelo[[#This Row],[IntCDT]]+PesoCDT*TModelo[[#This Row],[Outflow]])</f>
        <v>0</v>
      </c>
      <c r="Y261" s="24">
        <f>TModelo[[#This Row],[Act]]*(TModelo[[#This Row],[IniCOLCAP]]+TModelo[[#This Row],[IntCOLCAP]]+PesoCOLCAP*TModelo[[#This Row],[Outflow]])</f>
        <v>0</v>
      </c>
      <c r="Z261" s="24">
        <f>TModelo[[#This Row],[Act]]*(TModelo[[#This Row],[IniUSD]]+TModelo[[#This Row],[IntUSD]]+PesoUSD*TModelo[[#This Row],[Outflow]])</f>
        <v>0</v>
      </c>
      <c r="AA261" s="24">
        <f>TModelo[[#This Row],[BalCDT]]+TModelo[[#This Row],[BalCOLCAP]]+TModelo[[#This Row],[BalUSD]]</f>
        <v>0</v>
      </c>
      <c r="AB261" s="24">
        <f>IF(TModelo[[#This Row],[CumInfl]]&gt;0,TModelo[[#This Row],[TotalPreLiq]]/TModelo[[#This Row],[CumInfl]],0)</f>
        <v>0</v>
      </c>
      <c r="AC261" s="41">
        <f>(1+PerRate)^(-TModelo[[#This Row],[Period]])</f>
        <v>0.16146054041374142</v>
      </c>
      <c r="AD261" s="42">
        <f>TModelo[[#This Row],[NetCF]]*TModelo[[#This Row],[fd]]</f>
        <v>0</v>
      </c>
    </row>
    <row r="262" spans="2:30" ht="16.95" customHeight="1">
      <c r="B262" s="11">
        <v>235</v>
      </c>
      <c r="C262" s="25">
        <f>EDATE(FechaInicio,TModelo[[#This Row],[Period]])</f>
        <v>53446</v>
      </c>
      <c r="D262" s="11">
        <f>IF(AND(TModelo[[#This Row],[Period]]&gt;=1,TModelo[[#This Row],[Period]]&lt;=HorizonteMeses),1,0)</f>
        <v>0</v>
      </c>
      <c r="E262" s="40">
        <f>TModelo[[#This Row],[Act]]*(INFb+(INFpi0-INFb)*(1-INFa)^TModelo[[#This Row],[Period]])</f>
        <v>0</v>
      </c>
      <c r="F262" s="28">
        <f>IF(TModelo[[#This Row],[Period]]&lt;=HorizonteMeses,F261*(1+TModelo[[#This Row],[InflMes]]),0)</f>
        <v>0</v>
      </c>
      <c r="G262" s="21">
        <f>TModelo[[#This Row],[Act]]*(CDTb+(CDTx0-CDTb)*(1-CDTa)^TModelo[[#This Row],[Period]]+CDTspread)</f>
        <v>0</v>
      </c>
      <c r="H262" s="40">
        <f>TModelo[[#This Row],[Act]]*((1+TModelo[[#This Row],[TasaCDT]])^(1/12)-1)*(1-Retencion)</f>
        <v>0</v>
      </c>
      <c r="I262" s="40">
        <f>TModelo[[#This Row],[Act]]*(EXP(MuCOLCAP+SigmaCOLCAP^2/2)-1)</f>
        <v>0</v>
      </c>
      <c r="J262" s="40">
        <f>TModelo[[#This Row],[Act]]*(EXP(MuTRM+SigmaTRM^2/2)-1)</f>
        <v>0</v>
      </c>
      <c r="K262" s="11">
        <f>TModelo[[#This Row],[Act]]*IF(Rebalanceo="Mensual",1,IF(Rebalanceo="Anual",IF(MOD(TModelo[[#This Row],[Period]]-1,12)=0,1,0),0))</f>
        <v>0</v>
      </c>
      <c r="L262" s="24">
        <f>TModelo[[#This Row],[Act]]*AporteMensual*IF(CrecimientoAporte="Con IPC",F261,1)</f>
        <v>0</v>
      </c>
      <c r="M262" s="24">
        <f>IF(TModelo[[#This Row],[Period]]=HorizonteMeses,TModelo[[#This Row],[TotalPreLiq]],0)</f>
        <v>0</v>
      </c>
      <c r="N262" s="24">
        <f>TModelo[[#This Row],[Inflow]]-TModelo[[#This Row],[Outflow]]</f>
        <v>0</v>
      </c>
      <c r="O262" s="24">
        <f t="shared" si="3"/>
        <v>0</v>
      </c>
      <c r="P262" s="24">
        <f>TModelo[[#This Row],[IntCDT]]+TModelo[[#This Row],[IntCOLCAP]]+TModelo[[#This Row],[IntUSD]]</f>
        <v>0</v>
      </c>
      <c r="Q262" s="24">
        <f>TModelo[[#This Row],[InitialBalance]]+TModelo[[#This Row],[Interest]]+TModelo[[#This Row],[Outflow]]-TModelo[[#This Row],[Inflow]]</f>
        <v>0</v>
      </c>
      <c r="R262" s="24">
        <f>TModelo[[#This Row],[Act]]*IF(TModelo[[#This Row],[Rebal]]=1,PesoCDT*(X261+Y261+Z261),X261)</f>
        <v>0</v>
      </c>
      <c r="S262" s="24">
        <f>TModelo[[#This Row],[Act]]*IF(TModelo[[#This Row],[Rebal]]=1,PesoCOLCAP*(X261+Y261+Z261),Y261)</f>
        <v>0</v>
      </c>
      <c r="T262" s="24">
        <f>TModelo[[#This Row],[Act]]*IF(TModelo[[#This Row],[Rebal]]=1,PesoUSD*(X261+Y261+Z261),Z261)</f>
        <v>0</v>
      </c>
      <c r="U262" s="24">
        <f>TModelo[[#This Row],[IniCDT]]*TModelo[[#This Row],[RetCDT]]</f>
        <v>0</v>
      </c>
      <c r="V262" s="24">
        <f>TModelo[[#This Row],[IniCOLCAP]]*TModelo[[#This Row],[RetCOLCAP]]</f>
        <v>0</v>
      </c>
      <c r="W262" s="24">
        <f>TModelo[[#This Row],[IniUSD]]*TModelo[[#This Row],[RetUSD]]</f>
        <v>0</v>
      </c>
      <c r="X262" s="24">
        <f>TModelo[[#This Row],[Act]]*(TModelo[[#This Row],[IniCDT]]+TModelo[[#This Row],[IntCDT]]+PesoCDT*TModelo[[#This Row],[Outflow]])</f>
        <v>0</v>
      </c>
      <c r="Y262" s="24">
        <f>TModelo[[#This Row],[Act]]*(TModelo[[#This Row],[IniCOLCAP]]+TModelo[[#This Row],[IntCOLCAP]]+PesoCOLCAP*TModelo[[#This Row],[Outflow]])</f>
        <v>0</v>
      </c>
      <c r="Z262" s="24">
        <f>TModelo[[#This Row],[Act]]*(TModelo[[#This Row],[IniUSD]]+TModelo[[#This Row],[IntUSD]]+PesoUSD*TModelo[[#This Row],[Outflow]])</f>
        <v>0</v>
      </c>
      <c r="AA262" s="24">
        <f>TModelo[[#This Row],[BalCDT]]+TModelo[[#This Row],[BalCOLCAP]]+TModelo[[#This Row],[BalUSD]]</f>
        <v>0</v>
      </c>
      <c r="AB262" s="24">
        <f>IF(TModelo[[#This Row],[CumInfl]]&gt;0,TModelo[[#This Row],[TotalPreLiq]]/TModelo[[#This Row],[CumInfl]],0)</f>
        <v>0</v>
      </c>
      <c r="AC262" s="41">
        <f>(1+PerRate)^(-TModelo[[#This Row],[Period]])</f>
        <v>0.16020721474403257</v>
      </c>
      <c r="AD262" s="42">
        <f>TModelo[[#This Row],[NetCF]]*TModelo[[#This Row],[fd]]</f>
        <v>0</v>
      </c>
    </row>
    <row r="263" spans="2:30" ht="16.95" customHeight="1">
      <c r="B263" s="11">
        <v>236</v>
      </c>
      <c r="C263" s="25">
        <f>EDATE(FechaInicio,TModelo[[#This Row],[Period]])</f>
        <v>53476</v>
      </c>
      <c r="D263" s="11">
        <f>IF(AND(TModelo[[#This Row],[Period]]&gt;=1,TModelo[[#This Row],[Period]]&lt;=HorizonteMeses),1,0)</f>
        <v>0</v>
      </c>
      <c r="E263" s="40">
        <f>TModelo[[#This Row],[Act]]*(INFb+(INFpi0-INFb)*(1-INFa)^TModelo[[#This Row],[Period]])</f>
        <v>0</v>
      </c>
      <c r="F263" s="28">
        <f>IF(TModelo[[#This Row],[Period]]&lt;=HorizonteMeses,F262*(1+TModelo[[#This Row],[InflMes]]),0)</f>
        <v>0</v>
      </c>
      <c r="G263" s="21">
        <f>TModelo[[#This Row],[Act]]*(CDTb+(CDTx0-CDTb)*(1-CDTa)^TModelo[[#This Row],[Period]]+CDTspread)</f>
        <v>0</v>
      </c>
      <c r="H263" s="40">
        <f>TModelo[[#This Row],[Act]]*((1+TModelo[[#This Row],[TasaCDT]])^(1/12)-1)*(1-Retencion)</f>
        <v>0</v>
      </c>
      <c r="I263" s="40">
        <f>TModelo[[#This Row],[Act]]*(EXP(MuCOLCAP+SigmaCOLCAP^2/2)-1)</f>
        <v>0</v>
      </c>
      <c r="J263" s="40">
        <f>TModelo[[#This Row],[Act]]*(EXP(MuTRM+SigmaTRM^2/2)-1)</f>
        <v>0</v>
      </c>
      <c r="K263" s="11">
        <f>TModelo[[#This Row],[Act]]*IF(Rebalanceo="Mensual",1,IF(Rebalanceo="Anual",IF(MOD(TModelo[[#This Row],[Period]]-1,12)=0,1,0),0))</f>
        <v>0</v>
      </c>
      <c r="L263" s="24">
        <f>TModelo[[#This Row],[Act]]*AporteMensual*IF(CrecimientoAporte="Con IPC",F262,1)</f>
        <v>0</v>
      </c>
      <c r="M263" s="24">
        <f>IF(TModelo[[#This Row],[Period]]=HorizonteMeses,TModelo[[#This Row],[TotalPreLiq]],0)</f>
        <v>0</v>
      </c>
      <c r="N263" s="24">
        <f>TModelo[[#This Row],[Inflow]]-TModelo[[#This Row],[Outflow]]</f>
        <v>0</v>
      </c>
      <c r="O263" s="24">
        <f t="shared" si="3"/>
        <v>0</v>
      </c>
      <c r="P263" s="24">
        <f>TModelo[[#This Row],[IntCDT]]+TModelo[[#This Row],[IntCOLCAP]]+TModelo[[#This Row],[IntUSD]]</f>
        <v>0</v>
      </c>
      <c r="Q263" s="24">
        <f>TModelo[[#This Row],[InitialBalance]]+TModelo[[#This Row],[Interest]]+TModelo[[#This Row],[Outflow]]-TModelo[[#This Row],[Inflow]]</f>
        <v>0</v>
      </c>
      <c r="R263" s="24">
        <f>TModelo[[#This Row],[Act]]*IF(TModelo[[#This Row],[Rebal]]=1,PesoCDT*(X262+Y262+Z262),X262)</f>
        <v>0</v>
      </c>
      <c r="S263" s="24">
        <f>TModelo[[#This Row],[Act]]*IF(TModelo[[#This Row],[Rebal]]=1,PesoCOLCAP*(X262+Y262+Z262),Y262)</f>
        <v>0</v>
      </c>
      <c r="T263" s="24">
        <f>TModelo[[#This Row],[Act]]*IF(TModelo[[#This Row],[Rebal]]=1,PesoUSD*(X262+Y262+Z262),Z262)</f>
        <v>0</v>
      </c>
      <c r="U263" s="24">
        <f>TModelo[[#This Row],[IniCDT]]*TModelo[[#This Row],[RetCDT]]</f>
        <v>0</v>
      </c>
      <c r="V263" s="24">
        <f>TModelo[[#This Row],[IniCOLCAP]]*TModelo[[#This Row],[RetCOLCAP]]</f>
        <v>0</v>
      </c>
      <c r="W263" s="24">
        <f>TModelo[[#This Row],[IniUSD]]*TModelo[[#This Row],[RetUSD]]</f>
        <v>0</v>
      </c>
      <c r="X263" s="24">
        <f>TModelo[[#This Row],[Act]]*(TModelo[[#This Row],[IniCDT]]+TModelo[[#This Row],[IntCDT]]+PesoCDT*TModelo[[#This Row],[Outflow]])</f>
        <v>0</v>
      </c>
      <c r="Y263" s="24">
        <f>TModelo[[#This Row],[Act]]*(TModelo[[#This Row],[IniCOLCAP]]+TModelo[[#This Row],[IntCOLCAP]]+PesoCOLCAP*TModelo[[#This Row],[Outflow]])</f>
        <v>0</v>
      </c>
      <c r="Z263" s="24">
        <f>TModelo[[#This Row],[Act]]*(TModelo[[#This Row],[IniUSD]]+TModelo[[#This Row],[IntUSD]]+PesoUSD*TModelo[[#This Row],[Outflow]])</f>
        <v>0</v>
      </c>
      <c r="AA263" s="24">
        <f>TModelo[[#This Row],[BalCDT]]+TModelo[[#This Row],[BalCOLCAP]]+TModelo[[#This Row],[BalUSD]]</f>
        <v>0</v>
      </c>
      <c r="AB263" s="24">
        <f>IF(TModelo[[#This Row],[CumInfl]]&gt;0,TModelo[[#This Row],[TotalPreLiq]]/TModelo[[#This Row],[CumInfl]],0)</f>
        <v>0</v>
      </c>
      <c r="AC263" s="41">
        <f>(1+PerRate)^(-TModelo[[#This Row],[Period]])</f>
        <v>0.15896361792343028</v>
      </c>
      <c r="AD263" s="42">
        <f>TModelo[[#This Row],[NetCF]]*TModelo[[#This Row],[fd]]</f>
        <v>0</v>
      </c>
    </row>
    <row r="264" spans="2:30" ht="16.95" customHeight="1">
      <c r="B264" s="11">
        <v>237</v>
      </c>
      <c r="C264" s="25">
        <f>EDATE(FechaInicio,TModelo[[#This Row],[Period]])</f>
        <v>53507</v>
      </c>
      <c r="D264" s="11">
        <f>IF(AND(TModelo[[#This Row],[Period]]&gt;=1,TModelo[[#This Row],[Period]]&lt;=HorizonteMeses),1,0)</f>
        <v>0</v>
      </c>
      <c r="E264" s="40">
        <f>TModelo[[#This Row],[Act]]*(INFb+(INFpi0-INFb)*(1-INFa)^TModelo[[#This Row],[Period]])</f>
        <v>0</v>
      </c>
      <c r="F264" s="28">
        <f>IF(TModelo[[#This Row],[Period]]&lt;=HorizonteMeses,F263*(1+TModelo[[#This Row],[InflMes]]),0)</f>
        <v>0</v>
      </c>
      <c r="G264" s="21">
        <f>TModelo[[#This Row],[Act]]*(CDTb+(CDTx0-CDTb)*(1-CDTa)^TModelo[[#This Row],[Period]]+CDTspread)</f>
        <v>0</v>
      </c>
      <c r="H264" s="40">
        <f>TModelo[[#This Row],[Act]]*((1+TModelo[[#This Row],[TasaCDT]])^(1/12)-1)*(1-Retencion)</f>
        <v>0</v>
      </c>
      <c r="I264" s="40">
        <f>TModelo[[#This Row],[Act]]*(EXP(MuCOLCAP+SigmaCOLCAP^2/2)-1)</f>
        <v>0</v>
      </c>
      <c r="J264" s="40">
        <f>TModelo[[#This Row],[Act]]*(EXP(MuTRM+SigmaTRM^2/2)-1)</f>
        <v>0</v>
      </c>
      <c r="K264" s="11">
        <f>TModelo[[#This Row],[Act]]*IF(Rebalanceo="Mensual",1,IF(Rebalanceo="Anual",IF(MOD(TModelo[[#This Row],[Period]]-1,12)=0,1,0),0))</f>
        <v>0</v>
      </c>
      <c r="L264" s="24">
        <f>TModelo[[#This Row],[Act]]*AporteMensual*IF(CrecimientoAporte="Con IPC",F263,1)</f>
        <v>0</v>
      </c>
      <c r="M264" s="24">
        <f>IF(TModelo[[#This Row],[Period]]=HorizonteMeses,TModelo[[#This Row],[TotalPreLiq]],0)</f>
        <v>0</v>
      </c>
      <c r="N264" s="24">
        <f>TModelo[[#This Row],[Inflow]]-TModelo[[#This Row],[Outflow]]</f>
        <v>0</v>
      </c>
      <c r="O264" s="24">
        <f t="shared" si="3"/>
        <v>0</v>
      </c>
      <c r="P264" s="24">
        <f>TModelo[[#This Row],[IntCDT]]+TModelo[[#This Row],[IntCOLCAP]]+TModelo[[#This Row],[IntUSD]]</f>
        <v>0</v>
      </c>
      <c r="Q264" s="24">
        <f>TModelo[[#This Row],[InitialBalance]]+TModelo[[#This Row],[Interest]]+TModelo[[#This Row],[Outflow]]-TModelo[[#This Row],[Inflow]]</f>
        <v>0</v>
      </c>
      <c r="R264" s="24">
        <f>TModelo[[#This Row],[Act]]*IF(TModelo[[#This Row],[Rebal]]=1,PesoCDT*(X263+Y263+Z263),X263)</f>
        <v>0</v>
      </c>
      <c r="S264" s="24">
        <f>TModelo[[#This Row],[Act]]*IF(TModelo[[#This Row],[Rebal]]=1,PesoCOLCAP*(X263+Y263+Z263),Y263)</f>
        <v>0</v>
      </c>
      <c r="T264" s="24">
        <f>TModelo[[#This Row],[Act]]*IF(TModelo[[#This Row],[Rebal]]=1,PesoUSD*(X263+Y263+Z263),Z263)</f>
        <v>0</v>
      </c>
      <c r="U264" s="24">
        <f>TModelo[[#This Row],[IniCDT]]*TModelo[[#This Row],[RetCDT]]</f>
        <v>0</v>
      </c>
      <c r="V264" s="24">
        <f>TModelo[[#This Row],[IniCOLCAP]]*TModelo[[#This Row],[RetCOLCAP]]</f>
        <v>0</v>
      </c>
      <c r="W264" s="24">
        <f>TModelo[[#This Row],[IniUSD]]*TModelo[[#This Row],[RetUSD]]</f>
        <v>0</v>
      </c>
      <c r="X264" s="24">
        <f>TModelo[[#This Row],[Act]]*(TModelo[[#This Row],[IniCDT]]+TModelo[[#This Row],[IntCDT]]+PesoCDT*TModelo[[#This Row],[Outflow]])</f>
        <v>0</v>
      </c>
      <c r="Y264" s="24">
        <f>TModelo[[#This Row],[Act]]*(TModelo[[#This Row],[IniCOLCAP]]+TModelo[[#This Row],[IntCOLCAP]]+PesoCOLCAP*TModelo[[#This Row],[Outflow]])</f>
        <v>0</v>
      </c>
      <c r="Z264" s="24">
        <f>TModelo[[#This Row],[Act]]*(TModelo[[#This Row],[IniUSD]]+TModelo[[#This Row],[IntUSD]]+PesoUSD*TModelo[[#This Row],[Outflow]])</f>
        <v>0</v>
      </c>
      <c r="AA264" s="24">
        <f>TModelo[[#This Row],[BalCDT]]+TModelo[[#This Row],[BalCOLCAP]]+TModelo[[#This Row],[BalUSD]]</f>
        <v>0</v>
      </c>
      <c r="AB264" s="24">
        <f>IF(TModelo[[#This Row],[CumInfl]]&gt;0,TModelo[[#This Row],[TotalPreLiq]]/TModelo[[#This Row],[CumInfl]],0)</f>
        <v>0</v>
      </c>
      <c r="AC264" s="41">
        <f>(1+PerRate)^(-TModelo[[#This Row],[Period]])</f>
        <v>0.15772967443245287</v>
      </c>
      <c r="AD264" s="42">
        <f>TModelo[[#This Row],[NetCF]]*TModelo[[#This Row],[fd]]</f>
        <v>0</v>
      </c>
    </row>
    <row r="265" spans="2:30" ht="16.95" customHeight="1">
      <c r="B265" s="11">
        <v>238</v>
      </c>
      <c r="C265" s="25">
        <f>EDATE(FechaInicio,TModelo[[#This Row],[Period]])</f>
        <v>53537</v>
      </c>
      <c r="D265" s="11">
        <f>IF(AND(TModelo[[#This Row],[Period]]&gt;=1,TModelo[[#This Row],[Period]]&lt;=HorizonteMeses),1,0)</f>
        <v>0</v>
      </c>
      <c r="E265" s="40">
        <f>TModelo[[#This Row],[Act]]*(INFb+(INFpi0-INFb)*(1-INFa)^TModelo[[#This Row],[Period]])</f>
        <v>0</v>
      </c>
      <c r="F265" s="28">
        <f>IF(TModelo[[#This Row],[Period]]&lt;=HorizonteMeses,F264*(1+TModelo[[#This Row],[InflMes]]),0)</f>
        <v>0</v>
      </c>
      <c r="G265" s="21">
        <f>TModelo[[#This Row],[Act]]*(CDTb+(CDTx0-CDTb)*(1-CDTa)^TModelo[[#This Row],[Period]]+CDTspread)</f>
        <v>0</v>
      </c>
      <c r="H265" s="40">
        <f>TModelo[[#This Row],[Act]]*((1+TModelo[[#This Row],[TasaCDT]])^(1/12)-1)*(1-Retencion)</f>
        <v>0</v>
      </c>
      <c r="I265" s="40">
        <f>TModelo[[#This Row],[Act]]*(EXP(MuCOLCAP+SigmaCOLCAP^2/2)-1)</f>
        <v>0</v>
      </c>
      <c r="J265" s="40">
        <f>TModelo[[#This Row],[Act]]*(EXP(MuTRM+SigmaTRM^2/2)-1)</f>
        <v>0</v>
      </c>
      <c r="K265" s="11">
        <f>TModelo[[#This Row],[Act]]*IF(Rebalanceo="Mensual",1,IF(Rebalanceo="Anual",IF(MOD(TModelo[[#This Row],[Period]]-1,12)=0,1,0),0))</f>
        <v>0</v>
      </c>
      <c r="L265" s="24">
        <f>TModelo[[#This Row],[Act]]*AporteMensual*IF(CrecimientoAporte="Con IPC",F264,1)</f>
        <v>0</v>
      </c>
      <c r="M265" s="24">
        <f>IF(TModelo[[#This Row],[Period]]=HorizonteMeses,TModelo[[#This Row],[TotalPreLiq]],0)</f>
        <v>0</v>
      </c>
      <c r="N265" s="24">
        <f>TModelo[[#This Row],[Inflow]]-TModelo[[#This Row],[Outflow]]</f>
        <v>0</v>
      </c>
      <c r="O265" s="24">
        <f t="shared" si="3"/>
        <v>0</v>
      </c>
      <c r="P265" s="24">
        <f>TModelo[[#This Row],[IntCDT]]+TModelo[[#This Row],[IntCOLCAP]]+TModelo[[#This Row],[IntUSD]]</f>
        <v>0</v>
      </c>
      <c r="Q265" s="24">
        <f>TModelo[[#This Row],[InitialBalance]]+TModelo[[#This Row],[Interest]]+TModelo[[#This Row],[Outflow]]-TModelo[[#This Row],[Inflow]]</f>
        <v>0</v>
      </c>
      <c r="R265" s="24">
        <f>TModelo[[#This Row],[Act]]*IF(TModelo[[#This Row],[Rebal]]=1,PesoCDT*(X264+Y264+Z264),X264)</f>
        <v>0</v>
      </c>
      <c r="S265" s="24">
        <f>TModelo[[#This Row],[Act]]*IF(TModelo[[#This Row],[Rebal]]=1,PesoCOLCAP*(X264+Y264+Z264),Y264)</f>
        <v>0</v>
      </c>
      <c r="T265" s="24">
        <f>TModelo[[#This Row],[Act]]*IF(TModelo[[#This Row],[Rebal]]=1,PesoUSD*(X264+Y264+Z264),Z264)</f>
        <v>0</v>
      </c>
      <c r="U265" s="24">
        <f>TModelo[[#This Row],[IniCDT]]*TModelo[[#This Row],[RetCDT]]</f>
        <v>0</v>
      </c>
      <c r="V265" s="24">
        <f>TModelo[[#This Row],[IniCOLCAP]]*TModelo[[#This Row],[RetCOLCAP]]</f>
        <v>0</v>
      </c>
      <c r="W265" s="24">
        <f>TModelo[[#This Row],[IniUSD]]*TModelo[[#This Row],[RetUSD]]</f>
        <v>0</v>
      </c>
      <c r="X265" s="24">
        <f>TModelo[[#This Row],[Act]]*(TModelo[[#This Row],[IniCDT]]+TModelo[[#This Row],[IntCDT]]+PesoCDT*TModelo[[#This Row],[Outflow]])</f>
        <v>0</v>
      </c>
      <c r="Y265" s="24">
        <f>TModelo[[#This Row],[Act]]*(TModelo[[#This Row],[IniCOLCAP]]+TModelo[[#This Row],[IntCOLCAP]]+PesoCOLCAP*TModelo[[#This Row],[Outflow]])</f>
        <v>0</v>
      </c>
      <c r="Z265" s="24">
        <f>TModelo[[#This Row],[Act]]*(TModelo[[#This Row],[IniUSD]]+TModelo[[#This Row],[IntUSD]]+PesoUSD*TModelo[[#This Row],[Outflow]])</f>
        <v>0</v>
      </c>
      <c r="AA265" s="24">
        <f>TModelo[[#This Row],[BalCDT]]+TModelo[[#This Row],[BalCOLCAP]]+TModelo[[#This Row],[BalUSD]]</f>
        <v>0</v>
      </c>
      <c r="AB265" s="24">
        <f>IF(TModelo[[#This Row],[CumInfl]]&gt;0,TModelo[[#This Row],[TotalPreLiq]]/TModelo[[#This Row],[CumInfl]],0)</f>
        <v>0</v>
      </c>
      <c r="AC265" s="41">
        <f>(1+PerRate)^(-TModelo[[#This Row],[Period]])</f>
        <v>0.15650530933783319</v>
      </c>
      <c r="AD265" s="42">
        <f>TModelo[[#This Row],[NetCF]]*TModelo[[#This Row],[fd]]</f>
        <v>0</v>
      </c>
    </row>
    <row r="266" spans="2:30" ht="16.95" customHeight="1">
      <c r="B266" s="11">
        <v>239</v>
      </c>
      <c r="C266" s="25">
        <f>EDATE(FechaInicio,TModelo[[#This Row],[Period]])</f>
        <v>53568</v>
      </c>
      <c r="D266" s="11">
        <f>IF(AND(TModelo[[#This Row],[Period]]&gt;=1,TModelo[[#This Row],[Period]]&lt;=HorizonteMeses),1,0)</f>
        <v>0</v>
      </c>
      <c r="E266" s="40">
        <f>TModelo[[#This Row],[Act]]*(INFb+(INFpi0-INFb)*(1-INFa)^TModelo[[#This Row],[Period]])</f>
        <v>0</v>
      </c>
      <c r="F266" s="28">
        <f>IF(TModelo[[#This Row],[Period]]&lt;=HorizonteMeses,F265*(1+TModelo[[#This Row],[InflMes]]),0)</f>
        <v>0</v>
      </c>
      <c r="G266" s="21">
        <f>TModelo[[#This Row],[Act]]*(CDTb+(CDTx0-CDTb)*(1-CDTa)^TModelo[[#This Row],[Period]]+CDTspread)</f>
        <v>0</v>
      </c>
      <c r="H266" s="40">
        <f>TModelo[[#This Row],[Act]]*((1+TModelo[[#This Row],[TasaCDT]])^(1/12)-1)*(1-Retencion)</f>
        <v>0</v>
      </c>
      <c r="I266" s="40">
        <f>TModelo[[#This Row],[Act]]*(EXP(MuCOLCAP+SigmaCOLCAP^2/2)-1)</f>
        <v>0</v>
      </c>
      <c r="J266" s="40">
        <f>TModelo[[#This Row],[Act]]*(EXP(MuTRM+SigmaTRM^2/2)-1)</f>
        <v>0</v>
      </c>
      <c r="K266" s="11">
        <f>TModelo[[#This Row],[Act]]*IF(Rebalanceo="Mensual",1,IF(Rebalanceo="Anual",IF(MOD(TModelo[[#This Row],[Period]]-1,12)=0,1,0),0))</f>
        <v>0</v>
      </c>
      <c r="L266" s="24">
        <f>TModelo[[#This Row],[Act]]*AporteMensual*IF(CrecimientoAporte="Con IPC",F265,1)</f>
        <v>0</v>
      </c>
      <c r="M266" s="24">
        <f>IF(TModelo[[#This Row],[Period]]=HorizonteMeses,TModelo[[#This Row],[TotalPreLiq]],0)</f>
        <v>0</v>
      </c>
      <c r="N266" s="24">
        <f>TModelo[[#This Row],[Inflow]]-TModelo[[#This Row],[Outflow]]</f>
        <v>0</v>
      </c>
      <c r="O266" s="24">
        <f t="shared" si="3"/>
        <v>0</v>
      </c>
      <c r="P266" s="24">
        <f>TModelo[[#This Row],[IntCDT]]+TModelo[[#This Row],[IntCOLCAP]]+TModelo[[#This Row],[IntUSD]]</f>
        <v>0</v>
      </c>
      <c r="Q266" s="24">
        <f>TModelo[[#This Row],[InitialBalance]]+TModelo[[#This Row],[Interest]]+TModelo[[#This Row],[Outflow]]-TModelo[[#This Row],[Inflow]]</f>
        <v>0</v>
      </c>
      <c r="R266" s="24">
        <f>TModelo[[#This Row],[Act]]*IF(TModelo[[#This Row],[Rebal]]=1,PesoCDT*(X265+Y265+Z265),X265)</f>
        <v>0</v>
      </c>
      <c r="S266" s="24">
        <f>TModelo[[#This Row],[Act]]*IF(TModelo[[#This Row],[Rebal]]=1,PesoCOLCAP*(X265+Y265+Z265),Y265)</f>
        <v>0</v>
      </c>
      <c r="T266" s="24">
        <f>TModelo[[#This Row],[Act]]*IF(TModelo[[#This Row],[Rebal]]=1,PesoUSD*(X265+Y265+Z265),Z265)</f>
        <v>0</v>
      </c>
      <c r="U266" s="24">
        <f>TModelo[[#This Row],[IniCDT]]*TModelo[[#This Row],[RetCDT]]</f>
        <v>0</v>
      </c>
      <c r="V266" s="24">
        <f>TModelo[[#This Row],[IniCOLCAP]]*TModelo[[#This Row],[RetCOLCAP]]</f>
        <v>0</v>
      </c>
      <c r="W266" s="24">
        <f>TModelo[[#This Row],[IniUSD]]*TModelo[[#This Row],[RetUSD]]</f>
        <v>0</v>
      </c>
      <c r="X266" s="24">
        <f>TModelo[[#This Row],[Act]]*(TModelo[[#This Row],[IniCDT]]+TModelo[[#This Row],[IntCDT]]+PesoCDT*TModelo[[#This Row],[Outflow]])</f>
        <v>0</v>
      </c>
      <c r="Y266" s="24">
        <f>TModelo[[#This Row],[Act]]*(TModelo[[#This Row],[IniCOLCAP]]+TModelo[[#This Row],[IntCOLCAP]]+PesoCOLCAP*TModelo[[#This Row],[Outflow]])</f>
        <v>0</v>
      </c>
      <c r="Z266" s="24">
        <f>TModelo[[#This Row],[Act]]*(TModelo[[#This Row],[IniUSD]]+TModelo[[#This Row],[IntUSD]]+PesoUSD*TModelo[[#This Row],[Outflow]])</f>
        <v>0</v>
      </c>
      <c r="AA266" s="24">
        <f>TModelo[[#This Row],[BalCDT]]+TModelo[[#This Row],[BalCOLCAP]]+TModelo[[#This Row],[BalUSD]]</f>
        <v>0</v>
      </c>
      <c r="AB266" s="24">
        <f>IF(TModelo[[#This Row],[CumInfl]]&gt;0,TModelo[[#This Row],[TotalPreLiq]]/TModelo[[#This Row],[CumInfl]],0)</f>
        <v>0</v>
      </c>
      <c r="AC266" s="41">
        <f>(1+PerRate)^(-TModelo[[#This Row],[Period]])</f>
        <v>0.15529044828796798</v>
      </c>
      <c r="AD266" s="42">
        <f>TModelo[[#This Row],[NetCF]]*TModelo[[#This Row],[fd]]</f>
        <v>0</v>
      </c>
    </row>
    <row r="267" spans="2:30" ht="16.95" customHeight="1">
      <c r="B267" s="11">
        <v>240</v>
      </c>
      <c r="C267" s="25">
        <f>EDATE(FechaInicio,TModelo[[#This Row],[Period]])</f>
        <v>53599</v>
      </c>
      <c r="D267" s="11">
        <f>IF(AND(TModelo[[#This Row],[Period]]&gt;=1,TModelo[[#This Row],[Period]]&lt;=HorizonteMeses),1,0)</f>
        <v>0</v>
      </c>
      <c r="E267" s="40">
        <f>TModelo[[#This Row],[Act]]*(INFb+(INFpi0-INFb)*(1-INFa)^TModelo[[#This Row],[Period]])</f>
        <v>0</v>
      </c>
      <c r="F267" s="28">
        <f>IF(TModelo[[#This Row],[Period]]&lt;=HorizonteMeses,F266*(1+TModelo[[#This Row],[InflMes]]),0)</f>
        <v>0</v>
      </c>
      <c r="G267" s="21">
        <f>TModelo[[#This Row],[Act]]*(CDTb+(CDTx0-CDTb)*(1-CDTa)^TModelo[[#This Row],[Period]]+CDTspread)</f>
        <v>0</v>
      </c>
      <c r="H267" s="40">
        <f>TModelo[[#This Row],[Act]]*((1+TModelo[[#This Row],[TasaCDT]])^(1/12)-1)*(1-Retencion)</f>
        <v>0</v>
      </c>
      <c r="I267" s="40">
        <f>TModelo[[#This Row],[Act]]*(EXP(MuCOLCAP+SigmaCOLCAP^2/2)-1)</f>
        <v>0</v>
      </c>
      <c r="J267" s="40">
        <f>TModelo[[#This Row],[Act]]*(EXP(MuTRM+SigmaTRM^2/2)-1)</f>
        <v>0</v>
      </c>
      <c r="K267" s="11">
        <f>TModelo[[#This Row],[Act]]*IF(Rebalanceo="Mensual",1,IF(Rebalanceo="Anual",IF(MOD(TModelo[[#This Row],[Period]]-1,12)=0,1,0),0))</f>
        <v>0</v>
      </c>
      <c r="L267" s="24">
        <f>TModelo[[#This Row],[Act]]*AporteMensual*IF(CrecimientoAporte="Con IPC",F266,1)</f>
        <v>0</v>
      </c>
      <c r="M267" s="24">
        <f>IF(TModelo[[#This Row],[Period]]=HorizonteMeses,TModelo[[#This Row],[TotalPreLiq]],0)</f>
        <v>0</v>
      </c>
      <c r="N267" s="24">
        <f>TModelo[[#This Row],[Inflow]]-TModelo[[#This Row],[Outflow]]</f>
        <v>0</v>
      </c>
      <c r="O267" s="24">
        <f t="shared" si="3"/>
        <v>0</v>
      </c>
      <c r="P267" s="24">
        <f>TModelo[[#This Row],[IntCDT]]+TModelo[[#This Row],[IntCOLCAP]]+TModelo[[#This Row],[IntUSD]]</f>
        <v>0</v>
      </c>
      <c r="Q267" s="24">
        <f>TModelo[[#This Row],[InitialBalance]]+TModelo[[#This Row],[Interest]]+TModelo[[#This Row],[Outflow]]-TModelo[[#This Row],[Inflow]]</f>
        <v>0</v>
      </c>
      <c r="R267" s="24">
        <f>TModelo[[#This Row],[Act]]*IF(TModelo[[#This Row],[Rebal]]=1,PesoCDT*(X266+Y266+Z266),X266)</f>
        <v>0</v>
      </c>
      <c r="S267" s="24">
        <f>TModelo[[#This Row],[Act]]*IF(TModelo[[#This Row],[Rebal]]=1,PesoCOLCAP*(X266+Y266+Z266),Y266)</f>
        <v>0</v>
      </c>
      <c r="T267" s="24">
        <f>TModelo[[#This Row],[Act]]*IF(TModelo[[#This Row],[Rebal]]=1,PesoUSD*(X266+Y266+Z266),Z266)</f>
        <v>0</v>
      </c>
      <c r="U267" s="24">
        <f>TModelo[[#This Row],[IniCDT]]*TModelo[[#This Row],[RetCDT]]</f>
        <v>0</v>
      </c>
      <c r="V267" s="24">
        <f>TModelo[[#This Row],[IniCOLCAP]]*TModelo[[#This Row],[RetCOLCAP]]</f>
        <v>0</v>
      </c>
      <c r="W267" s="24">
        <f>TModelo[[#This Row],[IniUSD]]*TModelo[[#This Row],[RetUSD]]</f>
        <v>0</v>
      </c>
      <c r="X267" s="24">
        <f>TModelo[[#This Row],[Act]]*(TModelo[[#This Row],[IniCDT]]+TModelo[[#This Row],[IntCDT]]+PesoCDT*TModelo[[#This Row],[Outflow]])</f>
        <v>0</v>
      </c>
      <c r="Y267" s="24">
        <f>TModelo[[#This Row],[Act]]*(TModelo[[#This Row],[IniCOLCAP]]+TModelo[[#This Row],[IntCOLCAP]]+PesoCOLCAP*TModelo[[#This Row],[Outflow]])</f>
        <v>0</v>
      </c>
      <c r="Z267" s="24">
        <f>TModelo[[#This Row],[Act]]*(TModelo[[#This Row],[IniUSD]]+TModelo[[#This Row],[IntUSD]]+PesoUSD*TModelo[[#This Row],[Outflow]])</f>
        <v>0</v>
      </c>
      <c r="AA267" s="24">
        <f>TModelo[[#This Row],[BalCDT]]+TModelo[[#This Row],[BalCOLCAP]]+TModelo[[#This Row],[BalUSD]]</f>
        <v>0</v>
      </c>
      <c r="AB267" s="24">
        <f>IF(TModelo[[#This Row],[CumInfl]]&gt;0,TModelo[[#This Row],[TotalPreLiq]]/TModelo[[#This Row],[CumInfl]],0)</f>
        <v>0</v>
      </c>
      <c r="AC267" s="41">
        <f>(1+PerRate)^(-TModelo[[#This Row],[Period]])</f>
        <v>0.15408501750840303</v>
      </c>
      <c r="AD267" s="42">
        <f>TModelo[[#This Row],[NetCF]]*TModelo[[#This Row],[fd]]</f>
        <v>0</v>
      </c>
    </row>
    <row r="268" spans="2:30" ht="16.95" customHeight="1">
      <c r="B268" s="11">
        <v>241</v>
      </c>
      <c r="C268" s="25">
        <f>EDATE(FechaInicio,TModelo[[#This Row],[Period]])</f>
        <v>53629</v>
      </c>
      <c r="D268" s="11">
        <f>IF(AND(TModelo[[#This Row],[Period]]&gt;=1,TModelo[[#This Row],[Period]]&lt;=HorizonteMeses),1,0)</f>
        <v>0</v>
      </c>
      <c r="E268" s="40">
        <f>TModelo[[#This Row],[Act]]*(INFb+(INFpi0-INFb)*(1-INFa)^TModelo[[#This Row],[Period]])</f>
        <v>0</v>
      </c>
      <c r="F268" s="28">
        <f>IF(TModelo[[#This Row],[Period]]&lt;=HorizonteMeses,F267*(1+TModelo[[#This Row],[InflMes]]),0)</f>
        <v>0</v>
      </c>
      <c r="G268" s="21">
        <f>TModelo[[#This Row],[Act]]*(CDTb+(CDTx0-CDTb)*(1-CDTa)^TModelo[[#This Row],[Period]]+CDTspread)</f>
        <v>0</v>
      </c>
      <c r="H268" s="40">
        <f>TModelo[[#This Row],[Act]]*((1+TModelo[[#This Row],[TasaCDT]])^(1/12)-1)*(1-Retencion)</f>
        <v>0</v>
      </c>
      <c r="I268" s="40">
        <f>TModelo[[#This Row],[Act]]*(EXP(MuCOLCAP+SigmaCOLCAP^2/2)-1)</f>
        <v>0</v>
      </c>
      <c r="J268" s="40">
        <f>TModelo[[#This Row],[Act]]*(EXP(MuTRM+SigmaTRM^2/2)-1)</f>
        <v>0</v>
      </c>
      <c r="K268" s="11">
        <f>TModelo[[#This Row],[Act]]*IF(Rebalanceo="Mensual",1,IF(Rebalanceo="Anual",IF(MOD(TModelo[[#This Row],[Period]]-1,12)=0,1,0),0))</f>
        <v>0</v>
      </c>
      <c r="L268" s="24">
        <f>TModelo[[#This Row],[Act]]*AporteMensual*IF(CrecimientoAporte="Con IPC",F267,1)</f>
        <v>0</v>
      </c>
      <c r="M268" s="24">
        <f>IF(TModelo[[#This Row],[Period]]=HorizonteMeses,TModelo[[#This Row],[TotalPreLiq]],0)</f>
        <v>0</v>
      </c>
      <c r="N268" s="24">
        <f>TModelo[[#This Row],[Inflow]]-TModelo[[#This Row],[Outflow]]</f>
        <v>0</v>
      </c>
      <c r="O268" s="24">
        <f t="shared" si="3"/>
        <v>0</v>
      </c>
      <c r="P268" s="24">
        <f>TModelo[[#This Row],[IntCDT]]+TModelo[[#This Row],[IntCOLCAP]]+TModelo[[#This Row],[IntUSD]]</f>
        <v>0</v>
      </c>
      <c r="Q268" s="24">
        <f>TModelo[[#This Row],[InitialBalance]]+TModelo[[#This Row],[Interest]]+TModelo[[#This Row],[Outflow]]-TModelo[[#This Row],[Inflow]]</f>
        <v>0</v>
      </c>
      <c r="R268" s="24">
        <f>TModelo[[#This Row],[Act]]*IF(TModelo[[#This Row],[Rebal]]=1,PesoCDT*(X267+Y267+Z267),X267)</f>
        <v>0</v>
      </c>
      <c r="S268" s="24">
        <f>TModelo[[#This Row],[Act]]*IF(TModelo[[#This Row],[Rebal]]=1,PesoCOLCAP*(X267+Y267+Z267),Y267)</f>
        <v>0</v>
      </c>
      <c r="T268" s="24">
        <f>TModelo[[#This Row],[Act]]*IF(TModelo[[#This Row],[Rebal]]=1,PesoUSD*(X267+Y267+Z267),Z267)</f>
        <v>0</v>
      </c>
      <c r="U268" s="24">
        <f>TModelo[[#This Row],[IniCDT]]*TModelo[[#This Row],[RetCDT]]</f>
        <v>0</v>
      </c>
      <c r="V268" s="24">
        <f>TModelo[[#This Row],[IniCOLCAP]]*TModelo[[#This Row],[RetCOLCAP]]</f>
        <v>0</v>
      </c>
      <c r="W268" s="24">
        <f>TModelo[[#This Row],[IniUSD]]*TModelo[[#This Row],[RetUSD]]</f>
        <v>0</v>
      </c>
      <c r="X268" s="24">
        <f>TModelo[[#This Row],[Act]]*(TModelo[[#This Row],[IniCDT]]+TModelo[[#This Row],[IntCDT]]+PesoCDT*TModelo[[#This Row],[Outflow]])</f>
        <v>0</v>
      </c>
      <c r="Y268" s="24">
        <f>TModelo[[#This Row],[Act]]*(TModelo[[#This Row],[IniCOLCAP]]+TModelo[[#This Row],[IntCOLCAP]]+PesoCOLCAP*TModelo[[#This Row],[Outflow]])</f>
        <v>0</v>
      </c>
      <c r="Z268" s="24">
        <f>TModelo[[#This Row],[Act]]*(TModelo[[#This Row],[IniUSD]]+TModelo[[#This Row],[IntUSD]]+PesoUSD*TModelo[[#This Row],[Outflow]])</f>
        <v>0</v>
      </c>
      <c r="AA268" s="24">
        <f>TModelo[[#This Row],[BalCDT]]+TModelo[[#This Row],[BalCOLCAP]]+TModelo[[#This Row],[BalUSD]]</f>
        <v>0</v>
      </c>
      <c r="AB268" s="24">
        <f>IF(TModelo[[#This Row],[CumInfl]]&gt;0,TModelo[[#This Row],[TotalPreLiq]]/TModelo[[#This Row],[CumInfl]],0)</f>
        <v>0</v>
      </c>
      <c r="AC268" s="41">
        <f>(1+PerRate)^(-TModelo[[#This Row],[Period]])</f>
        <v>0.15288894379735291</v>
      </c>
      <c r="AD268" s="42">
        <f>TModelo[[#This Row],[NetCF]]*TModelo[[#This Row],[fd]]</f>
        <v>0</v>
      </c>
    </row>
    <row r="269" spans="2:30" ht="16.95" customHeight="1">
      <c r="B269" s="11">
        <v>242</v>
      </c>
      <c r="C269" s="25">
        <f>EDATE(FechaInicio,TModelo[[#This Row],[Period]])</f>
        <v>53660</v>
      </c>
      <c r="D269" s="11">
        <f>IF(AND(TModelo[[#This Row],[Period]]&gt;=1,TModelo[[#This Row],[Period]]&lt;=HorizonteMeses),1,0)</f>
        <v>0</v>
      </c>
      <c r="E269" s="40">
        <f>TModelo[[#This Row],[Act]]*(INFb+(INFpi0-INFb)*(1-INFa)^TModelo[[#This Row],[Period]])</f>
        <v>0</v>
      </c>
      <c r="F269" s="28">
        <f>IF(TModelo[[#This Row],[Period]]&lt;=HorizonteMeses,F268*(1+TModelo[[#This Row],[InflMes]]),0)</f>
        <v>0</v>
      </c>
      <c r="G269" s="21">
        <f>TModelo[[#This Row],[Act]]*(CDTb+(CDTx0-CDTb)*(1-CDTa)^TModelo[[#This Row],[Period]]+CDTspread)</f>
        <v>0</v>
      </c>
      <c r="H269" s="40">
        <f>TModelo[[#This Row],[Act]]*((1+TModelo[[#This Row],[TasaCDT]])^(1/12)-1)*(1-Retencion)</f>
        <v>0</v>
      </c>
      <c r="I269" s="40">
        <f>TModelo[[#This Row],[Act]]*(EXP(MuCOLCAP+SigmaCOLCAP^2/2)-1)</f>
        <v>0</v>
      </c>
      <c r="J269" s="40">
        <f>TModelo[[#This Row],[Act]]*(EXP(MuTRM+SigmaTRM^2/2)-1)</f>
        <v>0</v>
      </c>
      <c r="K269" s="11">
        <f>TModelo[[#This Row],[Act]]*IF(Rebalanceo="Mensual",1,IF(Rebalanceo="Anual",IF(MOD(TModelo[[#This Row],[Period]]-1,12)=0,1,0),0))</f>
        <v>0</v>
      </c>
      <c r="L269" s="24">
        <f>TModelo[[#This Row],[Act]]*AporteMensual*IF(CrecimientoAporte="Con IPC",F268,1)</f>
        <v>0</v>
      </c>
      <c r="M269" s="24">
        <f>IF(TModelo[[#This Row],[Period]]=HorizonteMeses,TModelo[[#This Row],[TotalPreLiq]],0)</f>
        <v>0</v>
      </c>
      <c r="N269" s="24">
        <f>TModelo[[#This Row],[Inflow]]-TModelo[[#This Row],[Outflow]]</f>
        <v>0</v>
      </c>
      <c r="O269" s="24">
        <f t="shared" si="3"/>
        <v>0</v>
      </c>
      <c r="P269" s="24">
        <f>TModelo[[#This Row],[IntCDT]]+TModelo[[#This Row],[IntCOLCAP]]+TModelo[[#This Row],[IntUSD]]</f>
        <v>0</v>
      </c>
      <c r="Q269" s="24">
        <f>TModelo[[#This Row],[InitialBalance]]+TModelo[[#This Row],[Interest]]+TModelo[[#This Row],[Outflow]]-TModelo[[#This Row],[Inflow]]</f>
        <v>0</v>
      </c>
      <c r="R269" s="24">
        <f>TModelo[[#This Row],[Act]]*IF(TModelo[[#This Row],[Rebal]]=1,PesoCDT*(X268+Y268+Z268),X268)</f>
        <v>0</v>
      </c>
      <c r="S269" s="24">
        <f>TModelo[[#This Row],[Act]]*IF(TModelo[[#This Row],[Rebal]]=1,PesoCOLCAP*(X268+Y268+Z268),Y268)</f>
        <v>0</v>
      </c>
      <c r="T269" s="24">
        <f>TModelo[[#This Row],[Act]]*IF(TModelo[[#This Row],[Rebal]]=1,PesoUSD*(X268+Y268+Z268),Z268)</f>
        <v>0</v>
      </c>
      <c r="U269" s="24">
        <f>TModelo[[#This Row],[IniCDT]]*TModelo[[#This Row],[RetCDT]]</f>
        <v>0</v>
      </c>
      <c r="V269" s="24">
        <f>TModelo[[#This Row],[IniCOLCAP]]*TModelo[[#This Row],[RetCOLCAP]]</f>
        <v>0</v>
      </c>
      <c r="W269" s="24">
        <f>TModelo[[#This Row],[IniUSD]]*TModelo[[#This Row],[RetUSD]]</f>
        <v>0</v>
      </c>
      <c r="X269" s="24">
        <f>TModelo[[#This Row],[Act]]*(TModelo[[#This Row],[IniCDT]]+TModelo[[#This Row],[IntCDT]]+PesoCDT*TModelo[[#This Row],[Outflow]])</f>
        <v>0</v>
      </c>
      <c r="Y269" s="24">
        <f>TModelo[[#This Row],[Act]]*(TModelo[[#This Row],[IniCOLCAP]]+TModelo[[#This Row],[IntCOLCAP]]+PesoCOLCAP*TModelo[[#This Row],[Outflow]])</f>
        <v>0</v>
      </c>
      <c r="Z269" s="24">
        <f>TModelo[[#This Row],[Act]]*(TModelo[[#This Row],[IniUSD]]+TModelo[[#This Row],[IntUSD]]+PesoUSD*TModelo[[#This Row],[Outflow]])</f>
        <v>0</v>
      </c>
      <c r="AA269" s="24">
        <f>TModelo[[#This Row],[BalCDT]]+TModelo[[#This Row],[BalCOLCAP]]+TModelo[[#This Row],[BalUSD]]</f>
        <v>0</v>
      </c>
      <c r="AB269" s="24">
        <f>IF(TModelo[[#This Row],[CumInfl]]&gt;0,TModelo[[#This Row],[TotalPreLiq]]/TModelo[[#This Row],[CumInfl]],0)</f>
        <v>0</v>
      </c>
      <c r="AC269" s="41">
        <f>(1+PerRate)^(-TModelo[[#This Row],[Period]])</f>
        <v>0.15170215452125563</v>
      </c>
      <c r="AD269" s="42">
        <f>TModelo[[#This Row],[NetCF]]*TModelo[[#This Row],[fd]]</f>
        <v>0</v>
      </c>
    </row>
    <row r="270" spans="2:30" ht="16.95" customHeight="1">
      <c r="B270" s="11">
        <v>243</v>
      </c>
      <c r="C270" s="25">
        <f>EDATE(FechaInicio,TModelo[[#This Row],[Period]])</f>
        <v>53690</v>
      </c>
      <c r="D270" s="11">
        <f>IF(AND(TModelo[[#This Row],[Period]]&gt;=1,TModelo[[#This Row],[Period]]&lt;=HorizonteMeses),1,0)</f>
        <v>0</v>
      </c>
      <c r="E270" s="40">
        <f>TModelo[[#This Row],[Act]]*(INFb+(INFpi0-INFb)*(1-INFa)^TModelo[[#This Row],[Period]])</f>
        <v>0</v>
      </c>
      <c r="F270" s="28">
        <f>IF(TModelo[[#This Row],[Period]]&lt;=HorizonteMeses,F269*(1+TModelo[[#This Row],[InflMes]]),0)</f>
        <v>0</v>
      </c>
      <c r="G270" s="21">
        <f>TModelo[[#This Row],[Act]]*(CDTb+(CDTx0-CDTb)*(1-CDTa)^TModelo[[#This Row],[Period]]+CDTspread)</f>
        <v>0</v>
      </c>
      <c r="H270" s="40">
        <f>TModelo[[#This Row],[Act]]*((1+TModelo[[#This Row],[TasaCDT]])^(1/12)-1)*(1-Retencion)</f>
        <v>0</v>
      </c>
      <c r="I270" s="40">
        <f>TModelo[[#This Row],[Act]]*(EXP(MuCOLCAP+SigmaCOLCAP^2/2)-1)</f>
        <v>0</v>
      </c>
      <c r="J270" s="40">
        <f>TModelo[[#This Row],[Act]]*(EXP(MuTRM+SigmaTRM^2/2)-1)</f>
        <v>0</v>
      </c>
      <c r="K270" s="11">
        <f>TModelo[[#This Row],[Act]]*IF(Rebalanceo="Mensual",1,IF(Rebalanceo="Anual",IF(MOD(TModelo[[#This Row],[Period]]-1,12)=0,1,0),0))</f>
        <v>0</v>
      </c>
      <c r="L270" s="24">
        <f>TModelo[[#This Row],[Act]]*AporteMensual*IF(CrecimientoAporte="Con IPC",F269,1)</f>
        <v>0</v>
      </c>
      <c r="M270" s="24">
        <f>IF(TModelo[[#This Row],[Period]]=HorizonteMeses,TModelo[[#This Row],[TotalPreLiq]],0)</f>
        <v>0</v>
      </c>
      <c r="N270" s="24">
        <f>TModelo[[#This Row],[Inflow]]-TModelo[[#This Row],[Outflow]]</f>
        <v>0</v>
      </c>
      <c r="O270" s="24">
        <f t="shared" si="3"/>
        <v>0</v>
      </c>
      <c r="P270" s="24">
        <f>TModelo[[#This Row],[IntCDT]]+TModelo[[#This Row],[IntCOLCAP]]+TModelo[[#This Row],[IntUSD]]</f>
        <v>0</v>
      </c>
      <c r="Q270" s="24">
        <f>TModelo[[#This Row],[InitialBalance]]+TModelo[[#This Row],[Interest]]+TModelo[[#This Row],[Outflow]]-TModelo[[#This Row],[Inflow]]</f>
        <v>0</v>
      </c>
      <c r="R270" s="24">
        <f>TModelo[[#This Row],[Act]]*IF(TModelo[[#This Row],[Rebal]]=1,PesoCDT*(X269+Y269+Z269),X269)</f>
        <v>0</v>
      </c>
      <c r="S270" s="24">
        <f>TModelo[[#This Row],[Act]]*IF(TModelo[[#This Row],[Rebal]]=1,PesoCOLCAP*(X269+Y269+Z269),Y269)</f>
        <v>0</v>
      </c>
      <c r="T270" s="24">
        <f>TModelo[[#This Row],[Act]]*IF(TModelo[[#This Row],[Rebal]]=1,PesoUSD*(X269+Y269+Z269),Z269)</f>
        <v>0</v>
      </c>
      <c r="U270" s="24">
        <f>TModelo[[#This Row],[IniCDT]]*TModelo[[#This Row],[RetCDT]]</f>
        <v>0</v>
      </c>
      <c r="V270" s="24">
        <f>TModelo[[#This Row],[IniCOLCAP]]*TModelo[[#This Row],[RetCOLCAP]]</f>
        <v>0</v>
      </c>
      <c r="W270" s="24">
        <f>TModelo[[#This Row],[IniUSD]]*TModelo[[#This Row],[RetUSD]]</f>
        <v>0</v>
      </c>
      <c r="X270" s="24">
        <f>TModelo[[#This Row],[Act]]*(TModelo[[#This Row],[IniCDT]]+TModelo[[#This Row],[IntCDT]]+PesoCDT*TModelo[[#This Row],[Outflow]])</f>
        <v>0</v>
      </c>
      <c r="Y270" s="24">
        <f>TModelo[[#This Row],[Act]]*(TModelo[[#This Row],[IniCOLCAP]]+TModelo[[#This Row],[IntCOLCAP]]+PesoCOLCAP*TModelo[[#This Row],[Outflow]])</f>
        <v>0</v>
      </c>
      <c r="Z270" s="24">
        <f>TModelo[[#This Row],[Act]]*(TModelo[[#This Row],[IniUSD]]+TModelo[[#This Row],[IntUSD]]+PesoUSD*TModelo[[#This Row],[Outflow]])</f>
        <v>0</v>
      </c>
      <c r="AA270" s="24">
        <f>TModelo[[#This Row],[BalCDT]]+TModelo[[#This Row],[BalCOLCAP]]+TModelo[[#This Row],[BalUSD]]</f>
        <v>0</v>
      </c>
      <c r="AB270" s="24">
        <f>IF(TModelo[[#This Row],[CumInfl]]&gt;0,TModelo[[#This Row],[TotalPreLiq]]/TModelo[[#This Row],[CumInfl]],0)</f>
        <v>0</v>
      </c>
      <c r="AC270" s="41">
        <f>(1+PerRate)^(-TModelo[[#This Row],[Period]])</f>
        <v>0.15052457761036198</v>
      </c>
      <c r="AD270" s="42">
        <f>TModelo[[#This Row],[NetCF]]*TModelo[[#This Row],[fd]]</f>
        <v>0</v>
      </c>
    </row>
    <row r="271" spans="2:30" ht="16.95" customHeight="1">
      <c r="B271" s="11">
        <v>244</v>
      </c>
      <c r="C271" s="25">
        <f>EDATE(FechaInicio,TModelo[[#This Row],[Period]])</f>
        <v>53721</v>
      </c>
      <c r="D271" s="11">
        <f>IF(AND(TModelo[[#This Row],[Period]]&gt;=1,TModelo[[#This Row],[Period]]&lt;=HorizonteMeses),1,0)</f>
        <v>0</v>
      </c>
      <c r="E271" s="40">
        <f>TModelo[[#This Row],[Act]]*(INFb+(INFpi0-INFb)*(1-INFa)^TModelo[[#This Row],[Period]])</f>
        <v>0</v>
      </c>
      <c r="F271" s="28">
        <f>IF(TModelo[[#This Row],[Period]]&lt;=HorizonteMeses,F270*(1+TModelo[[#This Row],[InflMes]]),0)</f>
        <v>0</v>
      </c>
      <c r="G271" s="21">
        <f>TModelo[[#This Row],[Act]]*(CDTb+(CDTx0-CDTb)*(1-CDTa)^TModelo[[#This Row],[Period]]+CDTspread)</f>
        <v>0</v>
      </c>
      <c r="H271" s="40">
        <f>TModelo[[#This Row],[Act]]*((1+TModelo[[#This Row],[TasaCDT]])^(1/12)-1)*(1-Retencion)</f>
        <v>0</v>
      </c>
      <c r="I271" s="40">
        <f>TModelo[[#This Row],[Act]]*(EXP(MuCOLCAP+SigmaCOLCAP^2/2)-1)</f>
        <v>0</v>
      </c>
      <c r="J271" s="40">
        <f>TModelo[[#This Row],[Act]]*(EXP(MuTRM+SigmaTRM^2/2)-1)</f>
        <v>0</v>
      </c>
      <c r="K271" s="11">
        <f>TModelo[[#This Row],[Act]]*IF(Rebalanceo="Mensual",1,IF(Rebalanceo="Anual",IF(MOD(TModelo[[#This Row],[Period]]-1,12)=0,1,0),0))</f>
        <v>0</v>
      </c>
      <c r="L271" s="24">
        <f>TModelo[[#This Row],[Act]]*AporteMensual*IF(CrecimientoAporte="Con IPC",F270,1)</f>
        <v>0</v>
      </c>
      <c r="M271" s="24">
        <f>IF(TModelo[[#This Row],[Period]]=HorizonteMeses,TModelo[[#This Row],[TotalPreLiq]],0)</f>
        <v>0</v>
      </c>
      <c r="N271" s="24">
        <f>TModelo[[#This Row],[Inflow]]-TModelo[[#This Row],[Outflow]]</f>
        <v>0</v>
      </c>
      <c r="O271" s="24">
        <f t="shared" si="3"/>
        <v>0</v>
      </c>
      <c r="P271" s="24">
        <f>TModelo[[#This Row],[IntCDT]]+TModelo[[#This Row],[IntCOLCAP]]+TModelo[[#This Row],[IntUSD]]</f>
        <v>0</v>
      </c>
      <c r="Q271" s="24">
        <f>TModelo[[#This Row],[InitialBalance]]+TModelo[[#This Row],[Interest]]+TModelo[[#This Row],[Outflow]]-TModelo[[#This Row],[Inflow]]</f>
        <v>0</v>
      </c>
      <c r="R271" s="24">
        <f>TModelo[[#This Row],[Act]]*IF(TModelo[[#This Row],[Rebal]]=1,PesoCDT*(X270+Y270+Z270),X270)</f>
        <v>0</v>
      </c>
      <c r="S271" s="24">
        <f>TModelo[[#This Row],[Act]]*IF(TModelo[[#This Row],[Rebal]]=1,PesoCOLCAP*(X270+Y270+Z270),Y270)</f>
        <v>0</v>
      </c>
      <c r="T271" s="24">
        <f>TModelo[[#This Row],[Act]]*IF(TModelo[[#This Row],[Rebal]]=1,PesoUSD*(X270+Y270+Z270),Z270)</f>
        <v>0</v>
      </c>
      <c r="U271" s="24">
        <f>TModelo[[#This Row],[IniCDT]]*TModelo[[#This Row],[RetCDT]]</f>
        <v>0</v>
      </c>
      <c r="V271" s="24">
        <f>TModelo[[#This Row],[IniCOLCAP]]*TModelo[[#This Row],[RetCOLCAP]]</f>
        <v>0</v>
      </c>
      <c r="W271" s="24">
        <f>TModelo[[#This Row],[IniUSD]]*TModelo[[#This Row],[RetUSD]]</f>
        <v>0</v>
      </c>
      <c r="X271" s="24">
        <f>TModelo[[#This Row],[Act]]*(TModelo[[#This Row],[IniCDT]]+TModelo[[#This Row],[IntCDT]]+PesoCDT*TModelo[[#This Row],[Outflow]])</f>
        <v>0</v>
      </c>
      <c r="Y271" s="24">
        <f>TModelo[[#This Row],[Act]]*(TModelo[[#This Row],[IniCOLCAP]]+TModelo[[#This Row],[IntCOLCAP]]+PesoCOLCAP*TModelo[[#This Row],[Outflow]])</f>
        <v>0</v>
      </c>
      <c r="Z271" s="24">
        <f>TModelo[[#This Row],[Act]]*(TModelo[[#This Row],[IniUSD]]+TModelo[[#This Row],[IntUSD]]+PesoUSD*TModelo[[#This Row],[Outflow]])</f>
        <v>0</v>
      </c>
      <c r="AA271" s="24">
        <f>TModelo[[#This Row],[BalCDT]]+TModelo[[#This Row],[BalCOLCAP]]+TModelo[[#This Row],[BalUSD]]</f>
        <v>0</v>
      </c>
      <c r="AB271" s="24">
        <f>IF(TModelo[[#This Row],[CumInfl]]&gt;0,TModelo[[#This Row],[TotalPreLiq]]/TModelo[[#This Row],[CumInfl]],0)</f>
        <v>0</v>
      </c>
      <c r="AC271" s="41">
        <f>(1+PerRate)^(-TModelo[[#This Row],[Period]])</f>
        <v>0.14935614155435892</v>
      </c>
      <c r="AD271" s="42">
        <f>TModelo[[#This Row],[NetCF]]*TModelo[[#This Row],[fd]]</f>
        <v>0</v>
      </c>
    </row>
    <row r="272" spans="2:30" ht="16.95" customHeight="1">
      <c r="B272" s="11">
        <v>245</v>
      </c>
      <c r="C272" s="25">
        <f>EDATE(FechaInicio,TModelo[[#This Row],[Period]])</f>
        <v>53751</v>
      </c>
      <c r="D272" s="11">
        <f>IF(AND(TModelo[[#This Row],[Period]]&gt;=1,TModelo[[#This Row],[Period]]&lt;=HorizonteMeses),1,0)</f>
        <v>0</v>
      </c>
      <c r="E272" s="40">
        <f>TModelo[[#This Row],[Act]]*(INFb+(INFpi0-INFb)*(1-INFa)^TModelo[[#This Row],[Period]])</f>
        <v>0</v>
      </c>
      <c r="F272" s="28">
        <f>IF(TModelo[[#This Row],[Period]]&lt;=HorizonteMeses,F271*(1+TModelo[[#This Row],[InflMes]]),0)</f>
        <v>0</v>
      </c>
      <c r="G272" s="21">
        <f>TModelo[[#This Row],[Act]]*(CDTb+(CDTx0-CDTb)*(1-CDTa)^TModelo[[#This Row],[Period]]+CDTspread)</f>
        <v>0</v>
      </c>
      <c r="H272" s="40">
        <f>TModelo[[#This Row],[Act]]*((1+TModelo[[#This Row],[TasaCDT]])^(1/12)-1)*(1-Retencion)</f>
        <v>0</v>
      </c>
      <c r="I272" s="40">
        <f>TModelo[[#This Row],[Act]]*(EXP(MuCOLCAP+SigmaCOLCAP^2/2)-1)</f>
        <v>0</v>
      </c>
      <c r="J272" s="40">
        <f>TModelo[[#This Row],[Act]]*(EXP(MuTRM+SigmaTRM^2/2)-1)</f>
        <v>0</v>
      </c>
      <c r="K272" s="11">
        <f>TModelo[[#This Row],[Act]]*IF(Rebalanceo="Mensual",1,IF(Rebalanceo="Anual",IF(MOD(TModelo[[#This Row],[Period]]-1,12)=0,1,0),0))</f>
        <v>0</v>
      </c>
      <c r="L272" s="24">
        <f>TModelo[[#This Row],[Act]]*AporteMensual*IF(CrecimientoAporte="Con IPC",F271,1)</f>
        <v>0</v>
      </c>
      <c r="M272" s="24">
        <f>IF(TModelo[[#This Row],[Period]]=HorizonteMeses,TModelo[[#This Row],[TotalPreLiq]],0)</f>
        <v>0</v>
      </c>
      <c r="N272" s="24">
        <f>TModelo[[#This Row],[Inflow]]-TModelo[[#This Row],[Outflow]]</f>
        <v>0</v>
      </c>
      <c r="O272" s="24">
        <f t="shared" si="3"/>
        <v>0</v>
      </c>
      <c r="P272" s="24">
        <f>TModelo[[#This Row],[IntCDT]]+TModelo[[#This Row],[IntCOLCAP]]+TModelo[[#This Row],[IntUSD]]</f>
        <v>0</v>
      </c>
      <c r="Q272" s="24">
        <f>TModelo[[#This Row],[InitialBalance]]+TModelo[[#This Row],[Interest]]+TModelo[[#This Row],[Outflow]]-TModelo[[#This Row],[Inflow]]</f>
        <v>0</v>
      </c>
      <c r="R272" s="24">
        <f>TModelo[[#This Row],[Act]]*IF(TModelo[[#This Row],[Rebal]]=1,PesoCDT*(X271+Y271+Z271),X271)</f>
        <v>0</v>
      </c>
      <c r="S272" s="24">
        <f>TModelo[[#This Row],[Act]]*IF(TModelo[[#This Row],[Rebal]]=1,PesoCOLCAP*(X271+Y271+Z271),Y271)</f>
        <v>0</v>
      </c>
      <c r="T272" s="24">
        <f>TModelo[[#This Row],[Act]]*IF(TModelo[[#This Row],[Rebal]]=1,PesoUSD*(X271+Y271+Z271),Z271)</f>
        <v>0</v>
      </c>
      <c r="U272" s="24">
        <f>TModelo[[#This Row],[IniCDT]]*TModelo[[#This Row],[RetCDT]]</f>
        <v>0</v>
      </c>
      <c r="V272" s="24">
        <f>TModelo[[#This Row],[IniCOLCAP]]*TModelo[[#This Row],[RetCOLCAP]]</f>
        <v>0</v>
      </c>
      <c r="W272" s="24">
        <f>TModelo[[#This Row],[IniUSD]]*TModelo[[#This Row],[RetUSD]]</f>
        <v>0</v>
      </c>
      <c r="X272" s="24">
        <f>TModelo[[#This Row],[Act]]*(TModelo[[#This Row],[IniCDT]]+TModelo[[#This Row],[IntCDT]]+PesoCDT*TModelo[[#This Row],[Outflow]])</f>
        <v>0</v>
      </c>
      <c r="Y272" s="24">
        <f>TModelo[[#This Row],[Act]]*(TModelo[[#This Row],[IniCOLCAP]]+TModelo[[#This Row],[IntCOLCAP]]+PesoCOLCAP*TModelo[[#This Row],[Outflow]])</f>
        <v>0</v>
      </c>
      <c r="Z272" s="24">
        <f>TModelo[[#This Row],[Act]]*(TModelo[[#This Row],[IniUSD]]+TModelo[[#This Row],[IntUSD]]+PesoUSD*TModelo[[#This Row],[Outflow]])</f>
        <v>0</v>
      </c>
      <c r="AA272" s="24">
        <f>TModelo[[#This Row],[BalCDT]]+TModelo[[#This Row],[BalCOLCAP]]+TModelo[[#This Row],[BalUSD]]</f>
        <v>0</v>
      </c>
      <c r="AB272" s="24">
        <f>IF(TModelo[[#This Row],[CumInfl]]&gt;0,TModelo[[#This Row],[TotalPreLiq]]/TModelo[[#This Row],[CumInfl]],0)</f>
        <v>0</v>
      </c>
      <c r="AC272" s="41">
        <f>(1+PerRate)^(-TModelo[[#This Row],[Period]])</f>
        <v>0.14819677539802703</v>
      </c>
      <c r="AD272" s="42">
        <f>TModelo[[#This Row],[NetCF]]*TModelo[[#This Row],[fd]]</f>
        <v>0</v>
      </c>
    </row>
    <row r="273" spans="2:30" ht="16.95" customHeight="1">
      <c r="B273" s="11">
        <v>246</v>
      </c>
      <c r="C273" s="25">
        <f>EDATE(FechaInicio,TModelo[[#This Row],[Period]])</f>
        <v>53780</v>
      </c>
      <c r="D273" s="11">
        <f>IF(AND(TModelo[[#This Row],[Period]]&gt;=1,TModelo[[#This Row],[Period]]&lt;=HorizonteMeses),1,0)</f>
        <v>0</v>
      </c>
      <c r="E273" s="40">
        <f>TModelo[[#This Row],[Act]]*(INFb+(INFpi0-INFb)*(1-INFa)^TModelo[[#This Row],[Period]])</f>
        <v>0</v>
      </c>
      <c r="F273" s="28">
        <f>IF(TModelo[[#This Row],[Period]]&lt;=HorizonteMeses,F272*(1+TModelo[[#This Row],[InflMes]]),0)</f>
        <v>0</v>
      </c>
      <c r="G273" s="21">
        <f>TModelo[[#This Row],[Act]]*(CDTb+(CDTx0-CDTb)*(1-CDTa)^TModelo[[#This Row],[Period]]+CDTspread)</f>
        <v>0</v>
      </c>
      <c r="H273" s="40">
        <f>TModelo[[#This Row],[Act]]*((1+TModelo[[#This Row],[TasaCDT]])^(1/12)-1)*(1-Retencion)</f>
        <v>0</v>
      </c>
      <c r="I273" s="40">
        <f>TModelo[[#This Row],[Act]]*(EXP(MuCOLCAP+SigmaCOLCAP^2/2)-1)</f>
        <v>0</v>
      </c>
      <c r="J273" s="40">
        <f>TModelo[[#This Row],[Act]]*(EXP(MuTRM+SigmaTRM^2/2)-1)</f>
        <v>0</v>
      </c>
      <c r="K273" s="11">
        <f>TModelo[[#This Row],[Act]]*IF(Rebalanceo="Mensual",1,IF(Rebalanceo="Anual",IF(MOD(TModelo[[#This Row],[Period]]-1,12)=0,1,0),0))</f>
        <v>0</v>
      </c>
      <c r="L273" s="24">
        <f>TModelo[[#This Row],[Act]]*AporteMensual*IF(CrecimientoAporte="Con IPC",F272,1)</f>
        <v>0</v>
      </c>
      <c r="M273" s="24">
        <f>IF(TModelo[[#This Row],[Period]]=HorizonteMeses,TModelo[[#This Row],[TotalPreLiq]],0)</f>
        <v>0</v>
      </c>
      <c r="N273" s="24">
        <f>TModelo[[#This Row],[Inflow]]-TModelo[[#This Row],[Outflow]]</f>
        <v>0</v>
      </c>
      <c r="O273" s="24">
        <f t="shared" si="3"/>
        <v>0</v>
      </c>
      <c r="P273" s="24">
        <f>TModelo[[#This Row],[IntCDT]]+TModelo[[#This Row],[IntCOLCAP]]+TModelo[[#This Row],[IntUSD]]</f>
        <v>0</v>
      </c>
      <c r="Q273" s="24">
        <f>TModelo[[#This Row],[InitialBalance]]+TModelo[[#This Row],[Interest]]+TModelo[[#This Row],[Outflow]]-TModelo[[#This Row],[Inflow]]</f>
        <v>0</v>
      </c>
      <c r="R273" s="24">
        <f>TModelo[[#This Row],[Act]]*IF(TModelo[[#This Row],[Rebal]]=1,PesoCDT*(X272+Y272+Z272),X272)</f>
        <v>0</v>
      </c>
      <c r="S273" s="24">
        <f>TModelo[[#This Row],[Act]]*IF(TModelo[[#This Row],[Rebal]]=1,PesoCOLCAP*(X272+Y272+Z272),Y272)</f>
        <v>0</v>
      </c>
      <c r="T273" s="24">
        <f>TModelo[[#This Row],[Act]]*IF(TModelo[[#This Row],[Rebal]]=1,PesoUSD*(X272+Y272+Z272),Z272)</f>
        <v>0</v>
      </c>
      <c r="U273" s="24">
        <f>TModelo[[#This Row],[IniCDT]]*TModelo[[#This Row],[RetCDT]]</f>
        <v>0</v>
      </c>
      <c r="V273" s="24">
        <f>TModelo[[#This Row],[IniCOLCAP]]*TModelo[[#This Row],[RetCOLCAP]]</f>
        <v>0</v>
      </c>
      <c r="W273" s="24">
        <f>TModelo[[#This Row],[IniUSD]]*TModelo[[#This Row],[RetUSD]]</f>
        <v>0</v>
      </c>
      <c r="X273" s="24">
        <f>TModelo[[#This Row],[Act]]*(TModelo[[#This Row],[IniCDT]]+TModelo[[#This Row],[IntCDT]]+PesoCDT*TModelo[[#This Row],[Outflow]])</f>
        <v>0</v>
      </c>
      <c r="Y273" s="24">
        <f>TModelo[[#This Row],[Act]]*(TModelo[[#This Row],[IniCOLCAP]]+TModelo[[#This Row],[IntCOLCAP]]+PesoCOLCAP*TModelo[[#This Row],[Outflow]])</f>
        <v>0</v>
      </c>
      <c r="Z273" s="24">
        <f>TModelo[[#This Row],[Act]]*(TModelo[[#This Row],[IniUSD]]+TModelo[[#This Row],[IntUSD]]+PesoUSD*TModelo[[#This Row],[Outflow]])</f>
        <v>0</v>
      </c>
      <c r="AA273" s="24">
        <f>TModelo[[#This Row],[BalCDT]]+TModelo[[#This Row],[BalCOLCAP]]+TModelo[[#This Row],[BalUSD]]</f>
        <v>0</v>
      </c>
      <c r="AB273" s="24">
        <f>IF(TModelo[[#This Row],[CumInfl]]&gt;0,TModelo[[#This Row],[TotalPreLiq]]/TModelo[[#This Row],[CumInfl]],0)</f>
        <v>0</v>
      </c>
      <c r="AC273" s="41">
        <f>(1+PerRate)^(-TModelo[[#This Row],[Period]])</f>
        <v>0.14704640873693156</v>
      </c>
      <c r="AD273" s="42">
        <f>TModelo[[#This Row],[NetCF]]*TModelo[[#This Row],[fd]]</f>
        <v>0</v>
      </c>
    </row>
    <row r="274" spans="2:30" ht="16.95" customHeight="1">
      <c r="B274" s="11">
        <v>247</v>
      </c>
      <c r="C274" s="25">
        <f>EDATE(FechaInicio,TModelo[[#This Row],[Period]])</f>
        <v>53811</v>
      </c>
      <c r="D274" s="11">
        <f>IF(AND(TModelo[[#This Row],[Period]]&gt;=1,TModelo[[#This Row],[Period]]&lt;=HorizonteMeses),1,0)</f>
        <v>0</v>
      </c>
      <c r="E274" s="40">
        <f>TModelo[[#This Row],[Act]]*(INFb+(INFpi0-INFb)*(1-INFa)^TModelo[[#This Row],[Period]])</f>
        <v>0</v>
      </c>
      <c r="F274" s="28">
        <f>IF(TModelo[[#This Row],[Period]]&lt;=HorizonteMeses,F273*(1+TModelo[[#This Row],[InflMes]]),0)</f>
        <v>0</v>
      </c>
      <c r="G274" s="21">
        <f>TModelo[[#This Row],[Act]]*(CDTb+(CDTx0-CDTb)*(1-CDTa)^TModelo[[#This Row],[Period]]+CDTspread)</f>
        <v>0</v>
      </c>
      <c r="H274" s="40">
        <f>TModelo[[#This Row],[Act]]*((1+TModelo[[#This Row],[TasaCDT]])^(1/12)-1)*(1-Retencion)</f>
        <v>0</v>
      </c>
      <c r="I274" s="40">
        <f>TModelo[[#This Row],[Act]]*(EXP(MuCOLCAP+SigmaCOLCAP^2/2)-1)</f>
        <v>0</v>
      </c>
      <c r="J274" s="40">
        <f>TModelo[[#This Row],[Act]]*(EXP(MuTRM+SigmaTRM^2/2)-1)</f>
        <v>0</v>
      </c>
      <c r="K274" s="11">
        <f>TModelo[[#This Row],[Act]]*IF(Rebalanceo="Mensual",1,IF(Rebalanceo="Anual",IF(MOD(TModelo[[#This Row],[Period]]-1,12)=0,1,0),0))</f>
        <v>0</v>
      </c>
      <c r="L274" s="24">
        <f>TModelo[[#This Row],[Act]]*AporteMensual*IF(CrecimientoAporte="Con IPC",F273,1)</f>
        <v>0</v>
      </c>
      <c r="M274" s="24">
        <f>IF(TModelo[[#This Row],[Period]]=HorizonteMeses,TModelo[[#This Row],[TotalPreLiq]],0)</f>
        <v>0</v>
      </c>
      <c r="N274" s="24">
        <f>TModelo[[#This Row],[Inflow]]-TModelo[[#This Row],[Outflow]]</f>
        <v>0</v>
      </c>
      <c r="O274" s="24">
        <f t="shared" si="3"/>
        <v>0</v>
      </c>
      <c r="P274" s="24">
        <f>TModelo[[#This Row],[IntCDT]]+TModelo[[#This Row],[IntCOLCAP]]+TModelo[[#This Row],[IntUSD]]</f>
        <v>0</v>
      </c>
      <c r="Q274" s="24">
        <f>TModelo[[#This Row],[InitialBalance]]+TModelo[[#This Row],[Interest]]+TModelo[[#This Row],[Outflow]]-TModelo[[#This Row],[Inflow]]</f>
        <v>0</v>
      </c>
      <c r="R274" s="24">
        <f>TModelo[[#This Row],[Act]]*IF(TModelo[[#This Row],[Rebal]]=1,PesoCDT*(X273+Y273+Z273),X273)</f>
        <v>0</v>
      </c>
      <c r="S274" s="24">
        <f>TModelo[[#This Row],[Act]]*IF(TModelo[[#This Row],[Rebal]]=1,PesoCOLCAP*(X273+Y273+Z273),Y273)</f>
        <v>0</v>
      </c>
      <c r="T274" s="24">
        <f>TModelo[[#This Row],[Act]]*IF(TModelo[[#This Row],[Rebal]]=1,PesoUSD*(X273+Y273+Z273),Z273)</f>
        <v>0</v>
      </c>
      <c r="U274" s="24">
        <f>TModelo[[#This Row],[IniCDT]]*TModelo[[#This Row],[RetCDT]]</f>
        <v>0</v>
      </c>
      <c r="V274" s="24">
        <f>TModelo[[#This Row],[IniCOLCAP]]*TModelo[[#This Row],[RetCOLCAP]]</f>
        <v>0</v>
      </c>
      <c r="W274" s="24">
        <f>TModelo[[#This Row],[IniUSD]]*TModelo[[#This Row],[RetUSD]]</f>
        <v>0</v>
      </c>
      <c r="X274" s="24">
        <f>TModelo[[#This Row],[Act]]*(TModelo[[#This Row],[IniCDT]]+TModelo[[#This Row],[IntCDT]]+PesoCDT*TModelo[[#This Row],[Outflow]])</f>
        <v>0</v>
      </c>
      <c r="Y274" s="24">
        <f>TModelo[[#This Row],[Act]]*(TModelo[[#This Row],[IniCOLCAP]]+TModelo[[#This Row],[IntCOLCAP]]+PesoCOLCAP*TModelo[[#This Row],[Outflow]])</f>
        <v>0</v>
      </c>
      <c r="Z274" s="24">
        <f>TModelo[[#This Row],[Act]]*(TModelo[[#This Row],[IniUSD]]+TModelo[[#This Row],[IntUSD]]+PesoUSD*TModelo[[#This Row],[Outflow]])</f>
        <v>0</v>
      </c>
      <c r="AA274" s="24">
        <f>TModelo[[#This Row],[BalCDT]]+TModelo[[#This Row],[BalCOLCAP]]+TModelo[[#This Row],[BalUSD]]</f>
        <v>0</v>
      </c>
      <c r="AB274" s="24">
        <f>IF(TModelo[[#This Row],[CumInfl]]&gt;0,TModelo[[#This Row],[TotalPreLiq]]/TModelo[[#This Row],[CumInfl]],0)</f>
        <v>0</v>
      </c>
      <c r="AC274" s="41">
        <f>(1+PerRate)^(-TModelo[[#This Row],[Period]])</f>
        <v>0.14590497171314701</v>
      </c>
      <c r="AD274" s="42">
        <f>TModelo[[#This Row],[NetCF]]*TModelo[[#This Row],[fd]]</f>
        <v>0</v>
      </c>
    </row>
    <row r="275" spans="2:30" ht="16.95" customHeight="1">
      <c r="B275" s="11">
        <v>248</v>
      </c>
      <c r="C275" s="25">
        <f>EDATE(FechaInicio,TModelo[[#This Row],[Period]])</f>
        <v>53841</v>
      </c>
      <c r="D275" s="11">
        <f>IF(AND(TModelo[[#This Row],[Period]]&gt;=1,TModelo[[#This Row],[Period]]&lt;=HorizonteMeses),1,0)</f>
        <v>0</v>
      </c>
      <c r="E275" s="40">
        <f>TModelo[[#This Row],[Act]]*(INFb+(INFpi0-INFb)*(1-INFa)^TModelo[[#This Row],[Period]])</f>
        <v>0</v>
      </c>
      <c r="F275" s="28">
        <f>IF(TModelo[[#This Row],[Period]]&lt;=HorizonteMeses,F274*(1+TModelo[[#This Row],[InflMes]]),0)</f>
        <v>0</v>
      </c>
      <c r="G275" s="21">
        <f>TModelo[[#This Row],[Act]]*(CDTb+(CDTx0-CDTb)*(1-CDTa)^TModelo[[#This Row],[Period]]+CDTspread)</f>
        <v>0</v>
      </c>
      <c r="H275" s="40">
        <f>TModelo[[#This Row],[Act]]*((1+TModelo[[#This Row],[TasaCDT]])^(1/12)-1)*(1-Retencion)</f>
        <v>0</v>
      </c>
      <c r="I275" s="40">
        <f>TModelo[[#This Row],[Act]]*(EXP(MuCOLCAP+SigmaCOLCAP^2/2)-1)</f>
        <v>0</v>
      </c>
      <c r="J275" s="40">
        <f>TModelo[[#This Row],[Act]]*(EXP(MuTRM+SigmaTRM^2/2)-1)</f>
        <v>0</v>
      </c>
      <c r="K275" s="11">
        <f>TModelo[[#This Row],[Act]]*IF(Rebalanceo="Mensual",1,IF(Rebalanceo="Anual",IF(MOD(TModelo[[#This Row],[Period]]-1,12)=0,1,0),0))</f>
        <v>0</v>
      </c>
      <c r="L275" s="24">
        <f>TModelo[[#This Row],[Act]]*AporteMensual*IF(CrecimientoAporte="Con IPC",F274,1)</f>
        <v>0</v>
      </c>
      <c r="M275" s="24">
        <f>IF(TModelo[[#This Row],[Period]]=HorizonteMeses,TModelo[[#This Row],[TotalPreLiq]],0)</f>
        <v>0</v>
      </c>
      <c r="N275" s="24">
        <f>TModelo[[#This Row],[Inflow]]-TModelo[[#This Row],[Outflow]]</f>
        <v>0</v>
      </c>
      <c r="O275" s="24">
        <f t="shared" si="3"/>
        <v>0</v>
      </c>
      <c r="P275" s="24">
        <f>TModelo[[#This Row],[IntCDT]]+TModelo[[#This Row],[IntCOLCAP]]+TModelo[[#This Row],[IntUSD]]</f>
        <v>0</v>
      </c>
      <c r="Q275" s="24">
        <f>TModelo[[#This Row],[InitialBalance]]+TModelo[[#This Row],[Interest]]+TModelo[[#This Row],[Outflow]]-TModelo[[#This Row],[Inflow]]</f>
        <v>0</v>
      </c>
      <c r="R275" s="24">
        <f>TModelo[[#This Row],[Act]]*IF(TModelo[[#This Row],[Rebal]]=1,PesoCDT*(X274+Y274+Z274),X274)</f>
        <v>0</v>
      </c>
      <c r="S275" s="24">
        <f>TModelo[[#This Row],[Act]]*IF(TModelo[[#This Row],[Rebal]]=1,PesoCOLCAP*(X274+Y274+Z274),Y274)</f>
        <v>0</v>
      </c>
      <c r="T275" s="24">
        <f>TModelo[[#This Row],[Act]]*IF(TModelo[[#This Row],[Rebal]]=1,PesoUSD*(X274+Y274+Z274),Z274)</f>
        <v>0</v>
      </c>
      <c r="U275" s="24">
        <f>TModelo[[#This Row],[IniCDT]]*TModelo[[#This Row],[RetCDT]]</f>
        <v>0</v>
      </c>
      <c r="V275" s="24">
        <f>TModelo[[#This Row],[IniCOLCAP]]*TModelo[[#This Row],[RetCOLCAP]]</f>
        <v>0</v>
      </c>
      <c r="W275" s="24">
        <f>TModelo[[#This Row],[IniUSD]]*TModelo[[#This Row],[RetUSD]]</f>
        <v>0</v>
      </c>
      <c r="X275" s="24">
        <f>TModelo[[#This Row],[Act]]*(TModelo[[#This Row],[IniCDT]]+TModelo[[#This Row],[IntCDT]]+PesoCDT*TModelo[[#This Row],[Outflow]])</f>
        <v>0</v>
      </c>
      <c r="Y275" s="24">
        <f>TModelo[[#This Row],[Act]]*(TModelo[[#This Row],[IniCOLCAP]]+TModelo[[#This Row],[IntCOLCAP]]+PesoCOLCAP*TModelo[[#This Row],[Outflow]])</f>
        <v>0</v>
      </c>
      <c r="Z275" s="24">
        <f>TModelo[[#This Row],[Act]]*(TModelo[[#This Row],[IniUSD]]+TModelo[[#This Row],[IntUSD]]+PesoUSD*TModelo[[#This Row],[Outflow]])</f>
        <v>0</v>
      </c>
      <c r="AA275" s="24">
        <f>TModelo[[#This Row],[BalCDT]]+TModelo[[#This Row],[BalCOLCAP]]+TModelo[[#This Row],[BalUSD]]</f>
        <v>0</v>
      </c>
      <c r="AB275" s="24">
        <f>IF(TModelo[[#This Row],[CumInfl]]&gt;0,TModelo[[#This Row],[TotalPreLiq]]/TModelo[[#This Row],[CumInfl]],0)</f>
        <v>0</v>
      </c>
      <c r="AC275" s="41">
        <f>(1+PerRate)^(-TModelo[[#This Row],[Period]])</f>
        <v>0.14477239501101508</v>
      </c>
      <c r="AD275" s="42">
        <f>TModelo[[#This Row],[NetCF]]*TModelo[[#This Row],[fd]]</f>
        <v>0</v>
      </c>
    </row>
    <row r="276" spans="2:30" ht="16.95" customHeight="1">
      <c r="B276" s="11">
        <v>249</v>
      </c>
      <c r="C276" s="25">
        <f>EDATE(FechaInicio,TModelo[[#This Row],[Period]])</f>
        <v>53872</v>
      </c>
      <c r="D276" s="11">
        <f>IF(AND(TModelo[[#This Row],[Period]]&gt;=1,TModelo[[#This Row],[Period]]&lt;=HorizonteMeses),1,0)</f>
        <v>0</v>
      </c>
      <c r="E276" s="40">
        <f>TModelo[[#This Row],[Act]]*(INFb+(INFpi0-INFb)*(1-INFa)^TModelo[[#This Row],[Period]])</f>
        <v>0</v>
      </c>
      <c r="F276" s="28">
        <f>IF(TModelo[[#This Row],[Period]]&lt;=HorizonteMeses,F275*(1+TModelo[[#This Row],[InflMes]]),0)</f>
        <v>0</v>
      </c>
      <c r="G276" s="21">
        <f>TModelo[[#This Row],[Act]]*(CDTb+(CDTx0-CDTb)*(1-CDTa)^TModelo[[#This Row],[Period]]+CDTspread)</f>
        <v>0</v>
      </c>
      <c r="H276" s="40">
        <f>TModelo[[#This Row],[Act]]*((1+TModelo[[#This Row],[TasaCDT]])^(1/12)-1)*(1-Retencion)</f>
        <v>0</v>
      </c>
      <c r="I276" s="40">
        <f>TModelo[[#This Row],[Act]]*(EXP(MuCOLCAP+SigmaCOLCAP^2/2)-1)</f>
        <v>0</v>
      </c>
      <c r="J276" s="40">
        <f>TModelo[[#This Row],[Act]]*(EXP(MuTRM+SigmaTRM^2/2)-1)</f>
        <v>0</v>
      </c>
      <c r="K276" s="11">
        <f>TModelo[[#This Row],[Act]]*IF(Rebalanceo="Mensual",1,IF(Rebalanceo="Anual",IF(MOD(TModelo[[#This Row],[Period]]-1,12)=0,1,0),0))</f>
        <v>0</v>
      </c>
      <c r="L276" s="24">
        <f>TModelo[[#This Row],[Act]]*AporteMensual*IF(CrecimientoAporte="Con IPC",F275,1)</f>
        <v>0</v>
      </c>
      <c r="M276" s="24">
        <f>IF(TModelo[[#This Row],[Period]]=HorizonteMeses,TModelo[[#This Row],[TotalPreLiq]],0)</f>
        <v>0</v>
      </c>
      <c r="N276" s="24">
        <f>TModelo[[#This Row],[Inflow]]-TModelo[[#This Row],[Outflow]]</f>
        <v>0</v>
      </c>
      <c r="O276" s="24">
        <f t="shared" si="3"/>
        <v>0</v>
      </c>
      <c r="P276" s="24">
        <f>TModelo[[#This Row],[IntCDT]]+TModelo[[#This Row],[IntCOLCAP]]+TModelo[[#This Row],[IntUSD]]</f>
        <v>0</v>
      </c>
      <c r="Q276" s="24">
        <f>TModelo[[#This Row],[InitialBalance]]+TModelo[[#This Row],[Interest]]+TModelo[[#This Row],[Outflow]]-TModelo[[#This Row],[Inflow]]</f>
        <v>0</v>
      </c>
      <c r="R276" s="24">
        <f>TModelo[[#This Row],[Act]]*IF(TModelo[[#This Row],[Rebal]]=1,PesoCDT*(X275+Y275+Z275),X275)</f>
        <v>0</v>
      </c>
      <c r="S276" s="24">
        <f>TModelo[[#This Row],[Act]]*IF(TModelo[[#This Row],[Rebal]]=1,PesoCOLCAP*(X275+Y275+Z275),Y275)</f>
        <v>0</v>
      </c>
      <c r="T276" s="24">
        <f>TModelo[[#This Row],[Act]]*IF(TModelo[[#This Row],[Rebal]]=1,PesoUSD*(X275+Y275+Z275),Z275)</f>
        <v>0</v>
      </c>
      <c r="U276" s="24">
        <f>TModelo[[#This Row],[IniCDT]]*TModelo[[#This Row],[RetCDT]]</f>
        <v>0</v>
      </c>
      <c r="V276" s="24">
        <f>TModelo[[#This Row],[IniCOLCAP]]*TModelo[[#This Row],[RetCOLCAP]]</f>
        <v>0</v>
      </c>
      <c r="W276" s="24">
        <f>TModelo[[#This Row],[IniUSD]]*TModelo[[#This Row],[RetUSD]]</f>
        <v>0</v>
      </c>
      <c r="X276" s="24">
        <f>TModelo[[#This Row],[Act]]*(TModelo[[#This Row],[IniCDT]]+TModelo[[#This Row],[IntCDT]]+PesoCDT*TModelo[[#This Row],[Outflow]])</f>
        <v>0</v>
      </c>
      <c r="Y276" s="24">
        <f>TModelo[[#This Row],[Act]]*(TModelo[[#This Row],[IniCOLCAP]]+TModelo[[#This Row],[IntCOLCAP]]+PesoCOLCAP*TModelo[[#This Row],[Outflow]])</f>
        <v>0</v>
      </c>
      <c r="Z276" s="24">
        <f>TModelo[[#This Row],[Act]]*(TModelo[[#This Row],[IniUSD]]+TModelo[[#This Row],[IntUSD]]+PesoUSD*TModelo[[#This Row],[Outflow]])</f>
        <v>0</v>
      </c>
      <c r="AA276" s="24">
        <f>TModelo[[#This Row],[BalCDT]]+TModelo[[#This Row],[BalCOLCAP]]+TModelo[[#This Row],[BalUSD]]</f>
        <v>0</v>
      </c>
      <c r="AB276" s="24">
        <f>IF(TModelo[[#This Row],[CumInfl]]&gt;0,TModelo[[#This Row],[TotalPreLiq]]/TModelo[[#This Row],[CumInfl]],0)</f>
        <v>0</v>
      </c>
      <c r="AC276" s="41">
        <f>(1+PerRate)^(-TModelo[[#This Row],[Period]])</f>
        <v>0.14364860985293507</v>
      </c>
      <c r="AD276" s="42">
        <f>TModelo[[#This Row],[NetCF]]*TModelo[[#This Row],[fd]]</f>
        <v>0</v>
      </c>
    </row>
    <row r="277" spans="2:30" ht="16.95" customHeight="1">
      <c r="B277" s="11">
        <v>250</v>
      </c>
      <c r="C277" s="25">
        <f>EDATE(FechaInicio,TModelo[[#This Row],[Period]])</f>
        <v>53902</v>
      </c>
      <c r="D277" s="11">
        <f>IF(AND(TModelo[[#This Row],[Period]]&gt;=1,TModelo[[#This Row],[Period]]&lt;=HorizonteMeses),1,0)</f>
        <v>0</v>
      </c>
      <c r="E277" s="40">
        <f>TModelo[[#This Row],[Act]]*(INFb+(INFpi0-INFb)*(1-INFa)^TModelo[[#This Row],[Period]])</f>
        <v>0</v>
      </c>
      <c r="F277" s="28">
        <f>IF(TModelo[[#This Row],[Period]]&lt;=HorizonteMeses,F276*(1+TModelo[[#This Row],[InflMes]]),0)</f>
        <v>0</v>
      </c>
      <c r="G277" s="21">
        <f>TModelo[[#This Row],[Act]]*(CDTb+(CDTx0-CDTb)*(1-CDTa)^TModelo[[#This Row],[Period]]+CDTspread)</f>
        <v>0</v>
      </c>
      <c r="H277" s="40">
        <f>TModelo[[#This Row],[Act]]*((1+TModelo[[#This Row],[TasaCDT]])^(1/12)-1)*(1-Retencion)</f>
        <v>0</v>
      </c>
      <c r="I277" s="40">
        <f>TModelo[[#This Row],[Act]]*(EXP(MuCOLCAP+SigmaCOLCAP^2/2)-1)</f>
        <v>0</v>
      </c>
      <c r="J277" s="40">
        <f>TModelo[[#This Row],[Act]]*(EXP(MuTRM+SigmaTRM^2/2)-1)</f>
        <v>0</v>
      </c>
      <c r="K277" s="11">
        <f>TModelo[[#This Row],[Act]]*IF(Rebalanceo="Mensual",1,IF(Rebalanceo="Anual",IF(MOD(TModelo[[#This Row],[Period]]-1,12)=0,1,0),0))</f>
        <v>0</v>
      </c>
      <c r="L277" s="24">
        <f>TModelo[[#This Row],[Act]]*AporteMensual*IF(CrecimientoAporte="Con IPC",F276,1)</f>
        <v>0</v>
      </c>
      <c r="M277" s="24">
        <f>IF(TModelo[[#This Row],[Period]]=HorizonteMeses,TModelo[[#This Row],[TotalPreLiq]],0)</f>
        <v>0</v>
      </c>
      <c r="N277" s="24">
        <f>TModelo[[#This Row],[Inflow]]-TModelo[[#This Row],[Outflow]]</f>
        <v>0</v>
      </c>
      <c r="O277" s="24">
        <f t="shared" si="3"/>
        <v>0</v>
      </c>
      <c r="P277" s="24">
        <f>TModelo[[#This Row],[IntCDT]]+TModelo[[#This Row],[IntCOLCAP]]+TModelo[[#This Row],[IntUSD]]</f>
        <v>0</v>
      </c>
      <c r="Q277" s="24">
        <f>TModelo[[#This Row],[InitialBalance]]+TModelo[[#This Row],[Interest]]+TModelo[[#This Row],[Outflow]]-TModelo[[#This Row],[Inflow]]</f>
        <v>0</v>
      </c>
      <c r="R277" s="24">
        <f>TModelo[[#This Row],[Act]]*IF(TModelo[[#This Row],[Rebal]]=1,PesoCDT*(X276+Y276+Z276),X276)</f>
        <v>0</v>
      </c>
      <c r="S277" s="24">
        <f>TModelo[[#This Row],[Act]]*IF(TModelo[[#This Row],[Rebal]]=1,PesoCOLCAP*(X276+Y276+Z276),Y276)</f>
        <v>0</v>
      </c>
      <c r="T277" s="24">
        <f>TModelo[[#This Row],[Act]]*IF(TModelo[[#This Row],[Rebal]]=1,PesoUSD*(X276+Y276+Z276),Z276)</f>
        <v>0</v>
      </c>
      <c r="U277" s="24">
        <f>TModelo[[#This Row],[IniCDT]]*TModelo[[#This Row],[RetCDT]]</f>
        <v>0</v>
      </c>
      <c r="V277" s="24">
        <f>TModelo[[#This Row],[IniCOLCAP]]*TModelo[[#This Row],[RetCOLCAP]]</f>
        <v>0</v>
      </c>
      <c r="W277" s="24">
        <f>TModelo[[#This Row],[IniUSD]]*TModelo[[#This Row],[RetUSD]]</f>
        <v>0</v>
      </c>
      <c r="X277" s="24">
        <f>TModelo[[#This Row],[Act]]*(TModelo[[#This Row],[IniCDT]]+TModelo[[#This Row],[IntCDT]]+PesoCDT*TModelo[[#This Row],[Outflow]])</f>
        <v>0</v>
      </c>
      <c r="Y277" s="24">
        <f>TModelo[[#This Row],[Act]]*(TModelo[[#This Row],[IniCOLCAP]]+TModelo[[#This Row],[IntCOLCAP]]+PesoCOLCAP*TModelo[[#This Row],[Outflow]])</f>
        <v>0</v>
      </c>
      <c r="Z277" s="24">
        <f>TModelo[[#This Row],[Act]]*(TModelo[[#This Row],[IniUSD]]+TModelo[[#This Row],[IntUSD]]+PesoUSD*TModelo[[#This Row],[Outflow]])</f>
        <v>0</v>
      </c>
      <c r="AA277" s="24">
        <f>TModelo[[#This Row],[BalCDT]]+TModelo[[#This Row],[BalCOLCAP]]+TModelo[[#This Row],[BalUSD]]</f>
        <v>0</v>
      </c>
      <c r="AB277" s="24">
        <f>IF(TModelo[[#This Row],[CumInfl]]&gt;0,TModelo[[#This Row],[TotalPreLiq]]/TModelo[[#This Row],[CumInfl]],0)</f>
        <v>0</v>
      </c>
      <c r="AC277" s="41">
        <f>(1+PerRate)^(-TModelo[[#This Row],[Period]])</f>
        <v>0.14253354799518744</v>
      </c>
      <c r="AD277" s="42">
        <f>TModelo[[#This Row],[NetCF]]*TModelo[[#This Row],[fd]]</f>
        <v>0</v>
      </c>
    </row>
    <row r="278" spans="2:30" ht="16.95" customHeight="1">
      <c r="B278" s="11">
        <v>251</v>
      </c>
      <c r="C278" s="25">
        <f>EDATE(FechaInicio,TModelo[[#This Row],[Period]])</f>
        <v>53933</v>
      </c>
      <c r="D278" s="11">
        <f>IF(AND(TModelo[[#This Row],[Period]]&gt;=1,TModelo[[#This Row],[Period]]&lt;=HorizonteMeses),1,0)</f>
        <v>0</v>
      </c>
      <c r="E278" s="40">
        <f>TModelo[[#This Row],[Act]]*(INFb+(INFpi0-INFb)*(1-INFa)^TModelo[[#This Row],[Period]])</f>
        <v>0</v>
      </c>
      <c r="F278" s="28">
        <f>IF(TModelo[[#This Row],[Period]]&lt;=HorizonteMeses,F277*(1+TModelo[[#This Row],[InflMes]]),0)</f>
        <v>0</v>
      </c>
      <c r="G278" s="21">
        <f>TModelo[[#This Row],[Act]]*(CDTb+(CDTx0-CDTb)*(1-CDTa)^TModelo[[#This Row],[Period]]+CDTspread)</f>
        <v>0</v>
      </c>
      <c r="H278" s="40">
        <f>TModelo[[#This Row],[Act]]*((1+TModelo[[#This Row],[TasaCDT]])^(1/12)-1)*(1-Retencion)</f>
        <v>0</v>
      </c>
      <c r="I278" s="40">
        <f>TModelo[[#This Row],[Act]]*(EXP(MuCOLCAP+SigmaCOLCAP^2/2)-1)</f>
        <v>0</v>
      </c>
      <c r="J278" s="40">
        <f>TModelo[[#This Row],[Act]]*(EXP(MuTRM+SigmaTRM^2/2)-1)</f>
        <v>0</v>
      </c>
      <c r="K278" s="11">
        <f>TModelo[[#This Row],[Act]]*IF(Rebalanceo="Mensual",1,IF(Rebalanceo="Anual",IF(MOD(TModelo[[#This Row],[Period]]-1,12)=0,1,0),0))</f>
        <v>0</v>
      </c>
      <c r="L278" s="24">
        <f>TModelo[[#This Row],[Act]]*AporteMensual*IF(CrecimientoAporte="Con IPC",F277,1)</f>
        <v>0</v>
      </c>
      <c r="M278" s="24">
        <f>IF(TModelo[[#This Row],[Period]]=HorizonteMeses,TModelo[[#This Row],[TotalPreLiq]],0)</f>
        <v>0</v>
      </c>
      <c r="N278" s="24">
        <f>TModelo[[#This Row],[Inflow]]-TModelo[[#This Row],[Outflow]]</f>
        <v>0</v>
      </c>
      <c r="O278" s="24">
        <f t="shared" si="3"/>
        <v>0</v>
      </c>
      <c r="P278" s="24">
        <f>TModelo[[#This Row],[IntCDT]]+TModelo[[#This Row],[IntCOLCAP]]+TModelo[[#This Row],[IntUSD]]</f>
        <v>0</v>
      </c>
      <c r="Q278" s="24">
        <f>TModelo[[#This Row],[InitialBalance]]+TModelo[[#This Row],[Interest]]+TModelo[[#This Row],[Outflow]]-TModelo[[#This Row],[Inflow]]</f>
        <v>0</v>
      </c>
      <c r="R278" s="24">
        <f>TModelo[[#This Row],[Act]]*IF(TModelo[[#This Row],[Rebal]]=1,PesoCDT*(X277+Y277+Z277),X277)</f>
        <v>0</v>
      </c>
      <c r="S278" s="24">
        <f>TModelo[[#This Row],[Act]]*IF(TModelo[[#This Row],[Rebal]]=1,PesoCOLCAP*(X277+Y277+Z277),Y277)</f>
        <v>0</v>
      </c>
      <c r="T278" s="24">
        <f>TModelo[[#This Row],[Act]]*IF(TModelo[[#This Row],[Rebal]]=1,PesoUSD*(X277+Y277+Z277),Z277)</f>
        <v>0</v>
      </c>
      <c r="U278" s="24">
        <f>TModelo[[#This Row],[IniCDT]]*TModelo[[#This Row],[RetCDT]]</f>
        <v>0</v>
      </c>
      <c r="V278" s="24">
        <f>TModelo[[#This Row],[IniCOLCAP]]*TModelo[[#This Row],[RetCOLCAP]]</f>
        <v>0</v>
      </c>
      <c r="W278" s="24">
        <f>TModelo[[#This Row],[IniUSD]]*TModelo[[#This Row],[RetUSD]]</f>
        <v>0</v>
      </c>
      <c r="X278" s="24">
        <f>TModelo[[#This Row],[Act]]*(TModelo[[#This Row],[IniCDT]]+TModelo[[#This Row],[IntCDT]]+PesoCDT*TModelo[[#This Row],[Outflow]])</f>
        <v>0</v>
      </c>
      <c r="Y278" s="24">
        <f>TModelo[[#This Row],[Act]]*(TModelo[[#This Row],[IniCOLCAP]]+TModelo[[#This Row],[IntCOLCAP]]+PesoCOLCAP*TModelo[[#This Row],[Outflow]])</f>
        <v>0</v>
      </c>
      <c r="Z278" s="24">
        <f>TModelo[[#This Row],[Act]]*(TModelo[[#This Row],[IniUSD]]+TModelo[[#This Row],[IntUSD]]+PesoUSD*TModelo[[#This Row],[Outflow]])</f>
        <v>0</v>
      </c>
      <c r="AA278" s="24">
        <f>TModelo[[#This Row],[BalCDT]]+TModelo[[#This Row],[BalCOLCAP]]+TModelo[[#This Row],[BalUSD]]</f>
        <v>0</v>
      </c>
      <c r="AB278" s="24">
        <f>IF(TModelo[[#This Row],[CumInfl]]&gt;0,TModelo[[#This Row],[TotalPreLiq]]/TModelo[[#This Row],[CumInfl]],0)</f>
        <v>0</v>
      </c>
      <c r="AC278" s="41">
        <f>(1+PerRate)^(-TModelo[[#This Row],[Period]])</f>
        <v>0.14142714172378956</v>
      </c>
      <c r="AD278" s="42">
        <f>TModelo[[#This Row],[NetCF]]*TModelo[[#This Row],[fd]]</f>
        <v>0</v>
      </c>
    </row>
    <row r="279" spans="2:30" ht="16.95" customHeight="1">
      <c r="B279" s="11">
        <v>252</v>
      </c>
      <c r="C279" s="25">
        <f>EDATE(FechaInicio,TModelo[[#This Row],[Period]])</f>
        <v>53964</v>
      </c>
      <c r="D279" s="11">
        <f>IF(AND(TModelo[[#This Row],[Period]]&gt;=1,TModelo[[#This Row],[Period]]&lt;=HorizonteMeses),1,0)</f>
        <v>0</v>
      </c>
      <c r="E279" s="40">
        <f>TModelo[[#This Row],[Act]]*(INFb+(INFpi0-INFb)*(1-INFa)^TModelo[[#This Row],[Period]])</f>
        <v>0</v>
      </c>
      <c r="F279" s="28">
        <f>IF(TModelo[[#This Row],[Period]]&lt;=HorizonteMeses,F278*(1+TModelo[[#This Row],[InflMes]]),0)</f>
        <v>0</v>
      </c>
      <c r="G279" s="21">
        <f>TModelo[[#This Row],[Act]]*(CDTb+(CDTx0-CDTb)*(1-CDTa)^TModelo[[#This Row],[Period]]+CDTspread)</f>
        <v>0</v>
      </c>
      <c r="H279" s="40">
        <f>TModelo[[#This Row],[Act]]*((1+TModelo[[#This Row],[TasaCDT]])^(1/12)-1)*(1-Retencion)</f>
        <v>0</v>
      </c>
      <c r="I279" s="40">
        <f>TModelo[[#This Row],[Act]]*(EXP(MuCOLCAP+SigmaCOLCAP^2/2)-1)</f>
        <v>0</v>
      </c>
      <c r="J279" s="40">
        <f>TModelo[[#This Row],[Act]]*(EXP(MuTRM+SigmaTRM^2/2)-1)</f>
        <v>0</v>
      </c>
      <c r="K279" s="11">
        <f>TModelo[[#This Row],[Act]]*IF(Rebalanceo="Mensual",1,IF(Rebalanceo="Anual",IF(MOD(TModelo[[#This Row],[Period]]-1,12)=0,1,0),0))</f>
        <v>0</v>
      </c>
      <c r="L279" s="24">
        <f>TModelo[[#This Row],[Act]]*AporteMensual*IF(CrecimientoAporte="Con IPC",F278,1)</f>
        <v>0</v>
      </c>
      <c r="M279" s="24">
        <f>IF(TModelo[[#This Row],[Period]]=HorizonteMeses,TModelo[[#This Row],[TotalPreLiq]],0)</f>
        <v>0</v>
      </c>
      <c r="N279" s="24">
        <f>TModelo[[#This Row],[Inflow]]-TModelo[[#This Row],[Outflow]]</f>
        <v>0</v>
      </c>
      <c r="O279" s="24">
        <f t="shared" si="3"/>
        <v>0</v>
      </c>
      <c r="P279" s="24">
        <f>TModelo[[#This Row],[IntCDT]]+TModelo[[#This Row],[IntCOLCAP]]+TModelo[[#This Row],[IntUSD]]</f>
        <v>0</v>
      </c>
      <c r="Q279" s="24">
        <f>TModelo[[#This Row],[InitialBalance]]+TModelo[[#This Row],[Interest]]+TModelo[[#This Row],[Outflow]]-TModelo[[#This Row],[Inflow]]</f>
        <v>0</v>
      </c>
      <c r="R279" s="24">
        <f>TModelo[[#This Row],[Act]]*IF(TModelo[[#This Row],[Rebal]]=1,PesoCDT*(X278+Y278+Z278),X278)</f>
        <v>0</v>
      </c>
      <c r="S279" s="24">
        <f>TModelo[[#This Row],[Act]]*IF(TModelo[[#This Row],[Rebal]]=1,PesoCOLCAP*(X278+Y278+Z278),Y278)</f>
        <v>0</v>
      </c>
      <c r="T279" s="24">
        <f>TModelo[[#This Row],[Act]]*IF(TModelo[[#This Row],[Rebal]]=1,PesoUSD*(X278+Y278+Z278),Z278)</f>
        <v>0</v>
      </c>
      <c r="U279" s="24">
        <f>TModelo[[#This Row],[IniCDT]]*TModelo[[#This Row],[RetCDT]]</f>
        <v>0</v>
      </c>
      <c r="V279" s="24">
        <f>TModelo[[#This Row],[IniCOLCAP]]*TModelo[[#This Row],[RetCOLCAP]]</f>
        <v>0</v>
      </c>
      <c r="W279" s="24">
        <f>TModelo[[#This Row],[IniUSD]]*TModelo[[#This Row],[RetUSD]]</f>
        <v>0</v>
      </c>
      <c r="X279" s="24">
        <f>TModelo[[#This Row],[Act]]*(TModelo[[#This Row],[IniCDT]]+TModelo[[#This Row],[IntCDT]]+PesoCDT*TModelo[[#This Row],[Outflow]])</f>
        <v>0</v>
      </c>
      <c r="Y279" s="24">
        <f>TModelo[[#This Row],[Act]]*(TModelo[[#This Row],[IniCOLCAP]]+TModelo[[#This Row],[IntCOLCAP]]+PesoCOLCAP*TModelo[[#This Row],[Outflow]])</f>
        <v>0</v>
      </c>
      <c r="Z279" s="24">
        <f>TModelo[[#This Row],[Act]]*(TModelo[[#This Row],[IniUSD]]+TModelo[[#This Row],[IntUSD]]+PesoUSD*TModelo[[#This Row],[Outflow]])</f>
        <v>0</v>
      </c>
      <c r="AA279" s="24">
        <f>TModelo[[#This Row],[BalCDT]]+TModelo[[#This Row],[BalCOLCAP]]+TModelo[[#This Row],[BalUSD]]</f>
        <v>0</v>
      </c>
      <c r="AB279" s="24">
        <f>IF(TModelo[[#This Row],[CumInfl]]&gt;0,TModelo[[#This Row],[TotalPreLiq]]/TModelo[[#This Row],[CumInfl]],0)</f>
        <v>0</v>
      </c>
      <c r="AC279" s="41">
        <f>(1+PerRate)^(-TModelo[[#This Row],[Period]])</f>
        <v>0.14032932385038369</v>
      </c>
      <c r="AD279" s="42">
        <f>TModelo[[#This Row],[NetCF]]*TModelo[[#This Row],[fd]]</f>
        <v>0</v>
      </c>
    </row>
    <row r="280" spans="2:30" ht="16.95" customHeight="1">
      <c r="B280" s="11">
        <v>253</v>
      </c>
      <c r="C280" s="25">
        <f>EDATE(FechaInicio,TModelo[[#This Row],[Period]])</f>
        <v>53994</v>
      </c>
      <c r="D280" s="11">
        <f>IF(AND(TModelo[[#This Row],[Period]]&gt;=1,TModelo[[#This Row],[Period]]&lt;=HorizonteMeses),1,0)</f>
        <v>0</v>
      </c>
      <c r="E280" s="40">
        <f>TModelo[[#This Row],[Act]]*(INFb+(INFpi0-INFb)*(1-INFa)^TModelo[[#This Row],[Period]])</f>
        <v>0</v>
      </c>
      <c r="F280" s="28">
        <f>IF(TModelo[[#This Row],[Period]]&lt;=HorizonteMeses,F279*(1+TModelo[[#This Row],[InflMes]]),0)</f>
        <v>0</v>
      </c>
      <c r="G280" s="21">
        <f>TModelo[[#This Row],[Act]]*(CDTb+(CDTx0-CDTb)*(1-CDTa)^TModelo[[#This Row],[Period]]+CDTspread)</f>
        <v>0</v>
      </c>
      <c r="H280" s="40">
        <f>TModelo[[#This Row],[Act]]*((1+TModelo[[#This Row],[TasaCDT]])^(1/12)-1)*(1-Retencion)</f>
        <v>0</v>
      </c>
      <c r="I280" s="40">
        <f>TModelo[[#This Row],[Act]]*(EXP(MuCOLCAP+SigmaCOLCAP^2/2)-1)</f>
        <v>0</v>
      </c>
      <c r="J280" s="40">
        <f>TModelo[[#This Row],[Act]]*(EXP(MuTRM+SigmaTRM^2/2)-1)</f>
        <v>0</v>
      </c>
      <c r="K280" s="11">
        <f>TModelo[[#This Row],[Act]]*IF(Rebalanceo="Mensual",1,IF(Rebalanceo="Anual",IF(MOD(TModelo[[#This Row],[Period]]-1,12)=0,1,0),0))</f>
        <v>0</v>
      </c>
      <c r="L280" s="24">
        <f>TModelo[[#This Row],[Act]]*AporteMensual*IF(CrecimientoAporte="Con IPC",F279,1)</f>
        <v>0</v>
      </c>
      <c r="M280" s="24">
        <f>IF(TModelo[[#This Row],[Period]]=HorizonteMeses,TModelo[[#This Row],[TotalPreLiq]],0)</f>
        <v>0</v>
      </c>
      <c r="N280" s="24">
        <f>TModelo[[#This Row],[Inflow]]-TModelo[[#This Row],[Outflow]]</f>
        <v>0</v>
      </c>
      <c r="O280" s="24">
        <f t="shared" si="3"/>
        <v>0</v>
      </c>
      <c r="P280" s="24">
        <f>TModelo[[#This Row],[IntCDT]]+TModelo[[#This Row],[IntCOLCAP]]+TModelo[[#This Row],[IntUSD]]</f>
        <v>0</v>
      </c>
      <c r="Q280" s="24">
        <f>TModelo[[#This Row],[InitialBalance]]+TModelo[[#This Row],[Interest]]+TModelo[[#This Row],[Outflow]]-TModelo[[#This Row],[Inflow]]</f>
        <v>0</v>
      </c>
      <c r="R280" s="24">
        <f>TModelo[[#This Row],[Act]]*IF(TModelo[[#This Row],[Rebal]]=1,PesoCDT*(X279+Y279+Z279),X279)</f>
        <v>0</v>
      </c>
      <c r="S280" s="24">
        <f>TModelo[[#This Row],[Act]]*IF(TModelo[[#This Row],[Rebal]]=1,PesoCOLCAP*(X279+Y279+Z279),Y279)</f>
        <v>0</v>
      </c>
      <c r="T280" s="24">
        <f>TModelo[[#This Row],[Act]]*IF(TModelo[[#This Row],[Rebal]]=1,PesoUSD*(X279+Y279+Z279),Z279)</f>
        <v>0</v>
      </c>
      <c r="U280" s="24">
        <f>TModelo[[#This Row],[IniCDT]]*TModelo[[#This Row],[RetCDT]]</f>
        <v>0</v>
      </c>
      <c r="V280" s="24">
        <f>TModelo[[#This Row],[IniCOLCAP]]*TModelo[[#This Row],[RetCOLCAP]]</f>
        <v>0</v>
      </c>
      <c r="W280" s="24">
        <f>TModelo[[#This Row],[IniUSD]]*TModelo[[#This Row],[RetUSD]]</f>
        <v>0</v>
      </c>
      <c r="X280" s="24">
        <f>TModelo[[#This Row],[Act]]*(TModelo[[#This Row],[IniCDT]]+TModelo[[#This Row],[IntCDT]]+PesoCDT*TModelo[[#This Row],[Outflow]])</f>
        <v>0</v>
      </c>
      <c r="Y280" s="24">
        <f>TModelo[[#This Row],[Act]]*(TModelo[[#This Row],[IniCOLCAP]]+TModelo[[#This Row],[IntCOLCAP]]+PesoCOLCAP*TModelo[[#This Row],[Outflow]])</f>
        <v>0</v>
      </c>
      <c r="Z280" s="24">
        <f>TModelo[[#This Row],[Act]]*(TModelo[[#This Row],[IniUSD]]+TModelo[[#This Row],[IntUSD]]+PesoUSD*TModelo[[#This Row],[Outflow]])</f>
        <v>0</v>
      </c>
      <c r="AA280" s="24">
        <f>TModelo[[#This Row],[BalCDT]]+TModelo[[#This Row],[BalCOLCAP]]+TModelo[[#This Row],[BalUSD]]</f>
        <v>0</v>
      </c>
      <c r="AB280" s="24">
        <f>IF(TModelo[[#This Row],[CumInfl]]&gt;0,TModelo[[#This Row],[TotalPreLiq]]/TModelo[[#This Row],[CumInfl]],0)</f>
        <v>0</v>
      </c>
      <c r="AC280" s="41">
        <f>(1+PerRate)^(-TModelo[[#This Row],[Period]])</f>
        <v>0.13924002770815669</v>
      </c>
      <c r="AD280" s="42">
        <f>TModelo[[#This Row],[NetCF]]*TModelo[[#This Row],[fd]]</f>
        <v>0</v>
      </c>
    </row>
    <row r="281" spans="2:30" ht="16.95" customHeight="1">
      <c r="B281" s="11">
        <v>254</v>
      </c>
      <c r="C281" s="25">
        <f>EDATE(FechaInicio,TModelo[[#This Row],[Period]])</f>
        <v>54025</v>
      </c>
      <c r="D281" s="11">
        <f>IF(AND(TModelo[[#This Row],[Period]]&gt;=1,TModelo[[#This Row],[Period]]&lt;=HorizonteMeses),1,0)</f>
        <v>0</v>
      </c>
      <c r="E281" s="40">
        <f>TModelo[[#This Row],[Act]]*(INFb+(INFpi0-INFb)*(1-INFa)^TModelo[[#This Row],[Period]])</f>
        <v>0</v>
      </c>
      <c r="F281" s="28">
        <f>IF(TModelo[[#This Row],[Period]]&lt;=HorizonteMeses,F280*(1+TModelo[[#This Row],[InflMes]]),0)</f>
        <v>0</v>
      </c>
      <c r="G281" s="21">
        <f>TModelo[[#This Row],[Act]]*(CDTb+(CDTx0-CDTb)*(1-CDTa)^TModelo[[#This Row],[Period]]+CDTspread)</f>
        <v>0</v>
      </c>
      <c r="H281" s="40">
        <f>TModelo[[#This Row],[Act]]*((1+TModelo[[#This Row],[TasaCDT]])^(1/12)-1)*(1-Retencion)</f>
        <v>0</v>
      </c>
      <c r="I281" s="40">
        <f>TModelo[[#This Row],[Act]]*(EXP(MuCOLCAP+SigmaCOLCAP^2/2)-1)</f>
        <v>0</v>
      </c>
      <c r="J281" s="40">
        <f>TModelo[[#This Row],[Act]]*(EXP(MuTRM+SigmaTRM^2/2)-1)</f>
        <v>0</v>
      </c>
      <c r="K281" s="11">
        <f>TModelo[[#This Row],[Act]]*IF(Rebalanceo="Mensual",1,IF(Rebalanceo="Anual",IF(MOD(TModelo[[#This Row],[Period]]-1,12)=0,1,0),0))</f>
        <v>0</v>
      </c>
      <c r="L281" s="24">
        <f>TModelo[[#This Row],[Act]]*AporteMensual*IF(CrecimientoAporte="Con IPC",F280,1)</f>
        <v>0</v>
      </c>
      <c r="M281" s="24">
        <f>IF(TModelo[[#This Row],[Period]]=HorizonteMeses,TModelo[[#This Row],[TotalPreLiq]],0)</f>
        <v>0</v>
      </c>
      <c r="N281" s="24">
        <f>TModelo[[#This Row],[Inflow]]-TModelo[[#This Row],[Outflow]]</f>
        <v>0</v>
      </c>
      <c r="O281" s="24">
        <f t="shared" si="3"/>
        <v>0</v>
      </c>
      <c r="P281" s="24">
        <f>TModelo[[#This Row],[IntCDT]]+TModelo[[#This Row],[IntCOLCAP]]+TModelo[[#This Row],[IntUSD]]</f>
        <v>0</v>
      </c>
      <c r="Q281" s="24">
        <f>TModelo[[#This Row],[InitialBalance]]+TModelo[[#This Row],[Interest]]+TModelo[[#This Row],[Outflow]]-TModelo[[#This Row],[Inflow]]</f>
        <v>0</v>
      </c>
      <c r="R281" s="24">
        <f>TModelo[[#This Row],[Act]]*IF(TModelo[[#This Row],[Rebal]]=1,PesoCDT*(X280+Y280+Z280),X280)</f>
        <v>0</v>
      </c>
      <c r="S281" s="24">
        <f>TModelo[[#This Row],[Act]]*IF(TModelo[[#This Row],[Rebal]]=1,PesoCOLCAP*(X280+Y280+Z280),Y280)</f>
        <v>0</v>
      </c>
      <c r="T281" s="24">
        <f>TModelo[[#This Row],[Act]]*IF(TModelo[[#This Row],[Rebal]]=1,PesoUSD*(X280+Y280+Z280),Z280)</f>
        <v>0</v>
      </c>
      <c r="U281" s="24">
        <f>TModelo[[#This Row],[IniCDT]]*TModelo[[#This Row],[RetCDT]]</f>
        <v>0</v>
      </c>
      <c r="V281" s="24">
        <f>TModelo[[#This Row],[IniCOLCAP]]*TModelo[[#This Row],[RetCOLCAP]]</f>
        <v>0</v>
      </c>
      <c r="W281" s="24">
        <f>TModelo[[#This Row],[IniUSD]]*TModelo[[#This Row],[RetUSD]]</f>
        <v>0</v>
      </c>
      <c r="X281" s="24">
        <f>TModelo[[#This Row],[Act]]*(TModelo[[#This Row],[IniCDT]]+TModelo[[#This Row],[IntCDT]]+PesoCDT*TModelo[[#This Row],[Outflow]])</f>
        <v>0</v>
      </c>
      <c r="Y281" s="24">
        <f>TModelo[[#This Row],[Act]]*(TModelo[[#This Row],[IniCOLCAP]]+TModelo[[#This Row],[IntCOLCAP]]+PesoCOLCAP*TModelo[[#This Row],[Outflow]])</f>
        <v>0</v>
      </c>
      <c r="Z281" s="24">
        <f>TModelo[[#This Row],[Act]]*(TModelo[[#This Row],[IniUSD]]+TModelo[[#This Row],[IntUSD]]+PesoUSD*TModelo[[#This Row],[Outflow]])</f>
        <v>0</v>
      </c>
      <c r="AA281" s="24">
        <f>TModelo[[#This Row],[BalCDT]]+TModelo[[#This Row],[BalCOLCAP]]+TModelo[[#This Row],[BalUSD]]</f>
        <v>0</v>
      </c>
      <c r="AB281" s="24">
        <f>IF(TModelo[[#This Row],[CumInfl]]&gt;0,TModelo[[#This Row],[TotalPreLiq]]/TModelo[[#This Row],[CumInfl]],0)</f>
        <v>0</v>
      </c>
      <c r="AC281" s="41">
        <f>(1+PerRate)^(-TModelo[[#This Row],[Period]])</f>
        <v>0.1381591871477918</v>
      </c>
      <c r="AD281" s="42">
        <f>TModelo[[#This Row],[NetCF]]*TModelo[[#This Row],[fd]]</f>
        <v>0</v>
      </c>
    </row>
    <row r="282" spans="2:30" ht="16.95" customHeight="1">
      <c r="B282" s="11">
        <v>255</v>
      </c>
      <c r="C282" s="25">
        <f>EDATE(FechaInicio,TModelo[[#This Row],[Period]])</f>
        <v>54055</v>
      </c>
      <c r="D282" s="11">
        <f>IF(AND(TModelo[[#This Row],[Period]]&gt;=1,TModelo[[#This Row],[Period]]&lt;=HorizonteMeses),1,0)</f>
        <v>0</v>
      </c>
      <c r="E282" s="40">
        <f>TModelo[[#This Row],[Act]]*(INFb+(INFpi0-INFb)*(1-INFa)^TModelo[[#This Row],[Period]])</f>
        <v>0</v>
      </c>
      <c r="F282" s="28">
        <f>IF(TModelo[[#This Row],[Period]]&lt;=HorizonteMeses,F281*(1+TModelo[[#This Row],[InflMes]]),0)</f>
        <v>0</v>
      </c>
      <c r="G282" s="21">
        <f>TModelo[[#This Row],[Act]]*(CDTb+(CDTx0-CDTb)*(1-CDTa)^TModelo[[#This Row],[Period]]+CDTspread)</f>
        <v>0</v>
      </c>
      <c r="H282" s="40">
        <f>TModelo[[#This Row],[Act]]*((1+TModelo[[#This Row],[TasaCDT]])^(1/12)-1)*(1-Retencion)</f>
        <v>0</v>
      </c>
      <c r="I282" s="40">
        <f>TModelo[[#This Row],[Act]]*(EXP(MuCOLCAP+SigmaCOLCAP^2/2)-1)</f>
        <v>0</v>
      </c>
      <c r="J282" s="40">
        <f>TModelo[[#This Row],[Act]]*(EXP(MuTRM+SigmaTRM^2/2)-1)</f>
        <v>0</v>
      </c>
      <c r="K282" s="11">
        <f>TModelo[[#This Row],[Act]]*IF(Rebalanceo="Mensual",1,IF(Rebalanceo="Anual",IF(MOD(TModelo[[#This Row],[Period]]-1,12)=0,1,0),0))</f>
        <v>0</v>
      </c>
      <c r="L282" s="24">
        <f>TModelo[[#This Row],[Act]]*AporteMensual*IF(CrecimientoAporte="Con IPC",F281,1)</f>
        <v>0</v>
      </c>
      <c r="M282" s="24">
        <f>IF(TModelo[[#This Row],[Period]]=HorizonteMeses,TModelo[[#This Row],[TotalPreLiq]],0)</f>
        <v>0</v>
      </c>
      <c r="N282" s="24">
        <f>TModelo[[#This Row],[Inflow]]-TModelo[[#This Row],[Outflow]]</f>
        <v>0</v>
      </c>
      <c r="O282" s="24">
        <f t="shared" si="3"/>
        <v>0</v>
      </c>
      <c r="P282" s="24">
        <f>TModelo[[#This Row],[IntCDT]]+TModelo[[#This Row],[IntCOLCAP]]+TModelo[[#This Row],[IntUSD]]</f>
        <v>0</v>
      </c>
      <c r="Q282" s="24">
        <f>TModelo[[#This Row],[InitialBalance]]+TModelo[[#This Row],[Interest]]+TModelo[[#This Row],[Outflow]]-TModelo[[#This Row],[Inflow]]</f>
        <v>0</v>
      </c>
      <c r="R282" s="24">
        <f>TModelo[[#This Row],[Act]]*IF(TModelo[[#This Row],[Rebal]]=1,PesoCDT*(X281+Y281+Z281),X281)</f>
        <v>0</v>
      </c>
      <c r="S282" s="24">
        <f>TModelo[[#This Row],[Act]]*IF(TModelo[[#This Row],[Rebal]]=1,PesoCOLCAP*(X281+Y281+Z281),Y281)</f>
        <v>0</v>
      </c>
      <c r="T282" s="24">
        <f>TModelo[[#This Row],[Act]]*IF(TModelo[[#This Row],[Rebal]]=1,PesoUSD*(X281+Y281+Z281),Z281)</f>
        <v>0</v>
      </c>
      <c r="U282" s="24">
        <f>TModelo[[#This Row],[IniCDT]]*TModelo[[#This Row],[RetCDT]]</f>
        <v>0</v>
      </c>
      <c r="V282" s="24">
        <f>TModelo[[#This Row],[IniCOLCAP]]*TModelo[[#This Row],[RetCOLCAP]]</f>
        <v>0</v>
      </c>
      <c r="W282" s="24">
        <f>TModelo[[#This Row],[IniUSD]]*TModelo[[#This Row],[RetUSD]]</f>
        <v>0</v>
      </c>
      <c r="X282" s="24">
        <f>TModelo[[#This Row],[Act]]*(TModelo[[#This Row],[IniCDT]]+TModelo[[#This Row],[IntCDT]]+PesoCDT*TModelo[[#This Row],[Outflow]])</f>
        <v>0</v>
      </c>
      <c r="Y282" s="24">
        <f>TModelo[[#This Row],[Act]]*(TModelo[[#This Row],[IniCOLCAP]]+TModelo[[#This Row],[IntCOLCAP]]+PesoCOLCAP*TModelo[[#This Row],[Outflow]])</f>
        <v>0</v>
      </c>
      <c r="Z282" s="24">
        <f>TModelo[[#This Row],[Act]]*(TModelo[[#This Row],[IniUSD]]+TModelo[[#This Row],[IntUSD]]+PesoUSD*TModelo[[#This Row],[Outflow]])</f>
        <v>0</v>
      </c>
      <c r="AA282" s="24">
        <f>TModelo[[#This Row],[BalCDT]]+TModelo[[#This Row],[BalCOLCAP]]+TModelo[[#This Row],[BalUSD]]</f>
        <v>0</v>
      </c>
      <c r="AB282" s="24">
        <f>IF(TModelo[[#This Row],[CumInfl]]&gt;0,TModelo[[#This Row],[TotalPreLiq]]/TModelo[[#This Row],[CumInfl]],0)</f>
        <v>0</v>
      </c>
      <c r="AC282" s="41">
        <f>(1+PerRate)^(-TModelo[[#This Row],[Period]])</f>
        <v>0.13708673653345144</v>
      </c>
      <c r="AD282" s="42">
        <f>TModelo[[#This Row],[NetCF]]*TModelo[[#This Row],[fd]]</f>
        <v>0</v>
      </c>
    </row>
    <row r="283" spans="2:30" ht="16.95" customHeight="1">
      <c r="B283" s="11">
        <v>256</v>
      </c>
      <c r="C283" s="25">
        <f>EDATE(FechaInicio,TModelo[[#This Row],[Period]])</f>
        <v>54086</v>
      </c>
      <c r="D283" s="11">
        <f>IF(AND(TModelo[[#This Row],[Period]]&gt;=1,TModelo[[#This Row],[Period]]&lt;=HorizonteMeses),1,0)</f>
        <v>0</v>
      </c>
      <c r="E283" s="40">
        <f>TModelo[[#This Row],[Act]]*(INFb+(INFpi0-INFb)*(1-INFa)^TModelo[[#This Row],[Period]])</f>
        <v>0</v>
      </c>
      <c r="F283" s="28">
        <f>IF(TModelo[[#This Row],[Period]]&lt;=HorizonteMeses,F282*(1+TModelo[[#This Row],[InflMes]]),0)</f>
        <v>0</v>
      </c>
      <c r="G283" s="21">
        <f>TModelo[[#This Row],[Act]]*(CDTb+(CDTx0-CDTb)*(1-CDTa)^TModelo[[#This Row],[Period]]+CDTspread)</f>
        <v>0</v>
      </c>
      <c r="H283" s="40">
        <f>TModelo[[#This Row],[Act]]*((1+TModelo[[#This Row],[TasaCDT]])^(1/12)-1)*(1-Retencion)</f>
        <v>0</v>
      </c>
      <c r="I283" s="40">
        <f>TModelo[[#This Row],[Act]]*(EXP(MuCOLCAP+SigmaCOLCAP^2/2)-1)</f>
        <v>0</v>
      </c>
      <c r="J283" s="40">
        <f>TModelo[[#This Row],[Act]]*(EXP(MuTRM+SigmaTRM^2/2)-1)</f>
        <v>0</v>
      </c>
      <c r="K283" s="11">
        <f>TModelo[[#This Row],[Act]]*IF(Rebalanceo="Mensual",1,IF(Rebalanceo="Anual",IF(MOD(TModelo[[#This Row],[Period]]-1,12)=0,1,0),0))</f>
        <v>0</v>
      </c>
      <c r="L283" s="24">
        <f>TModelo[[#This Row],[Act]]*AporteMensual*IF(CrecimientoAporte="Con IPC",F282,1)</f>
        <v>0</v>
      </c>
      <c r="M283" s="24">
        <f>IF(TModelo[[#This Row],[Period]]=HorizonteMeses,TModelo[[#This Row],[TotalPreLiq]],0)</f>
        <v>0</v>
      </c>
      <c r="N283" s="24">
        <f>TModelo[[#This Row],[Inflow]]-TModelo[[#This Row],[Outflow]]</f>
        <v>0</v>
      </c>
      <c r="O283" s="24">
        <f t="shared" si="3"/>
        <v>0</v>
      </c>
      <c r="P283" s="24">
        <f>TModelo[[#This Row],[IntCDT]]+TModelo[[#This Row],[IntCOLCAP]]+TModelo[[#This Row],[IntUSD]]</f>
        <v>0</v>
      </c>
      <c r="Q283" s="24">
        <f>TModelo[[#This Row],[InitialBalance]]+TModelo[[#This Row],[Interest]]+TModelo[[#This Row],[Outflow]]-TModelo[[#This Row],[Inflow]]</f>
        <v>0</v>
      </c>
      <c r="R283" s="24">
        <f>TModelo[[#This Row],[Act]]*IF(TModelo[[#This Row],[Rebal]]=1,PesoCDT*(X282+Y282+Z282),X282)</f>
        <v>0</v>
      </c>
      <c r="S283" s="24">
        <f>TModelo[[#This Row],[Act]]*IF(TModelo[[#This Row],[Rebal]]=1,PesoCOLCAP*(X282+Y282+Z282),Y282)</f>
        <v>0</v>
      </c>
      <c r="T283" s="24">
        <f>TModelo[[#This Row],[Act]]*IF(TModelo[[#This Row],[Rebal]]=1,PesoUSD*(X282+Y282+Z282),Z282)</f>
        <v>0</v>
      </c>
      <c r="U283" s="24">
        <f>TModelo[[#This Row],[IniCDT]]*TModelo[[#This Row],[RetCDT]]</f>
        <v>0</v>
      </c>
      <c r="V283" s="24">
        <f>TModelo[[#This Row],[IniCOLCAP]]*TModelo[[#This Row],[RetCOLCAP]]</f>
        <v>0</v>
      </c>
      <c r="W283" s="24">
        <f>TModelo[[#This Row],[IniUSD]]*TModelo[[#This Row],[RetUSD]]</f>
        <v>0</v>
      </c>
      <c r="X283" s="24">
        <f>TModelo[[#This Row],[Act]]*(TModelo[[#This Row],[IniCDT]]+TModelo[[#This Row],[IntCDT]]+PesoCDT*TModelo[[#This Row],[Outflow]])</f>
        <v>0</v>
      </c>
      <c r="Y283" s="24">
        <f>TModelo[[#This Row],[Act]]*(TModelo[[#This Row],[IniCOLCAP]]+TModelo[[#This Row],[IntCOLCAP]]+PesoCOLCAP*TModelo[[#This Row],[Outflow]])</f>
        <v>0</v>
      </c>
      <c r="Z283" s="24">
        <f>TModelo[[#This Row],[Act]]*(TModelo[[#This Row],[IniUSD]]+TModelo[[#This Row],[IntUSD]]+PesoUSD*TModelo[[#This Row],[Outflow]])</f>
        <v>0</v>
      </c>
      <c r="AA283" s="24">
        <f>TModelo[[#This Row],[BalCDT]]+TModelo[[#This Row],[BalCOLCAP]]+TModelo[[#This Row],[BalUSD]]</f>
        <v>0</v>
      </c>
      <c r="AB283" s="24">
        <f>IF(TModelo[[#This Row],[CumInfl]]&gt;0,TModelo[[#This Row],[TotalPreLiq]]/TModelo[[#This Row],[CumInfl]],0)</f>
        <v>0</v>
      </c>
      <c r="AC283" s="41">
        <f>(1+PerRate)^(-TModelo[[#This Row],[Period]])</f>
        <v>0.13602261073879152</v>
      </c>
      <c r="AD283" s="42">
        <f>TModelo[[#This Row],[NetCF]]*TModelo[[#This Row],[fd]]</f>
        <v>0</v>
      </c>
    </row>
    <row r="284" spans="2:30" ht="16.95" customHeight="1">
      <c r="B284" s="11">
        <v>257</v>
      </c>
      <c r="C284" s="25">
        <f>EDATE(FechaInicio,TModelo[[#This Row],[Period]])</f>
        <v>54117</v>
      </c>
      <c r="D284" s="11">
        <f>IF(AND(TModelo[[#This Row],[Period]]&gt;=1,TModelo[[#This Row],[Period]]&lt;=HorizonteMeses),1,0)</f>
        <v>0</v>
      </c>
      <c r="E284" s="40">
        <f>TModelo[[#This Row],[Act]]*(INFb+(INFpi0-INFb)*(1-INFa)^TModelo[[#This Row],[Period]])</f>
        <v>0</v>
      </c>
      <c r="F284" s="28">
        <f>IF(TModelo[[#This Row],[Period]]&lt;=HorizonteMeses,F283*(1+TModelo[[#This Row],[InflMes]]),0)</f>
        <v>0</v>
      </c>
      <c r="G284" s="21">
        <f>TModelo[[#This Row],[Act]]*(CDTb+(CDTx0-CDTb)*(1-CDTa)^TModelo[[#This Row],[Period]]+CDTspread)</f>
        <v>0</v>
      </c>
      <c r="H284" s="40">
        <f>TModelo[[#This Row],[Act]]*((1+TModelo[[#This Row],[TasaCDT]])^(1/12)-1)*(1-Retencion)</f>
        <v>0</v>
      </c>
      <c r="I284" s="40">
        <f>TModelo[[#This Row],[Act]]*(EXP(MuCOLCAP+SigmaCOLCAP^2/2)-1)</f>
        <v>0</v>
      </c>
      <c r="J284" s="40">
        <f>TModelo[[#This Row],[Act]]*(EXP(MuTRM+SigmaTRM^2/2)-1)</f>
        <v>0</v>
      </c>
      <c r="K284" s="11">
        <f>TModelo[[#This Row],[Act]]*IF(Rebalanceo="Mensual",1,IF(Rebalanceo="Anual",IF(MOD(TModelo[[#This Row],[Period]]-1,12)=0,1,0),0))</f>
        <v>0</v>
      </c>
      <c r="L284" s="24">
        <f>TModelo[[#This Row],[Act]]*AporteMensual*IF(CrecimientoAporte="Con IPC",F283,1)</f>
        <v>0</v>
      </c>
      <c r="M284" s="24">
        <f>IF(TModelo[[#This Row],[Period]]=HorizonteMeses,TModelo[[#This Row],[TotalPreLiq]],0)</f>
        <v>0</v>
      </c>
      <c r="N284" s="24">
        <f>TModelo[[#This Row],[Inflow]]-TModelo[[#This Row],[Outflow]]</f>
        <v>0</v>
      </c>
      <c r="O284" s="24">
        <f t="shared" ref="O284:O347" si="4">Q283</f>
        <v>0</v>
      </c>
      <c r="P284" s="24">
        <f>TModelo[[#This Row],[IntCDT]]+TModelo[[#This Row],[IntCOLCAP]]+TModelo[[#This Row],[IntUSD]]</f>
        <v>0</v>
      </c>
      <c r="Q284" s="24">
        <f>TModelo[[#This Row],[InitialBalance]]+TModelo[[#This Row],[Interest]]+TModelo[[#This Row],[Outflow]]-TModelo[[#This Row],[Inflow]]</f>
        <v>0</v>
      </c>
      <c r="R284" s="24">
        <f>TModelo[[#This Row],[Act]]*IF(TModelo[[#This Row],[Rebal]]=1,PesoCDT*(X283+Y283+Z283),X283)</f>
        <v>0</v>
      </c>
      <c r="S284" s="24">
        <f>TModelo[[#This Row],[Act]]*IF(TModelo[[#This Row],[Rebal]]=1,PesoCOLCAP*(X283+Y283+Z283),Y283)</f>
        <v>0</v>
      </c>
      <c r="T284" s="24">
        <f>TModelo[[#This Row],[Act]]*IF(TModelo[[#This Row],[Rebal]]=1,PesoUSD*(X283+Y283+Z283),Z283)</f>
        <v>0</v>
      </c>
      <c r="U284" s="24">
        <f>TModelo[[#This Row],[IniCDT]]*TModelo[[#This Row],[RetCDT]]</f>
        <v>0</v>
      </c>
      <c r="V284" s="24">
        <f>TModelo[[#This Row],[IniCOLCAP]]*TModelo[[#This Row],[RetCOLCAP]]</f>
        <v>0</v>
      </c>
      <c r="W284" s="24">
        <f>TModelo[[#This Row],[IniUSD]]*TModelo[[#This Row],[RetUSD]]</f>
        <v>0</v>
      </c>
      <c r="X284" s="24">
        <f>TModelo[[#This Row],[Act]]*(TModelo[[#This Row],[IniCDT]]+TModelo[[#This Row],[IntCDT]]+PesoCDT*TModelo[[#This Row],[Outflow]])</f>
        <v>0</v>
      </c>
      <c r="Y284" s="24">
        <f>TModelo[[#This Row],[Act]]*(TModelo[[#This Row],[IniCOLCAP]]+TModelo[[#This Row],[IntCOLCAP]]+PesoCOLCAP*TModelo[[#This Row],[Outflow]])</f>
        <v>0</v>
      </c>
      <c r="Z284" s="24">
        <f>TModelo[[#This Row],[Act]]*(TModelo[[#This Row],[IniUSD]]+TModelo[[#This Row],[IntUSD]]+PesoUSD*TModelo[[#This Row],[Outflow]])</f>
        <v>0</v>
      </c>
      <c r="AA284" s="24">
        <f>TModelo[[#This Row],[BalCDT]]+TModelo[[#This Row],[BalCOLCAP]]+TModelo[[#This Row],[BalUSD]]</f>
        <v>0</v>
      </c>
      <c r="AB284" s="24">
        <f>IF(TModelo[[#This Row],[CumInfl]]&gt;0,TModelo[[#This Row],[TotalPreLiq]]/TModelo[[#This Row],[CumInfl]],0)</f>
        <v>0</v>
      </c>
      <c r="AC284" s="41">
        <f>(1+PerRate)^(-TModelo[[#This Row],[Period]])</f>
        <v>0.13496674514300636</v>
      </c>
      <c r="AD284" s="42">
        <f>TModelo[[#This Row],[NetCF]]*TModelo[[#This Row],[fd]]</f>
        <v>0</v>
      </c>
    </row>
    <row r="285" spans="2:30" ht="16.95" customHeight="1">
      <c r="B285" s="11">
        <v>258</v>
      </c>
      <c r="C285" s="25">
        <f>EDATE(FechaInicio,TModelo[[#This Row],[Period]])</f>
        <v>54146</v>
      </c>
      <c r="D285" s="11">
        <f>IF(AND(TModelo[[#This Row],[Period]]&gt;=1,TModelo[[#This Row],[Period]]&lt;=HorizonteMeses),1,0)</f>
        <v>0</v>
      </c>
      <c r="E285" s="40">
        <f>TModelo[[#This Row],[Act]]*(INFb+(INFpi0-INFb)*(1-INFa)^TModelo[[#This Row],[Period]])</f>
        <v>0</v>
      </c>
      <c r="F285" s="28">
        <f>IF(TModelo[[#This Row],[Period]]&lt;=HorizonteMeses,F284*(1+TModelo[[#This Row],[InflMes]]),0)</f>
        <v>0</v>
      </c>
      <c r="G285" s="21">
        <f>TModelo[[#This Row],[Act]]*(CDTb+(CDTx0-CDTb)*(1-CDTa)^TModelo[[#This Row],[Period]]+CDTspread)</f>
        <v>0</v>
      </c>
      <c r="H285" s="40">
        <f>TModelo[[#This Row],[Act]]*((1+TModelo[[#This Row],[TasaCDT]])^(1/12)-1)*(1-Retencion)</f>
        <v>0</v>
      </c>
      <c r="I285" s="40">
        <f>TModelo[[#This Row],[Act]]*(EXP(MuCOLCAP+SigmaCOLCAP^2/2)-1)</f>
        <v>0</v>
      </c>
      <c r="J285" s="40">
        <f>TModelo[[#This Row],[Act]]*(EXP(MuTRM+SigmaTRM^2/2)-1)</f>
        <v>0</v>
      </c>
      <c r="K285" s="11">
        <f>TModelo[[#This Row],[Act]]*IF(Rebalanceo="Mensual",1,IF(Rebalanceo="Anual",IF(MOD(TModelo[[#This Row],[Period]]-1,12)=0,1,0),0))</f>
        <v>0</v>
      </c>
      <c r="L285" s="24">
        <f>TModelo[[#This Row],[Act]]*AporteMensual*IF(CrecimientoAporte="Con IPC",F284,1)</f>
        <v>0</v>
      </c>
      <c r="M285" s="24">
        <f>IF(TModelo[[#This Row],[Period]]=HorizonteMeses,TModelo[[#This Row],[TotalPreLiq]],0)</f>
        <v>0</v>
      </c>
      <c r="N285" s="24">
        <f>TModelo[[#This Row],[Inflow]]-TModelo[[#This Row],[Outflow]]</f>
        <v>0</v>
      </c>
      <c r="O285" s="24">
        <f t="shared" si="4"/>
        <v>0</v>
      </c>
      <c r="P285" s="24">
        <f>TModelo[[#This Row],[IntCDT]]+TModelo[[#This Row],[IntCOLCAP]]+TModelo[[#This Row],[IntUSD]]</f>
        <v>0</v>
      </c>
      <c r="Q285" s="24">
        <f>TModelo[[#This Row],[InitialBalance]]+TModelo[[#This Row],[Interest]]+TModelo[[#This Row],[Outflow]]-TModelo[[#This Row],[Inflow]]</f>
        <v>0</v>
      </c>
      <c r="R285" s="24">
        <f>TModelo[[#This Row],[Act]]*IF(TModelo[[#This Row],[Rebal]]=1,PesoCDT*(X284+Y284+Z284),X284)</f>
        <v>0</v>
      </c>
      <c r="S285" s="24">
        <f>TModelo[[#This Row],[Act]]*IF(TModelo[[#This Row],[Rebal]]=1,PesoCOLCAP*(X284+Y284+Z284),Y284)</f>
        <v>0</v>
      </c>
      <c r="T285" s="24">
        <f>TModelo[[#This Row],[Act]]*IF(TModelo[[#This Row],[Rebal]]=1,PesoUSD*(X284+Y284+Z284),Z284)</f>
        <v>0</v>
      </c>
      <c r="U285" s="24">
        <f>TModelo[[#This Row],[IniCDT]]*TModelo[[#This Row],[RetCDT]]</f>
        <v>0</v>
      </c>
      <c r="V285" s="24">
        <f>TModelo[[#This Row],[IniCOLCAP]]*TModelo[[#This Row],[RetCOLCAP]]</f>
        <v>0</v>
      </c>
      <c r="W285" s="24">
        <f>TModelo[[#This Row],[IniUSD]]*TModelo[[#This Row],[RetUSD]]</f>
        <v>0</v>
      </c>
      <c r="X285" s="24">
        <f>TModelo[[#This Row],[Act]]*(TModelo[[#This Row],[IniCDT]]+TModelo[[#This Row],[IntCDT]]+PesoCDT*TModelo[[#This Row],[Outflow]])</f>
        <v>0</v>
      </c>
      <c r="Y285" s="24">
        <f>TModelo[[#This Row],[Act]]*(TModelo[[#This Row],[IniCOLCAP]]+TModelo[[#This Row],[IntCOLCAP]]+PesoCOLCAP*TModelo[[#This Row],[Outflow]])</f>
        <v>0</v>
      </c>
      <c r="Z285" s="24">
        <f>TModelo[[#This Row],[Act]]*(TModelo[[#This Row],[IniUSD]]+TModelo[[#This Row],[IntUSD]]+PesoUSD*TModelo[[#This Row],[Outflow]])</f>
        <v>0</v>
      </c>
      <c r="AA285" s="24">
        <f>TModelo[[#This Row],[BalCDT]]+TModelo[[#This Row],[BalCOLCAP]]+TModelo[[#This Row],[BalUSD]]</f>
        <v>0</v>
      </c>
      <c r="AB285" s="24">
        <f>IF(TModelo[[#This Row],[CumInfl]]&gt;0,TModelo[[#This Row],[TotalPreLiq]]/TModelo[[#This Row],[CumInfl]],0)</f>
        <v>0</v>
      </c>
      <c r="AC285" s="41">
        <f>(1+PerRate)^(-TModelo[[#This Row],[Period]])</f>
        <v>0.13391907562690464</v>
      </c>
      <c r="AD285" s="42">
        <f>TModelo[[#This Row],[NetCF]]*TModelo[[#This Row],[fd]]</f>
        <v>0</v>
      </c>
    </row>
    <row r="286" spans="2:30" ht="16.95" customHeight="1">
      <c r="B286" s="11">
        <v>259</v>
      </c>
      <c r="C286" s="25">
        <f>EDATE(FechaInicio,TModelo[[#This Row],[Period]])</f>
        <v>54177</v>
      </c>
      <c r="D286" s="11">
        <f>IF(AND(TModelo[[#This Row],[Period]]&gt;=1,TModelo[[#This Row],[Period]]&lt;=HorizonteMeses),1,0)</f>
        <v>0</v>
      </c>
      <c r="E286" s="40">
        <f>TModelo[[#This Row],[Act]]*(INFb+(INFpi0-INFb)*(1-INFa)^TModelo[[#This Row],[Period]])</f>
        <v>0</v>
      </c>
      <c r="F286" s="28">
        <f>IF(TModelo[[#This Row],[Period]]&lt;=HorizonteMeses,F285*(1+TModelo[[#This Row],[InflMes]]),0)</f>
        <v>0</v>
      </c>
      <c r="G286" s="21">
        <f>TModelo[[#This Row],[Act]]*(CDTb+(CDTx0-CDTb)*(1-CDTa)^TModelo[[#This Row],[Period]]+CDTspread)</f>
        <v>0</v>
      </c>
      <c r="H286" s="40">
        <f>TModelo[[#This Row],[Act]]*((1+TModelo[[#This Row],[TasaCDT]])^(1/12)-1)*(1-Retencion)</f>
        <v>0</v>
      </c>
      <c r="I286" s="40">
        <f>TModelo[[#This Row],[Act]]*(EXP(MuCOLCAP+SigmaCOLCAP^2/2)-1)</f>
        <v>0</v>
      </c>
      <c r="J286" s="40">
        <f>TModelo[[#This Row],[Act]]*(EXP(MuTRM+SigmaTRM^2/2)-1)</f>
        <v>0</v>
      </c>
      <c r="K286" s="11">
        <f>TModelo[[#This Row],[Act]]*IF(Rebalanceo="Mensual",1,IF(Rebalanceo="Anual",IF(MOD(TModelo[[#This Row],[Period]]-1,12)=0,1,0),0))</f>
        <v>0</v>
      </c>
      <c r="L286" s="24">
        <f>TModelo[[#This Row],[Act]]*AporteMensual*IF(CrecimientoAporte="Con IPC",F285,1)</f>
        <v>0</v>
      </c>
      <c r="M286" s="24">
        <f>IF(TModelo[[#This Row],[Period]]=HorizonteMeses,TModelo[[#This Row],[TotalPreLiq]],0)</f>
        <v>0</v>
      </c>
      <c r="N286" s="24">
        <f>TModelo[[#This Row],[Inflow]]-TModelo[[#This Row],[Outflow]]</f>
        <v>0</v>
      </c>
      <c r="O286" s="24">
        <f t="shared" si="4"/>
        <v>0</v>
      </c>
      <c r="P286" s="24">
        <f>TModelo[[#This Row],[IntCDT]]+TModelo[[#This Row],[IntCOLCAP]]+TModelo[[#This Row],[IntUSD]]</f>
        <v>0</v>
      </c>
      <c r="Q286" s="24">
        <f>TModelo[[#This Row],[InitialBalance]]+TModelo[[#This Row],[Interest]]+TModelo[[#This Row],[Outflow]]-TModelo[[#This Row],[Inflow]]</f>
        <v>0</v>
      </c>
      <c r="R286" s="24">
        <f>TModelo[[#This Row],[Act]]*IF(TModelo[[#This Row],[Rebal]]=1,PesoCDT*(X285+Y285+Z285),X285)</f>
        <v>0</v>
      </c>
      <c r="S286" s="24">
        <f>TModelo[[#This Row],[Act]]*IF(TModelo[[#This Row],[Rebal]]=1,PesoCOLCAP*(X285+Y285+Z285),Y285)</f>
        <v>0</v>
      </c>
      <c r="T286" s="24">
        <f>TModelo[[#This Row],[Act]]*IF(TModelo[[#This Row],[Rebal]]=1,PesoUSD*(X285+Y285+Z285),Z285)</f>
        <v>0</v>
      </c>
      <c r="U286" s="24">
        <f>TModelo[[#This Row],[IniCDT]]*TModelo[[#This Row],[RetCDT]]</f>
        <v>0</v>
      </c>
      <c r="V286" s="24">
        <f>TModelo[[#This Row],[IniCOLCAP]]*TModelo[[#This Row],[RetCOLCAP]]</f>
        <v>0</v>
      </c>
      <c r="W286" s="24">
        <f>TModelo[[#This Row],[IniUSD]]*TModelo[[#This Row],[RetUSD]]</f>
        <v>0</v>
      </c>
      <c r="X286" s="24">
        <f>TModelo[[#This Row],[Act]]*(TModelo[[#This Row],[IniCDT]]+TModelo[[#This Row],[IntCDT]]+PesoCDT*TModelo[[#This Row],[Outflow]])</f>
        <v>0</v>
      </c>
      <c r="Y286" s="24">
        <f>TModelo[[#This Row],[Act]]*(TModelo[[#This Row],[IniCOLCAP]]+TModelo[[#This Row],[IntCOLCAP]]+PesoCOLCAP*TModelo[[#This Row],[Outflow]])</f>
        <v>0</v>
      </c>
      <c r="Z286" s="24">
        <f>TModelo[[#This Row],[Act]]*(TModelo[[#This Row],[IniUSD]]+TModelo[[#This Row],[IntUSD]]+PesoUSD*TModelo[[#This Row],[Outflow]])</f>
        <v>0</v>
      </c>
      <c r="AA286" s="24">
        <f>TModelo[[#This Row],[BalCDT]]+TModelo[[#This Row],[BalCOLCAP]]+TModelo[[#This Row],[BalUSD]]</f>
        <v>0</v>
      </c>
      <c r="AB286" s="24">
        <f>IF(TModelo[[#This Row],[CumInfl]]&gt;0,TModelo[[#This Row],[TotalPreLiq]]/TModelo[[#This Row],[CumInfl]],0)</f>
        <v>0</v>
      </c>
      <c r="AC286" s="41">
        <f>(1+PerRate)^(-TModelo[[#This Row],[Period]])</f>
        <v>0.13287953856901555</v>
      </c>
      <c r="AD286" s="42">
        <f>TModelo[[#This Row],[NetCF]]*TModelo[[#This Row],[fd]]</f>
        <v>0</v>
      </c>
    </row>
    <row r="287" spans="2:30" ht="16.95" customHeight="1">
      <c r="B287" s="11">
        <v>260</v>
      </c>
      <c r="C287" s="25">
        <f>EDATE(FechaInicio,TModelo[[#This Row],[Period]])</f>
        <v>54207</v>
      </c>
      <c r="D287" s="11">
        <f>IF(AND(TModelo[[#This Row],[Period]]&gt;=1,TModelo[[#This Row],[Period]]&lt;=HorizonteMeses),1,0)</f>
        <v>0</v>
      </c>
      <c r="E287" s="40">
        <f>TModelo[[#This Row],[Act]]*(INFb+(INFpi0-INFb)*(1-INFa)^TModelo[[#This Row],[Period]])</f>
        <v>0</v>
      </c>
      <c r="F287" s="28">
        <f>IF(TModelo[[#This Row],[Period]]&lt;=HorizonteMeses,F286*(1+TModelo[[#This Row],[InflMes]]),0)</f>
        <v>0</v>
      </c>
      <c r="G287" s="21">
        <f>TModelo[[#This Row],[Act]]*(CDTb+(CDTx0-CDTb)*(1-CDTa)^TModelo[[#This Row],[Period]]+CDTspread)</f>
        <v>0</v>
      </c>
      <c r="H287" s="40">
        <f>TModelo[[#This Row],[Act]]*((1+TModelo[[#This Row],[TasaCDT]])^(1/12)-1)*(1-Retencion)</f>
        <v>0</v>
      </c>
      <c r="I287" s="40">
        <f>TModelo[[#This Row],[Act]]*(EXP(MuCOLCAP+SigmaCOLCAP^2/2)-1)</f>
        <v>0</v>
      </c>
      <c r="J287" s="40">
        <f>TModelo[[#This Row],[Act]]*(EXP(MuTRM+SigmaTRM^2/2)-1)</f>
        <v>0</v>
      </c>
      <c r="K287" s="11">
        <f>TModelo[[#This Row],[Act]]*IF(Rebalanceo="Mensual",1,IF(Rebalanceo="Anual",IF(MOD(TModelo[[#This Row],[Period]]-1,12)=0,1,0),0))</f>
        <v>0</v>
      </c>
      <c r="L287" s="24">
        <f>TModelo[[#This Row],[Act]]*AporteMensual*IF(CrecimientoAporte="Con IPC",F286,1)</f>
        <v>0</v>
      </c>
      <c r="M287" s="24">
        <f>IF(TModelo[[#This Row],[Period]]=HorizonteMeses,TModelo[[#This Row],[TotalPreLiq]],0)</f>
        <v>0</v>
      </c>
      <c r="N287" s="24">
        <f>TModelo[[#This Row],[Inflow]]-TModelo[[#This Row],[Outflow]]</f>
        <v>0</v>
      </c>
      <c r="O287" s="24">
        <f t="shared" si="4"/>
        <v>0</v>
      </c>
      <c r="P287" s="24">
        <f>TModelo[[#This Row],[IntCDT]]+TModelo[[#This Row],[IntCOLCAP]]+TModelo[[#This Row],[IntUSD]]</f>
        <v>0</v>
      </c>
      <c r="Q287" s="24">
        <f>TModelo[[#This Row],[InitialBalance]]+TModelo[[#This Row],[Interest]]+TModelo[[#This Row],[Outflow]]-TModelo[[#This Row],[Inflow]]</f>
        <v>0</v>
      </c>
      <c r="R287" s="24">
        <f>TModelo[[#This Row],[Act]]*IF(TModelo[[#This Row],[Rebal]]=1,PesoCDT*(X286+Y286+Z286),X286)</f>
        <v>0</v>
      </c>
      <c r="S287" s="24">
        <f>TModelo[[#This Row],[Act]]*IF(TModelo[[#This Row],[Rebal]]=1,PesoCOLCAP*(X286+Y286+Z286),Y286)</f>
        <v>0</v>
      </c>
      <c r="T287" s="24">
        <f>TModelo[[#This Row],[Act]]*IF(TModelo[[#This Row],[Rebal]]=1,PesoUSD*(X286+Y286+Z286),Z286)</f>
        <v>0</v>
      </c>
      <c r="U287" s="24">
        <f>TModelo[[#This Row],[IniCDT]]*TModelo[[#This Row],[RetCDT]]</f>
        <v>0</v>
      </c>
      <c r="V287" s="24">
        <f>TModelo[[#This Row],[IniCOLCAP]]*TModelo[[#This Row],[RetCOLCAP]]</f>
        <v>0</v>
      </c>
      <c r="W287" s="24">
        <f>TModelo[[#This Row],[IniUSD]]*TModelo[[#This Row],[RetUSD]]</f>
        <v>0</v>
      </c>
      <c r="X287" s="24">
        <f>TModelo[[#This Row],[Act]]*(TModelo[[#This Row],[IniCDT]]+TModelo[[#This Row],[IntCDT]]+PesoCDT*TModelo[[#This Row],[Outflow]])</f>
        <v>0</v>
      </c>
      <c r="Y287" s="24">
        <f>TModelo[[#This Row],[Act]]*(TModelo[[#This Row],[IniCOLCAP]]+TModelo[[#This Row],[IntCOLCAP]]+PesoCOLCAP*TModelo[[#This Row],[Outflow]])</f>
        <v>0</v>
      </c>
      <c r="Z287" s="24">
        <f>TModelo[[#This Row],[Act]]*(TModelo[[#This Row],[IniUSD]]+TModelo[[#This Row],[IntUSD]]+PesoUSD*TModelo[[#This Row],[Outflow]])</f>
        <v>0</v>
      </c>
      <c r="AA287" s="24">
        <f>TModelo[[#This Row],[BalCDT]]+TModelo[[#This Row],[BalCOLCAP]]+TModelo[[#This Row],[BalUSD]]</f>
        <v>0</v>
      </c>
      <c r="AB287" s="24">
        <f>IF(TModelo[[#This Row],[CumInfl]]&gt;0,TModelo[[#This Row],[TotalPreLiq]]/TModelo[[#This Row],[CumInfl]],0)</f>
        <v>0</v>
      </c>
      <c r="AC287" s="41">
        <f>(1+PerRate)^(-TModelo[[#This Row],[Period]])</f>
        <v>0.13184807084172528</v>
      </c>
      <c r="AD287" s="42">
        <f>TModelo[[#This Row],[NetCF]]*TModelo[[#This Row],[fd]]</f>
        <v>0</v>
      </c>
    </row>
    <row r="288" spans="2:30" ht="16.95" customHeight="1">
      <c r="B288" s="11">
        <v>261</v>
      </c>
      <c r="C288" s="25">
        <f>EDATE(FechaInicio,TModelo[[#This Row],[Period]])</f>
        <v>54238</v>
      </c>
      <c r="D288" s="11">
        <f>IF(AND(TModelo[[#This Row],[Period]]&gt;=1,TModelo[[#This Row],[Period]]&lt;=HorizonteMeses),1,0)</f>
        <v>0</v>
      </c>
      <c r="E288" s="40">
        <f>TModelo[[#This Row],[Act]]*(INFb+(INFpi0-INFb)*(1-INFa)^TModelo[[#This Row],[Period]])</f>
        <v>0</v>
      </c>
      <c r="F288" s="28">
        <f>IF(TModelo[[#This Row],[Period]]&lt;=HorizonteMeses,F287*(1+TModelo[[#This Row],[InflMes]]),0)</f>
        <v>0</v>
      </c>
      <c r="G288" s="21">
        <f>TModelo[[#This Row],[Act]]*(CDTb+(CDTx0-CDTb)*(1-CDTa)^TModelo[[#This Row],[Period]]+CDTspread)</f>
        <v>0</v>
      </c>
      <c r="H288" s="40">
        <f>TModelo[[#This Row],[Act]]*((1+TModelo[[#This Row],[TasaCDT]])^(1/12)-1)*(1-Retencion)</f>
        <v>0</v>
      </c>
      <c r="I288" s="40">
        <f>TModelo[[#This Row],[Act]]*(EXP(MuCOLCAP+SigmaCOLCAP^2/2)-1)</f>
        <v>0</v>
      </c>
      <c r="J288" s="40">
        <f>TModelo[[#This Row],[Act]]*(EXP(MuTRM+SigmaTRM^2/2)-1)</f>
        <v>0</v>
      </c>
      <c r="K288" s="11">
        <f>TModelo[[#This Row],[Act]]*IF(Rebalanceo="Mensual",1,IF(Rebalanceo="Anual",IF(MOD(TModelo[[#This Row],[Period]]-1,12)=0,1,0),0))</f>
        <v>0</v>
      </c>
      <c r="L288" s="24">
        <f>TModelo[[#This Row],[Act]]*AporteMensual*IF(CrecimientoAporte="Con IPC",F287,1)</f>
        <v>0</v>
      </c>
      <c r="M288" s="24">
        <f>IF(TModelo[[#This Row],[Period]]=HorizonteMeses,TModelo[[#This Row],[TotalPreLiq]],0)</f>
        <v>0</v>
      </c>
      <c r="N288" s="24">
        <f>TModelo[[#This Row],[Inflow]]-TModelo[[#This Row],[Outflow]]</f>
        <v>0</v>
      </c>
      <c r="O288" s="24">
        <f t="shared" si="4"/>
        <v>0</v>
      </c>
      <c r="P288" s="24">
        <f>TModelo[[#This Row],[IntCDT]]+TModelo[[#This Row],[IntCOLCAP]]+TModelo[[#This Row],[IntUSD]]</f>
        <v>0</v>
      </c>
      <c r="Q288" s="24">
        <f>TModelo[[#This Row],[InitialBalance]]+TModelo[[#This Row],[Interest]]+TModelo[[#This Row],[Outflow]]-TModelo[[#This Row],[Inflow]]</f>
        <v>0</v>
      </c>
      <c r="R288" s="24">
        <f>TModelo[[#This Row],[Act]]*IF(TModelo[[#This Row],[Rebal]]=1,PesoCDT*(X287+Y287+Z287),X287)</f>
        <v>0</v>
      </c>
      <c r="S288" s="24">
        <f>TModelo[[#This Row],[Act]]*IF(TModelo[[#This Row],[Rebal]]=1,PesoCOLCAP*(X287+Y287+Z287),Y287)</f>
        <v>0</v>
      </c>
      <c r="T288" s="24">
        <f>TModelo[[#This Row],[Act]]*IF(TModelo[[#This Row],[Rebal]]=1,PesoUSD*(X287+Y287+Z287),Z287)</f>
        <v>0</v>
      </c>
      <c r="U288" s="24">
        <f>TModelo[[#This Row],[IniCDT]]*TModelo[[#This Row],[RetCDT]]</f>
        <v>0</v>
      </c>
      <c r="V288" s="24">
        <f>TModelo[[#This Row],[IniCOLCAP]]*TModelo[[#This Row],[RetCOLCAP]]</f>
        <v>0</v>
      </c>
      <c r="W288" s="24">
        <f>TModelo[[#This Row],[IniUSD]]*TModelo[[#This Row],[RetUSD]]</f>
        <v>0</v>
      </c>
      <c r="X288" s="24">
        <f>TModelo[[#This Row],[Act]]*(TModelo[[#This Row],[IniCDT]]+TModelo[[#This Row],[IntCDT]]+PesoCDT*TModelo[[#This Row],[Outflow]])</f>
        <v>0</v>
      </c>
      <c r="Y288" s="24">
        <f>TModelo[[#This Row],[Act]]*(TModelo[[#This Row],[IniCOLCAP]]+TModelo[[#This Row],[IntCOLCAP]]+PesoCOLCAP*TModelo[[#This Row],[Outflow]])</f>
        <v>0</v>
      </c>
      <c r="Z288" s="24">
        <f>TModelo[[#This Row],[Act]]*(TModelo[[#This Row],[IniUSD]]+TModelo[[#This Row],[IntUSD]]+PesoUSD*TModelo[[#This Row],[Outflow]])</f>
        <v>0</v>
      </c>
      <c r="AA288" s="24">
        <f>TModelo[[#This Row],[BalCDT]]+TModelo[[#This Row],[BalCOLCAP]]+TModelo[[#This Row],[BalUSD]]</f>
        <v>0</v>
      </c>
      <c r="AB288" s="24">
        <f>IF(TModelo[[#This Row],[CumInfl]]&gt;0,TModelo[[#This Row],[TotalPreLiq]]/TModelo[[#This Row],[CumInfl]],0)</f>
        <v>0</v>
      </c>
      <c r="AC288" s="41">
        <f>(1+PerRate)^(-TModelo[[#This Row],[Period]])</f>
        <v>0.13082460980744359</v>
      </c>
      <c r="AD288" s="42">
        <f>TModelo[[#This Row],[NetCF]]*TModelo[[#This Row],[fd]]</f>
        <v>0</v>
      </c>
    </row>
    <row r="289" spans="2:30" ht="16.95" customHeight="1">
      <c r="B289" s="11">
        <v>262</v>
      </c>
      <c r="C289" s="25">
        <f>EDATE(FechaInicio,TModelo[[#This Row],[Period]])</f>
        <v>54268</v>
      </c>
      <c r="D289" s="11">
        <f>IF(AND(TModelo[[#This Row],[Period]]&gt;=1,TModelo[[#This Row],[Period]]&lt;=HorizonteMeses),1,0)</f>
        <v>0</v>
      </c>
      <c r="E289" s="40">
        <f>TModelo[[#This Row],[Act]]*(INFb+(INFpi0-INFb)*(1-INFa)^TModelo[[#This Row],[Period]])</f>
        <v>0</v>
      </c>
      <c r="F289" s="28">
        <f>IF(TModelo[[#This Row],[Period]]&lt;=HorizonteMeses,F288*(1+TModelo[[#This Row],[InflMes]]),0)</f>
        <v>0</v>
      </c>
      <c r="G289" s="21">
        <f>TModelo[[#This Row],[Act]]*(CDTb+(CDTx0-CDTb)*(1-CDTa)^TModelo[[#This Row],[Period]]+CDTspread)</f>
        <v>0</v>
      </c>
      <c r="H289" s="40">
        <f>TModelo[[#This Row],[Act]]*((1+TModelo[[#This Row],[TasaCDT]])^(1/12)-1)*(1-Retencion)</f>
        <v>0</v>
      </c>
      <c r="I289" s="40">
        <f>TModelo[[#This Row],[Act]]*(EXP(MuCOLCAP+SigmaCOLCAP^2/2)-1)</f>
        <v>0</v>
      </c>
      <c r="J289" s="40">
        <f>TModelo[[#This Row],[Act]]*(EXP(MuTRM+SigmaTRM^2/2)-1)</f>
        <v>0</v>
      </c>
      <c r="K289" s="11">
        <f>TModelo[[#This Row],[Act]]*IF(Rebalanceo="Mensual",1,IF(Rebalanceo="Anual",IF(MOD(TModelo[[#This Row],[Period]]-1,12)=0,1,0),0))</f>
        <v>0</v>
      </c>
      <c r="L289" s="24">
        <f>TModelo[[#This Row],[Act]]*AporteMensual*IF(CrecimientoAporte="Con IPC",F288,1)</f>
        <v>0</v>
      </c>
      <c r="M289" s="24">
        <f>IF(TModelo[[#This Row],[Period]]=HorizonteMeses,TModelo[[#This Row],[TotalPreLiq]],0)</f>
        <v>0</v>
      </c>
      <c r="N289" s="24">
        <f>TModelo[[#This Row],[Inflow]]-TModelo[[#This Row],[Outflow]]</f>
        <v>0</v>
      </c>
      <c r="O289" s="24">
        <f t="shared" si="4"/>
        <v>0</v>
      </c>
      <c r="P289" s="24">
        <f>TModelo[[#This Row],[IntCDT]]+TModelo[[#This Row],[IntCOLCAP]]+TModelo[[#This Row],[IntUSD]]</f>
        <v>0</v>
      </c>
      <c r="Q289" s="24">
        <f>TModelo[[#This Row],[InitialBalance]]+TModelo[[#This Row],[Interest]]+TModelo[[#This Row],[Outflow]]-TModelo[[#This Row],[Inflow]]</f>
        <v>0</v>
      </c>
      <c r="R289" s="24">
        <f>TModelo[[#This Row],[Act]]*IF(TModelo[[#This Row],[Rebal]]=1,PesoCDT*(X288+Y288+Z288),X288)</f>
        <v>0</v>
      </c>
      <c r="S289" s="24">
        <f>TModelo[[#This Row],[Act]]*IF(TModelo[[#This Row],[Rebal]]=1,PesoCOLCAP*(X288+Y288+Z288),Y288)</f>
        <v>0</v>
      </c>
      <c r="T289" s="24">
        <f>TModelo[[#This Row],[Act]]*IF(TModelo[[#This Row],[Rebal]]=1,PesoUSD*(X288+Y288+Z288),Z288)</f>
        <v>0</v>
      </c>
      <c r="U289" s="24">
        <f>TModelo[[#This Row],[IniCDT]]*TModelo[[#This Row],[RetCDT]]</f>
        <v>0</v>
      </c>
      <c r="V289" s="24">
        <f>TModelo[[#This Row],[IniCOLCAP]]*TModelo[[#This Row],[RetCOLCAP]]</f>
        <v>0</v>
      </c>
      <c r="W289" s="24">
        <f>TModelo[[#This Row],[IniUSD]]*TModelo[[#This Row],[RetUSD]]</f>
        <v>0</v>
      </c>
      <c r="X289" s="24">
        <f>TModelo[[#This Row],[Act]]*(TModelo[[#This Row],[IniCDT]]+TModelo[[#This Row],[IntCDT]]+PesoCDT*TModelo[[#This Row],[Outflow]])</f>
        <v>0</v>
      </c>
      <c r="Y289" s="24">
        <f>TModelo[[#This Row],[Act]]*(TModelo[[#This Row],[IniCOLCAP]]+TModelo[[#This Row],[IntCOLCAP]]+PesoCOLCAP*TModelo[[#This Row],[Outflow]])</f>
        <v>0</v>
      </c>
      <c r="Z289" s="24">
        <f>TModelo[[#This Row],[Act]]*(TModelo[[#This Row],[IniUSD]]+TModelo[[#This Row],[IntUSD]]+PesoUSD*TModelo[[#This Row],[Outflow]])</f>
        <v>0</v>
      </c>
      <c r="AA289" s="24">
        <f>TModelo[[#This Row],[BalCDT]]+TModelo[[#This Row],[BalCOLCAP]]+TModelo[[#This Row],[BalUSD]]</f>
        <v>0</v>
      </c>
      <c r="AB289" s="24">
        <f>IF(TModelo[[#This Row],[CumInfl]]&gt;0,TModelo[[#This Row],[TotalPreLiq]]/TModelo[[#This Row],[CumInfl]],0)</f>
        <v>0</v>
      </c>
      <c r="AC289" s="41">
        <f>(1+PerRate)^(-TModelo[[#This Row],[Period]])</f>
        <v>0.12980909331479989</v>
      </c>
      <c r="AD289" s="42">
        <f>TModelo[[#This Row],[NetCF]]*TModelo[[#This Row],[fd]]</f>
        <v>0</v>
      </c>
    </row>
    <row r="290" spans="2:30" ht="16.95" customHeight="1">
      <c r="B290" s="11">
        <v>263</v>
      </c>
      <c r="C290" s="25">
        <f>EDATE(FechaInicio,TModelo[[#This Row],[Period]])</f>
        <v>54299</v>
      </c>
      <c r="D290" s="11">
        <f>IF(AND(TModelo[[#This Row],[Period]]&gt;=1,TModelo[[#This Row],[Period]]&lt;=HorizonteMeses),1,0)</f>
        <v>0</v>
      </c>
      <c r="E290" s="40">
        <f>TModelo[[#This Row],[Act]]*(INFb+(INFpi0-INFb)*(1-INFa)^TModelo[[#This Row],[Period]])</f>
        <v>0</v>
      </c>
      <c r="F290" s="28">
        <f>IF(TModelo[[#This Row],[Period]]&lt;=HorizonteMeses,F289*(1+TModelo[[#This Row],[InflMes]]),0)</f>
        <v>0</v>
      </c>
      <c r="G290" s="21">
        <f>TModelo[[#This Row],[Act]]*(CDTb+(CDTx0-CDTb)*(1-CDTa)^TModelo[[#This Row],[Period]]+CDTspread)</f>
        <v>0</v>
      </c>
      <c r="H290" s="40">
        <f>TModelo[[#This Row],[Act]]*((1+TModelo[[#This Row],[TasaCDT]])^(1/12)-1)*(1-Retencion)</f>
        <v>0</v>
      </c>
      <c r="I290" s="40">
        <f>TModelo[[#This Row],[Act]]*(EXP(MuCOLCAP+SigmaCOLCAP^2/2)-1)</f>
        <v>0</v>
      </c>
      <c r="J290" s="40">
        <f>TModelo[[#This Row],[Act]]*(EXP(MuTRM+SigmaTRM^2/2)-1)</f>
        <v>0</v>
      </c>
      <c r="K290" s="11">
        <f>TModelo[[#This Row],[Act]]*IF(Rebalanceo="Mensual",1,IF(Rebalanceo="Anual",IF(MOD(TModelo[[#This Row],[Period]]-1,12)=0,1,0),0))</f>
        <v>0</v>
      </c>
      <c r="L290" s="24">
        <f>TModelo[[#This Row],[Act]]*AporteMensual*IF(CrecimientoAporte="Con IPC",F289,1)</f>
        <v>0</v>
      </c>
      <c r="M290" s="24">
        <f>IF(TModelo[[#This Row],[Period]]=HorizonteMeses,TModelo[[#This Row],[TotalPreLiq]],0)</f>
        <v>0</v>
      </c>
      <c r="N290" s="24">
        <f>TModelo[[#This Row],[Inflow]]-TModelo[[#This Row],[Outflow]]</f>
        <v>0</v>
      </c>
      <c r="O290" s="24">
        <f t="shared" si="4"/>
        <v>0</v>
      </c>
      <c r="P290" s="24">
        <f>TModelo[[#This Row],[IntCDT]]+TModelo[[#This Row],[IntCOLCAP]]+TModelo[[#This Row],[IntUSD]]</f>
        <v>0</v>
      </c>
      <c r="Q290" s="24">
        <f>TModelo[[#This Row],[InitialBalance]]+TModelo[[#This Row],[Interest]]+TModelo[[#This Row],[Outflow]]-TModelo[[#This Row],[Inflow]]</f>
        <v>0</v>
      </c>
      <c r="R290" s="24">
        <f>TModelo[[#This Row],[Act]]*IF(TModelo[[#This Row],[Rebal]]=1,PesoCDT*(X289+Y289+Z289),X289)</f>
        <v>0</v>
      </c>
      <c r="S290" s="24">
        <f>TModelo[[#This Row],[Act]]*IF(TModelo[[#This Row],[Rebal]]=1,PesoCOLCAP*(X289+Y289+Z289),Y289)</f>
        <v>0</v>
      </c>
      <c r="T290" s="24">
        <f>TModelo[[#This Row],[Act]]*IF(TModelo[[#This Row],[Rebal]]=1,PesoUSD*(X289+Y289+Z289),Z289)</f>
        <v>0</v>
      </c>
      <c r="U290" s="24">
        <f>TModelo[[#This Row],[IniCDT]]*TModelo[[#This Row],[RetCDT]]</f>
        <v>0</v>
      </c>
      <c r="V290" s="24">
        <f>TModelo[[#This Row],[IniCOLCAP]]*TModelo[[#This Row],[RetCOLCAP]]</f>
        <v>0</v>
      </c>
      <c r="W290" s="24">
        <f>TModelo[[#This Row],[IniUSD]]*TModelo[[#This Row],[RetUSD]]</f>
        <v>0</v>
      </c>
      <c r="X290" s="24">
        <f>TModelo[[#This Row],[Act]]*(TModelo[[#This Row],[IniCDT]]+TModelo[[#This Row],[IntCDT]]+PesoCDT*TModelo[[#This Row],[Outflow]])</f>
        <v>0</v>
      </c>
      <c r="Y290" s="24">
        <f>TModelo[[#This Row],[Act]]*(TModelo[[#This Row],[IniCOLCAP]]+TModelo[[#This Row],[IntCOLCAP]]+PesoCOLCAP*TModelo[[#This Row],[Outflow]])</f>
        <v>0</v>
      </c>
      <c r="Z290" s="24">
        <f>TModelo[[#This Row],[Act]]*(TModelo[[#This Row],[IniUSD]]+TModelo[[#This Row],[IntUSD]]+PesoUSD*TModelo[[#This Row],[Outflow]])</f>
        <v>0</v>
      </c>
      <c r="AA290" s="24">
        <f>TModelo[[#This Row],[BalCDT]]+TModelo[[#This Row],[BalCOLCAP]]+TModelo[[#This Row],[BalUSD]]</f>
        <v>0</v>
      </c>
      <c r="AB290" s="24">
        <f>IF(TModelo[[#This Row],[CumInfl]]&gt;0,TModelo[[#This Row],[TotalPreLiq]]/TModelo[[#This Row],[CumInfl]],0)</f>
        <v>0</v>
      </c>
      <c r="AC290" s="41">
        <f>(1+PerRate)^(-TModelo[[#This Row],[Period]])</f>
        <v>0.12880145969486914</v>
      </c>
      <c r="AD290" s="42">
        <f>TModelo[[#This Row],[NetCF]]*TModelo[[#This Row],[fd]]</f>
        <v>0</v>
      </c>
    </row>
    <row r="291" spans="2:30" ht="16.95" customHeight="1">
      <c r="B291" s="11">
        <v>264</v>
      </c>
      <c r="C291" s="25">
        <f>EDATE(FechaInicio,TModelo[[#This Row],[Period]])</f>
        <v>54330</v>
      </c>
      <c r="D291" s="11">
        <f>IF(AND(TModelo[[#This Row],[Period]]&gt;=1,TModelo[[#This Row],[Period]]&lt;=HorizonteMeses),1,0)</f>
        <v>0</v>
      </c>
      <c r="E291" s="40">
        <f>TModelo[[#This Row],[Act]]*(INFb+(INFpi0-INFb)*(1-INFa)^TModelo[[#This Row],[Period]])</f>
        <v>0</v>
      </c>
      <c r="F291" s="28">
        <f>IF(TModelo[[#This Row],[Period]]&lt;=HorizonteMeses,F290*(1+TModelo[[#This Row],[InflMes]]),0)</f>
        <v>0</v>
      </c>
      <c r="G291" s="21">
        <f>TModelo[[#This Row],[Act]]*(CDTb+(CDTx0-CDTb)*(1-CDTa)^TModelo[[#This Row],[Period]]+CDTspread)</f>
        <v>0</v>
      </c>
      <c r="H291" s="40">
        <f>TModelo[[#This Row],[Act]]*((1+TModelo[[#This Row],[TasaCDT]])^(1/12)-1)*(1-Retencion)</f>
        <v>0</v>
      </c>
      <c r="I291" s="40">
        <f>TModelo[[#This Row],[Act]]*(EXP(MuCOLCAP+SigmaCOLCAP^2/2)-1)</f>
        <v>0</v>
      </c>
      <c r="J291" s="40">
        <f>TModelo[[#This Row],[Act]]*(EXP(MuTRM+SigmaTRM^2/2)-1)</f>
        <v>0</v>
      </c>
      <c r="K291" s="11">
        <f>TModelo[[#This Row],[Act]]*IF(Rebalanceo="Mensual",1,IF(Rebalanceo="Anual",IF(MOD(TModelo[[#This Row],[Period]]-1,12)=0,1,0),0))</f>
        <v>0</v>
      </c>
      <c r="L291" s="24">
        <f>TModelo[[#This Row],[Act]]*AporteMensual*IF(CrecimientoAporte="Con IPC",F290,1)</f>
        <v>0</v>
      </c>
      <c r="M291" s="24">
        <f>IF(TModelo[[#This Row],[Period]]=HorizonteMeses,TModelo[[#This Row],[TotalPreLiq]],0)</f>
        <v>0</v>
      </c>
      <c r="N291" s="24">
        <f>TModelo[[#This Row],[Inflow]]-TModelo[[#This Row],[Outflow]]</f>
        <v>0</v>
      </c>
      <c r="O291" s="24">
        <f t="shared" si="4"/>
        <v>0</v>
      </c>
      <c r="P291" s="24">
        <f>TModelo[[#This Row],[IntCDT]]+TModelo[[#This Row],[IntCOLCAP]]+TModelo[[#This Row],[IntUSD]]</f>
        <v>0</v>
      </c>
      <c r="Q291" s="24">
        <f>TModelo[[#This Row],[InitialBalance]]+TModelo[[#This Row],[Interest]]+TModelo[[#This Row],[Outflow]]-TModelo[[#This Row],[Inflow]]</f>
        <v>0</v>
      </c>
      <c r="R291" s="24">
        <f>TModelo[[#This Row],[Act]]*IF(TModelo[[#This Row],[Rebal]]=1,PesoCDT*(X290+Y290+Z290),X290)</f>
        <v>0</v>
      </c>
      <c r="S291" s="24">
        <f>TModelo[[#This Row],[Act]]*IF(TModelo[[#This Row],[Rebal]]=1,PesoCOLCAP*(X290+Y290+Z290),Y290)</f>
        <v>0</v>
      </c>
      <c r="T291" s="24">
        <f>TModelo[[#This Row],[Act]]*IF(TModelo[[#This Row],[Rebal]]=1,PesoUSD*(X290+Y290+Z290),Z290)</f>
        <v>0</v>
      </c>
      <c r="U291" s="24">
        <f>TModelo[[#This Row],[IniCDT]]*TModelo[[#This Row],[RetCDT]]</f>
        <v>0</v>
      </c>
      <c r="V291" s="24">
        <f>TModelo[[#This Row],[IniCOLCAP]]*TModelo[[#This Row],[RetCOLCAP]]</f>
        <v>0</v>
      </c>
      <c r="W291" s="24">
        <f>TModelo[[#This Row],[IniUSD]]*TModelo[[#This Row],[RetUSD]]</f>
        <v>0</v>
      </c>
      <c r="X291" s="24">
        <f>TModelo[[#This Row],[Act]]*(TModelo[[#This Row],[IniCDT]]+TModelo[[#This Row],[IntCDT]]+PesoCDT*TModelo[[#This Row],[Outflow]])</f>
        <v>0</v>
      </c>
      <c r="Y291" s="24">
        <f>TModelo[[#This Row],[Act]]*(TModelo[[#This Row],[IniCOLCAP]]+TModelo[[#This Row],[IntCOLCAP]]+PesoCOLCAP*TModelo[[#This Row],[Outflow]])</f>
        <v>0</v>
      </c>
      <c r="Z291" s="24">
        <f>TModelo[[#This Row],[Act]]*(TModelo[[#This Row],[IniUSD]]+TModelo[[#This Row],[IntUSD]]+PesoUSD*TModelo[[#This Row],[Outflow]])</f>
        <v>0</v>
      </c>
      <c r="AA291" s="24">
        <f>TModelo[[#This Row],[BalCDT]]+TModelo[[#This Row],[BalCOLCAP]]+TModelo[[#This Row],[BalUSD]]</f>
        <v>0</v>
      </c>
      <c r="AB291" s="24">
        <f>IF(TModelo[[#This Row],[CumInfl]]&gt;0,TModelo[[#This Row],[TotalPreLiq]]/TModelo[[#This Row],[CumInfl]],0)</f>
        <v>0</v>
      </c>
      <c r="AC291" s="41">
        <f>(1+PerRate)^(-TModelo[[#This Row],[Period]])</f>
        <v>0.12780164775742678</v>
      </c>
      <c r="AD291" s="42">
        <f>TModelo[[#This Row],[NetCF]]*TModelo[[#This Row],[fd]]</f>
        <v>0</v>
      </c>
    </row>
    <row r="292" spans="2:30" ht="16.95" customHeight="1">
      <c r="B292" s="11">
        <v>265</v>
      </c>
      <c r="C292" s="25">
        <f>EDATE(FechaInicio,TModelo[[#This Row],[Period]])</f>
        <v>54360</v>
      </c>
      <c r="D292" s="11">
        <f>IF(AND(TModelo[[#This Row],[Period]]&gt;=1,TModelo[[#This Row],[Period]]&lt;=HorizonteMeses),1,0)</f>
        <v>0</v>
      </c>
      <c r="E292" s="40">
        <f>TModelo[[#This Row],[Act]]*(INFb+(INFpi0-INFb)*(1-INFa)^TModelo[[#This Row],[Period]])</f>
        <v>0</v>
      </c>
      <c r="F292" s="28">
        <f>IF(TModelo[[#This Row],[Period]]&lt;=HorizonteMeses,F291*(1+TModelo[[#This Row],[InflMes]]),0)</f>
        <v>0</v>
      </c>
      <c r="G292" s="21">
        <f>TModelo[[#This Row],[Act]]*(CDTb+(CDTx0-CDTb)*(1-CDTa)^TModelo[[#This Row],[Period]]+CDTspread)</f>
        <v>0</v>
      </c>
      <c r="H292" s="40">
        <f>TModelo[[#This Row],[Act]]*((1+TModelo[[#This Row],[TasaCDT]])^(1/12)-1)*(1-Retencion)</f>
        <v>0</v>
      </c>
      <c r="I292" s="40">
        <f>TModelo[[#This Row],[Act]]*(EXP(MuCOLCAP+SigmaCOLCAP^2/2)-1)</f>
        <v>0</v>
      </c>
      <c r="J292" s="40">
        <f>TModelo[[#This Row],[Act]]*(EXP(MuTRM+SigmaTRM^2/2)-1)</f>
        <v>0</v>
      </c>
      <c r="K292" s="11">
        <f>TModelo[[#This Row],[Act]]*IF(Rebalanceo="Mensual",1,IF(Rebalanceo="Anual",IF(MOD(TModelo[[#This Row],[Period]]-1,12)=0,1,0),0))</f>
        <v>0</v>
      </c>
      <c r="L292" s="24">
        <f>TModelo[[#This Row],[Act]]*AporteMensual*IF(CrecimientoAporte="Con IPC",F291,1)</f>
        <v>0</v>
      </c>
      <c r="M292" s="24">
        <f>IF(TModelo[[#This Row],[Period]]=HorizonteMeses,TModelo[[#This Row],[TotalPreLiq]],0)</f>
        <v>0</v>
      </c>
      <c r="N292" s="24">
        <f>TModelo[[#This Row],[Inflow]]-TModelo[[#This Row],[Outflow]]</f>
        <v>0</v>
      </c>
      <c r="O292" s="24">
        <f t="shared" si="4"/>
        <v>0</v>
      </c>
      <c r="P292" s="24">
        <f>TModelo[[#This Row],[IntCDT]]+TModelo[[#This Row],[IntCOLCAP]]+TModelo[[#This Row],[IntUSD]]</f>
        <v>0</v>
      </c>
      <c r="Q292" s="24">
        <f>TModelo[[#This Row],[InitialBalance]]+TModelo[[#This Row],[Interest]]+TModelo[[#This Row],[Outflow]]-TModelo[[#This Row],[Inflow]]</f>
        <v>0</v>
      </c>
      <c r="R292" s="24">
        <f>TModelo[[#This Row],[Act]]*IF(TModelo[[#This Row],[Rebal]]=1,PesoCDT*(X291+Y291+Z291),X291)</f>
        <v>0</v>
      </c>
      <c r="S292" s="24">
        <f>TModelo[[#This Row],[Act]]*IF(TModelo[[#This Row],[Rebal]]=1,PesoCOLCAP*(X291+Y291+Z291),Y291)</f>
        <v>0</v>
      </c>
      <c r="T292" s="24">
        <f>TModelo[[#This Row],[Act]]*IF(TModelo[[#This Row],[Rebal]]=1,PesoUSD*(X291+Y291+Z291),Z291)</f>
        <v>0</v>
      </c>
      <c r="U292" s="24">
        <f>TModelo[[#This Row],[IniCDT]]*TModelo[[#This Row],[RetCDT]]</f>
        <v>0</v>
      </c>
      <c r="V292" s="24">
        <f>TModelo[[#This Row],[IniCOLCAP]]*TModelo[[#This Row],[RetCOLCAP]]</f>
        <v>0</v>
      </c>
      <c r="W292" s="24">
        <f>TModelo[[#This Row],[IniUSD]]*TModelo[[#This Row],[RetUSD]]</f>
        <v>0</v>
      </c>
      <c r="X292" s="24">
        <f>TModelo[[#This Row],[Act]]*(TModelo[[#This Row],[IniCDT]]+TModelo[[#This Row],[IntCDT]]+PesoCDT*TModelo[[#This Row],[Outflow]])</f>
        <v>0</v>
      </c>
      <c r="Y292" s="24">
        <f>TModelo[[#This Row],[Act]]*(TModelo[[#This Row],[IniCOLCAP]]+TModelo[[#This Row],[IntCOLCAP]]+PesoCOLCAP*TModelo[[#This Row],[Outflow]])</f>
        <v>0</v>
      </c>
      <c r="Z292" s="24">
        <f>TModelo[[#This Row],[Act]]*(TModelo[[#This Row],[IniUSD]]+TModelo[[#This Row],[IntUSD]]+PesoUSD*TModelo[[#This Row],[Outflow]])</f>
        <v>0</v>
      </c>
      <c r="AA292" s="24">
        <f>TModelo[[#This Row],[BalCDT]]+TModelo[[#This Row],[BalCOLCAP]]+TModelo[[#This Row],[BalUSD]]</f>
        <v>0</v>
      </c>
      <c r="AB292" s="24">
        <f>IF(TModelo[[#This Row],[CumInfl]]&gt;0,TModelo[[#This Row],[TotalPreLiq]]/TModelo[[#This Row],[CumInfl]],0)</f>
        <v>0</v>
      </c>
      <c r="AC292" s="41">
        <f>(1+PerRate)^(-TModelo[[#This Row],[Period]])</f>
        <v>0.12680959678723294</v>
      </c>
      <c r="AD292" s="42">
        <f>TModelo[[#This Row],[NetCF]]*TModelo[[#This Row],[fd]]</f>
        <v>0</v>
      </c>
    </row>
    <row r="293" spans="2:30" ht="16.95" customHeight="1">
      <c r="B293" s="11">
        <v>266</v>
      </c>
      <c r="C293" s="25">
        <f>EDATE(FechaInicio,TModelo[[#This Row],[Period]])</f>
        <v>54391</v>
      </c>
      <c r="D293" s="11">
        <f>IF(AND(TModelo[[#This Row],[Period]]&gt;=1,TModelo[[#This Row],[Period]]&lt;=HorizonteMeses),1,0)</f>
        <v>0</v>
      </c>
      <c r="E293" s="40">
        <f>TModelo[[#This Row],[Act]]*(INFb+(INFpi0-INFb)*(1-INFa)^TModelo[[#This Row],[Period]])</f>
        <v>0</v>
      </c>
      <c r="F293" s="28">
        <f>IF(TModelo[[#This Row],[Period]]&lt;=HorizonteMeses,F292*(1+TModelo[[#This Row],[InflMes]]),0)</f>
        <v>0</v>
      </c>
      <c r="G293" s="21">
        <f>TModelo[[#This Row],[Act]]*(CDTb+(CDTx0-CDTb)*(1-CDTa)^TModelo[[#This Row],[Period]]+CDTspread)</f>
        <v>0</v>
      </c>
      <c r="H293" s="40">
        <f>TModelo[[#This Row],[Act]]*((1+TModelo[[#This Row],[TasaCDT]])^(1/12)-1)*(1-Retencion)</f>
        <v>0</v>
      </c>
      <c r="I293" s="40">
        <f>TModelo[[#This Row],[Act]]*(EXP(MuCOLCAP+SigmaCOLCAP^2/2)-1)</f>
        <v>0</v>
      </c>
      <c r="J293" s="40">
        <f>TModelo[[#This Row],[Act]]*(EXP(MuTRM+SigmaTRM^2/2)-1)</f>
        <v>0</v>
      </c>
      <c r="K293" s="11">
        <f>TModelo[[#This Row],[Act]]*IF(Rebalanceo="Mensual",1,IF(Rebalanceo="Anual",IF(MOD(TModelo[[#This Row],[Period]]-1,12)=0,1,0),0))</f>
        <v>0</v>
      </c>
      <c r="L293" s="24">
        <f>TModelo[[#This Row],[Act]]*AporteMensual*IF(CrecimientoAporte="Con IPC",F292,1)</f>
        <v>0</v>
      </c>
      <c r="M293" s="24">
        <f>IF(TModelo[[#This Row],[Period]]=HorizonteMeses,TModelo[[#This Row],[TotalPreLiq]],0)</f>
        <v>0</v>
      </c>
      <c r="N293" s="24">
        <f>TModelo[[#This Row],[Inflow]]-TModelo[[#This Row],[Outflow]]</f>
        <v>0</v>
      </c>
      <c r="O293" s="24">
        <f t="shared" si="4"/>
        <v>0</v>
      </c>
      <c r="P293" s="24">
        <f>TModelo[[#This Row],[IntCDT]]+TModelo[[#This Row],[IntCOLCAP]]+TModelo[[#This Row],[IntUSD]]</f>
        <v>0</v>
      </c>
      <c r="Q293" s="24">
        <f>TModelo[[#This Row],[InitialBalance]]+TModelo[[#This Row],[Interest]]+TModelo[[#This Row],[Outflow]]-TModelo[[#This Row],[Inflow]]</f>
        <v>0</v>
      </c>
      <c r="R293" s="24">
        <f>TModelo[[#This Row],[Act]]*IF(TModelo[[#This Row],[Rebal]]=1,PesoCDT*(X292+Y292+Z292),X292)</f>
        <v>0</v>
      </c>
      <c r="S293" s="24">
        <f>TModelo[[#This Row],[Act]]*IF(TModelo[[#This Row],[Rebal]]=1,PesoCOLCAP*(X292+Y292+Z292),Y292)</f>
        <v>0</v>
      </c>
      <c r="T293" s="24">
        <f>TModelo[[#This Row],[Act]]*IF(TModelo[[#This Row],[Rebal]]=1,PesoUSD*(X292+Y292+Z292),Z292)</f>
        <v>0</v>
      </c>
      <c r="U293" s="24">
        <f>TModelo[[#This Row],[IniCDT]]*TModelo[[#This Row],[RetCDT]]</f>
        <v>0</v>
      </c>
      <c r="V293" s="24">
        <f>TModelo[[#This Row],[IniCOLCAP]]*TModelo[[#This Row],[RetCOLCAP]]</f>
        <v>0</v>
      </c>
      <c r="W293" s="24">
        <f>TModelo[[#This Row],[IniUSD]]*TModelo[[#This Row],[RetUSD]]</f>
        <v>0</v>
      </c>
      <c r="X293" s="24">
        <f>TModelo[[#This Row],[Act]]*(TModelo[[#This Row],[IniCDT]]+TModelo[[#This Row],[IntCDT]]+PesoCDT*TModelo[[#This Row],[Outflow]])</f>
        <v>0</v>
      </c>
      <c r="Y293" s="24">
        <f>TModelo[[#This Row],[Act]]*(TModelo[[#This Row],[IniCOLCAP]]+TModelo[[#This Row],[IntCOLCAP]]+PesoCOLCAP*TModelo[[#This Row],[Outflow]])</f>
        <v>0</v>
      </c>
      <c r="Z293" s="24">
        <f>TModelo[[#This Row],[Act]]*(TModelo[[#This Row],[IniUSD]]+TModelo[[#This Row],[IntUSD]]+PesoUSD*TModelo[[#This Row],[Outflow]])</f>
        <v>0</v>
      </c>
      <c r="AA293" s="24">
        <f>TModelo[[#This Row],[BalCDT]]+TModelo[[#This Row],[BalCOLCAP]]+TModelo[[#This Row],[BalUSD]]</f>
        <v>0</v>
      </c>
      <c r="AB293" s="24">
        <f>IF(TModelo[[#This Row],[CumInfl]]&gt;0,TModelo[[#This Row],[TotalPreLiq]]/TModelo[[#This Row],[CumInfl]],0)</f>
        <v>0</v>
      </c>
      <c r="AC293" s="41">
        <f>(1+PerRate)^(-TModelo[[#This Row],[Period]])</f>
        <v>0.12582524654034533</v>
      </c>
      <c r="AD293" s="42">
        <f>TModelo[[#This Row],[NetCF]]*TModelo[[#This Row],[fd]]</f>
        <v>0</v>
      </c>
    </row>
    <row r="294" spans="2:30" ht="16.95" customHeight="1">
      <c r="B294" s="11">
        <v>267</v>
      </c>
      <c r="C294" s="25">
        <f>EDATE(FechaInicio,TModelo[[#This Row],[Period]])</f>
        <v>54421</v>
      </c>
      <c r="D294" s="11">
        <f>IF(AND(TModelo[[#This Row],[Period]]&gt;=1,TModelo[[#This Row],[Period]]&lt;=HorizonteMeses),1,0)</f>
        <v>0</v>
      </c>
      <c r="E294" s="40">
        <f>TModelo[[#This Row],[Act]]*(INFb+(INFpi0-INFb)*(1-INFa)^TModelo[[#This Row],[Period]])</f>
        <v>0</v>
      </c>
      <c r="F294" s="28">
        <f>IF(TModelo[[#This Row],[Period]]&lt;=HorizonteMeses,F293*(1+TModelo[[#This Row],[InflMes]]),0)</f>
        <v>0</v>
      </c>
      <c r="G294" s="21">
        <f>TModelo[[#This Row],[Act]]*(CDTb+(CDTx0-CDTb)*(1-CDTa)^TModelo[[#This Row],[Period]]+CDTspread)</f>
        <v>0</v>
      </c>
      <c r="H294" s="40">
        <f>TModelo[[#This Row],[Act]]*((1+TModelo[[#This Row],[TasaCDT]])^(1/12)-1)*(1-Retencion)</f>
        <v>0</v>
      </c>
      <c r="I294" s="40">
        <f>TModelo[[#This Row],[Act]]*(EXP(MuCOLCAP+SigmaCOLCAP^2/2)-1)</f>
        <v>0</v>
      </c>
      <c r="J294" s="40">
        <f>TModelo[[#This Row],[Act]]*(EXP(MuTRM+SigmaTRM^2/2)-1)</f>
        <v>0</v>
      </c>
      <c r="K294" s="11">
        <f>TModelo[[#This Row],[Act]]*IF(Rebalanceo="Mensual",1,IF(Rebalanceo="Anual",IF(MOD(TModelo[[#This Row],[Period]]-1,12)=0,1,0),0))</f>
        <v>0</v>
      </c>
      <c r="L294" s="24">
        <f>TModelo[[#This Row],[Act]]*AporteMensual*IF(CrecimientoAporte="Con IPC",F293,1)</f>
        <v>0</v>
      </c>
      <c r="M294" s="24">
        <f>IF(TModelo[[#This Row],[Period]]=HorizonteMeses,TModelo[[#This Row],[TotalPreLiq]],0)</f>
        <v>0</v>
      </c>
      <c r="N294" s="24">
        <f>TModelo[[#This Row],[Inflow]]-TModelo[[#This Row],[Outflow]]</f>
        <v>0</v>
      </c>
      <c r="O294" s="24">
        <f t="shared" si="4"/>
        <v>0</v>
      </c>
      <c r="P294" s="24">
        <f>TModelo[[#This Row],[IntCDT]]+TModelo[[#This Row],[IntCOLCAP]]+TModelo[[#This Row],[IntUSD]]</f>
        <v>0</v>
      </c>
      <c r="Q294" s="24">
        <f>TModelo[[#This Row],[InitialBalance]]+TModelo[[#This Row],[Interest]]+TModelo[[#This Row],[Outflow]]-TModelo[[#This Row],[Inflow]]</f>
        <v>0</v>
      </c>
      <c r="R294" s="24">
        <f>TModelo[[#This Row],[Act]]*IF(TModelo[[#This Row],[Rebal]]=1,PesoCDT*(X293+Y293+Z293),X293)</f>
        <v>0</v>
      </c>
      <c r="S294" s="24">
        <f>TModelo[[#This Row],[Act]]*IF(TModelo[[#This Row],[Rebal]]=1,PesoCOLCAP*(X293+Y293+Z293),Y293)</f>
        <v>0</v>
      </c>
      <c r="T294" s="24">
        <f>TModelo[[#This Row],[Act]]*IF(TModelo[[#This Row],[Rebal]]=1,PesoUSD*(X293+Y293+Z293),Z293)</f>
        <v>0</v>
      </c>
      <c r="U294" s="24">
        <f>TModelo[[#This Row],[IniCDT]]*TModelo[[#This Row],[RetCDT]]</f>
        <v>0</v>
      </c>
      <c r="V294" s="24">
        <f>TModelo[[#This Row],[IniCOLCAP]]*TModelo[[#This Row],[RetCOLCAP]]</f>
        <v>0</v>
      </c>
      <c r="W294" s="24">
        <f>TModelo[[#This Row],[IniUSD]]*TModelo[[#This Row],[RetUSD]]</f>
        <v>0</v>
      </c>
      <c r="X294" s="24">
        <f>TModelo[[#This Row],[Act]]*(TModelo[[#This Row],[IniCDT]]+TModelo[[#This Row],[IntCDT]]+PesoCDT*TModelo[[#This Row],[Outflow]])</f>
        <v>0</v>
      </c>
      <c r="Y294" s="24">
        <f>TModelo[[#This Row],[Act]]*(TModelo[[#This Row],[IniCOLCAP]]+TModelo[[#This Row],[IntCOLCAP]]+PesoCOLCAP*TModelo[[#This Row],[Outflow]])</f>
        <v>0</v>
      </c>
      <c r="Z294" s="24">
        <f>TModelo[[#This Row],[Act]]*(TModelo[[#This Row],[IniUSD]]+TModelo[[#This Row],[IntUSD]]+PesoUSD*TModelo[[#This Row],[Outflow]])</f>
        <v>0</v>
      </c>
      <c r="AA294" s="24">
        <f>TModelo[[#This Row],[BalCDT]]+TModelo[[#This Row],[BalCOLCAP]]+TModelo[[#This Row],[BalUSD]]</f>
        <v>0</v>
      </c>
      <c r="AB294" s="24">
        <f>IF(TModelo[[#This Row],[CumInfl]]&gt;0,TModelo[[#This Row],[TotalPreLiq]]/TModelo[[#This Row],[CumInfl]],0)</f>
        <v>0</v>
      </c>
      <c r="AC294" s="41">
        <f>(1+PerRate)^(-TModelo[[#This Row],[Period]])</f>
        <v>0.1248485372404609</v>
      </c>
      <c r="AD294" s="42">
        <f>TModelo[[#This Row],[NetCF]]*TModelo[[#This Row],[fd]]</f>
        <v>0</v>
      </c>
    </row>
    <row r="295" spans="2:30" ht="16.95" customHeight="1">
      <c r="B295" s="11">
        <v>268</v>
      </c>
      <c r="C295" s="25">
        <f>EDATE(FechaInicio,TModelo[[#This Row],[Period]])</f>
        <v>54452</v>
      </c>
      <c r="D295" s="11">
        <f>IF(AND(TModelo[[#This Row],[Period]]&gt;=1,TModelo[[#This Row],[Period]]&lt;=HorizonteMeses),1,0)</f>
        <v>0</v>
      </c>
      <c r="E295" s="40">
        <f>TModelo[[#This Row],[Act]]*(INFb+(INFpi0-INFb)*(1-INFa)^TModelo[[#This Row],[Period]])</f>
        <v>0</v>
      </c>
      <c r="F295" s="28">
        <f>IF(TModelo[[#This Row],[Period]]&lt;=HorizonteMeses,F294*(1+TModelo[[#This Row],[InflMes]]),0)</f>
        <v>0</v>
      </c>
      <c r="G295" s="21">
        <f>TModelo[[#This Row],[Act]]*(CDTb+(CDTx0-CDTb)*(1-CDTa)^TModelo[[#This Row],[Period]]+CDTspread)</f>
        <v>0</v>
      </c>
      <c r="H295" s="40">
        <f>TModelo[[#This Row],[Act]]*((1+TModelo[[#This Row],[TasaCDT]])^(1/12)-1)*(1-Retencion)</f>
        <v>0</v>
      </c>
      <c r="I295" s="40">
        <f>TModelo[[#This Row],[Act]]*(EXP(MuCOLCAP+SigmaCOLCAP^2/2)-1)</f>
        <v>0</v>
      </c>
      <c r="J295" s="40">
        <f>TModelo[[#This Row],[Act]]*(EXP(MuTRM+SigmaTRM^2/2)-1)</f>
        <v>0</v>
      </c>
      <c r="K295" s="11">
        <f>TModelo[[#This Row],[Act]]*IF(Rebalanceo="Mensual",1,IF(Rebalanceo="Anual",IF(MOD(TModelo[[#This Row],[Period]]-1,12)=0,1,0),0))</f>
        <v>0</v>
      </c>
      <c r="L295" s="24">
        <f>TModelo[[#This Row],[Act]]*AporteMensual*IF(CrecimientoAporte="Con IPC",F294,1)</f>
        <v>0</v>
      </c>
      <c r="M295" s="24">
        <f>IF(TModelo[[#This Row],[Period]]=HorizonteMeses,TModelo[[#This Row],[TotalPreLiq]],0)</f>
        <v>0</v>
      </c>
      <c r="N295" s="24">
        <f>TModelo[[#This Row],[Inflow]]-TModelo[[#This Row],[Outflow]]</f>
        <v>0</v>
      </c>
      <c r="O295" s="24">
        <f t="shared" si="4"/>
        <v>0</v>
      </c>
      <c r="P295" s="24">
        <f>TModelo[[#This Row],[IntCDT]]+TModelo[[#This Row],[IntCOLCAP]]+TModelo[[#This Row],[IntUSD]]</f>
        <v>0</v>
      </c>
      <c r="Q295" s="24">
        <f>TModelo[[#This Row],[InitialBalance]]+TModelo[[#This Row],[Interest]]+TModelo[[#This Row],[Outflow]]-TModelo[[#This Row],[Inflow]]</f>
        <v>0</v>
      </c>
      <c r="R295" s="24">
        <f>TModelo[[#This Row],[Act]]*IF(TModelo[[#This Row],[Rebal]]=1,PesoCDT*(X294+Y294+Z294),X294)</f>
        <v>0</v>
      </c>
      <c r="S295" s="24">
        <f>TModelo[[#This Row],[Act]]*IF(TModelo[[#This Row],[Rebal]]=1,PesoCOLCAP*(X294+Y294+Z294),Y294)</f>
        <v>0</v>
      </c>
      <c r="T295" s="24">
        <f>TModelo[[#This Row],[Act]]*IF(TModelo[[#This Row],[Rebal]]=1,PesoUSD*(X294+Y294+Z294),Z294)</f>
        <v>0</v>
      </c>
      <c r="U295" s="24">
        <f>TModelo[[#This Row],[IniCDT]]*TModelo[[#This Row],[RetCDT]]</f>
        <v>0</v>
      </c>
      <c r="V295" s="24">
        <f>TModelo[[#This Row],[IniCOLCAP]]*TModelo[[#This Row],[RetCOLCAP]]</f>
        <v>0</v>
      </c>
      <c r="W295" s="24">
        <f>TModelo[[#This Row],[IniUSD]]*TModelo[[#This Row],[RetUSD]]</f>
        <v>0</v>
      </c>
      <c r="X295" s="24">
        <f>TModelo[[#This Row],[Act]]*(TModelo[[#This Row],[IniCDT]]+TModelo[[#This Row],[IntCDT]]+PesoCDT*TModelo[[#This Row],[Outflow]])</f>
        <v>0</v>
      </c>
      <c r="Y295" s="24">
        <f>TModelo[[#This Row],[Act]]*(TModelo[[#This Row],[IniCOLCAP]]+TModelo[[#This Row],[IntCOLCAP]]+PesoCOLCAP*TModelo[[#This Row],[Outflow]])</f>
        <v>0</v>
      </c>
      <c r="Z295" s="24">
        <f>TModelo[[#This Row],[Act]]*(TModelo[[#This Row],[IniUSD]]+TModelo[[#This Row],[IntUSD]]+PesoUSD*TModelo[[#This Row],[Outflow]])</f>
        <v>0</v>
      </c>
      <c r="AA295" s="24">
        <f>TModelo[[#This Row],[BalCDT]]+TModelo[[#This Row],[BalCOLCAP]]+TModelo[[#This Row],[BalUSD]]</f>
        <v>0</v>
      </c>
      <c r="AB295" s="24">
        <f>IF(TModelo[[#This Row],[CumInfl]]&gt;0,TModelo[[#This Row],[TotalPreLiq]]/TModelo[[#This Row],[CumInfl]],0)</f>
        <v>0</v>
      </c>
      <c r="AC295" s="41">
        <f>(1+PerRate)^(-TModelo[[#This Row],[Period]])</f>
        <v>0.12387940957528586</v>
      </c>
      <c r="AD295" s="42">
        <f>TModelo[[#This Row],[NetCF]]*TModelo[[#This Row],[fd]]</f>
        <v>0</v>
      </c>
    </row>
    <row r="296" spans="2:30" ht="16.95" customHeight="1">
      <c r="B296" s="11">
        <v>269</v>
      </c>
      <c r="C296" s="25">
        <f>EDATE(FechaInicio,TModelo[[#This Row],[Period]])</f>
        <v>54482</v>
      </c>
      <c r="D296" s="11">
        <f>IF(AND(TModelo[[#This Row],[Period]]&gt;=1,TModelo[[#This Row],[Period]]&lt;=HorizonteMeses),1,0)</f>
        <v>0</v>
      </c>
      <c r="E296" s="40">
        <f>TModelo[[#This Row],[Act]]*(INFb+(INFpi0-INFb)*(1-INFa)^TModelo[[#This Row],[Period]])</f>
        <v>0</v>
      </c>
      <c r="F296" s="28">
        <f>IF(TModelo[[#This Row],[Period]]&lt;=HorizonteMeses,F295*(1+TModelo[[#This Row],[InflMes]]),0)</f>
        <v>0</v>
      </c>
      <c r="G296" s="21">
        <f>TModelo[[#This Row],[Act]]*(CDTb+(CDTx0-CDTb)*(1-CDTa)^TModelo[[#This Row],[Period]]+CDTspread)</f>
        <v>0</v>
      </c>
      <c r="H296" s="40">
        <f>TModelo[[#This Row],[Act]]*((1+TModelo[[#This Row],[TasaCDT]])^(1/12)-1)*(1-Retencion)</f>
        <v>0</v>
      </c>
      <c r="I296" s="40">
        <f>TModelo[[#This Row],[Act]]*(EXP(MuCOLCAP+SigmaCOLCAP^2/2)-1)</f>
        <v>0</v>
      </c>
      <c r="J296" s="40">
        <f>TModelo[[#This Row],[Act]]*(EXP(MuTRM+SigmaTRM^2/2)-1)</f>
        <v>0</v>
      </c>
      <c r="K296" s="11">
        <f>TModelo[[#This Row],[Act]]*IF(Rebalanceo="Mensual",1,IF(Rebalanceo="Anual",IF(MOD(TModelo[[#This Row],[Period]]-1,12)=0,1,0),0))</f>
        <v>0</v>
      </c>
      <c r="L296" s="24">
        <f>TModelo[[#This Row],[Act]]*AporteMensual*IF(CrecimientoAporte="Con IPC",F295,1)</f>
        <v>0</v>
      </c>
      <c r="M296" s="24">
        <f>IF(TModelo[[#This Row],[Period]]=HorizonteMeses,TModelo[[#This Row],[TotalPreLiq]],0)</f>
        <v>0</v>
      </c>
      <c r="N296" s="24">
        <f>TModelo[[#This Row],[Inflow]]-TModelo[[#This Row],[Outflow]]</f>
        <v>0</v>
      </c>
      <c r="O296" s="24">
        <f t="shared" si="4"/>
        <v>0</v>
      </c>
      <c r="P296" s="24">
        <f>TModelo[[#This Row],[IntCDT]]+TModelo[[#This Row],[IntCOLCAP]]+TModelo[[#This Row],[IntUSD]]</f>
        <v>0</v>
      </c>
      <c r="Q296" s="24">
        <f>TModelo[[#This Row],[InitialBalance]]+TModelo[[#This Row],[Interest]]+TModelo[[#This Row],[Outflow]]-TModelo[[#This Row],[Inflow]]</f>
        <v>0</v>
      </c>
      <c r="R296" s="24">
        <f>TModelo[[#This Row],[Act]]*IF(TModelo[[#This Row],[Rebal]]=1,PesoCDT*(X295+Y295+Z295),X295)</f>
        <v>0</v>
      </c>
      <c r="S296" s="24">
        <f>TModelo[[#This Row],[Act]]*IF(TModelo[[#This Row],[Rebal]]=1,PesoCOLCAP*(X295+Y295+Z295),Y295)</f>
        <v>0</v>
      </c>
      <c r="T296" s="24">
        <f>TModelo[[#This Row],[Act]]*IF(TModelo[[#This Row],[Rebal]]=1,PesoUSD*(X295+Y295+Z295),Z295)</f>
        <v>0</v>
      </c>
      <c r="U296" s="24">
        <f>TModelo[[#This Row],[IniCDT]]*TModelo[[#This Row],[RetCDT]]</f>
        <v>0</v>
      </c>
      <c r="V296" s="24">
        <f>TModelo[[#This Row],[IniCOLCAP]]*TModelo[[#This Row],[RetCOLCAP]]</f>
        <v>0</v>
      </c>
      <c r="W296" s="24">
        <f>TModelo[[#This Row],[IniUSD]]*TModelo[[#This Row],[RetUSD]]</f>
        <v>0</v>
      </c>
      <c r="X296" s="24">
        <f>TModelo[[#This Row],[Act]]*(TModelo[[#This Row],[IniCDT]]+TModelo[[#This Row],[IntCDT]]+PesoCDT*TModelo[[#This Row],[Outflow]])</f>
        <v>0</v>
      </c>
      <c r="Y296" s="24">
        <f>TModelo[[#This Row],[Act]]*(TModelo[[#This Row],[IniCOLCAP]]+TModelo[[#This Row],[IntCOLCAP]]+PesoCOLCAP*TModelo[[#This Row],[Outflow]])</f>
        <v>0</v>
      </c>
      <c r="Z296" s="24">
        <f>TModelo[[#This Row],[Act]]*(TModelo[[#This Row],[IniUSD]]+TModelo[[#This Row],[IntUSD]]+PesoUSD*TModelo[[#This Row],[Outflow]])</f>
        <v>0</v>
      </c>
      <c r="AA296" s="24">
        <f>TModelo[[#This Row],[BalCDT]]+TModelo[[#This Row],[BalCOLCAP]]+TModelo[[#This Row],[BalUSD]]</f>
        <v>0</v>
      </c>
      <c r="AB296" s="24">
        <f>IF(TModelo[[#This Row],[CumInfl]]&gt;0,TModelo[[#This Row],[TotalPreLiq]]/TModelo[[#This Row],[CumInfl]],0)</f>
        <v>0</v>
      </c>
      <c r="AC296" s="41">
        <f>(1+PerRate)^(-TModelo[[#This Row],[Period]])</f>
        <v>0.1229178046929336</v>
      </c>
      <c r="AD296" s="42">
        <f>TModelo[[#This Row],[NetCF]]*TModelo[[#This Row],[fd]]</f>
        <v>0</v>
      </c>
    </row>
    <row r="297" spans="2:30" ht="16.95" customHeight="1">
      <c r="B297" s="11">
        <v>270</v>
      </c>
      <c r="C297" s="25">
        <f>EDATE(FechaInicio,TModelo[[#This Row],[Period]])</f>
        <v>54511</v>
      </c>
      <c r="D297" s="11">
        <f>IF(AND(TModelo[[#This Row],[Period]]&gt;=1,TModelo[[#This Row],[Period]]&lt;=HorizonteMeses),1,0)</f>
        <v>0</v>
      </c>
      <c r="E297" s="40">
        <f>TModelo[[#This Row],[Act]]*(INFb+(INFpi0-INFb)*(1-INFa)^TModelo[[#This Row],[Period]])</f>
        <v>0</v>
      </c>
      <c r="F297" s="28">
        <f>IF(TModelo[[#This Row],[Period]]&lt;=HorizonteMeses,F296*(1+TModelo[[#This Row],[InflMes]]),0)</f>
        <v>0</v>
      </c>
      <c r="G297" s="21">
        <f>TModelo[[#This Row],[Act]]*(CDTb+(CDTx0-CDTb)*(1-CDTa)^TModelo[[#This Row],[Period]]+CDTspread)</f>
        <v>0</v>
      </c>
      <c r="H297" s="40">
        <f>TModelo[[#This Row],[Act]]*((1+TModelo[[#This Row],[TasaCDT]])^(1/12)-1)*(1-Retencion)</f>
        <v>0</v>
      </c>
      <c r="I297" s="40">
        <f>TModelo[[#This Row],[Act]]*(EXP(MuCOLCAP+SigmaCOLCAP^2/2)-1)</f>
        <v>0</v>
      </c>
      <c r="J297" s="40">
        <f>TModelo[[#This Row],[Act]]*(EXP(MuTRM+SigmaTRM^2/2)-1)</f>
        <v>0</v>
      </c>
      <c r="K297" s="11">
        <f>TModelo[[#This Row],[Act]]*IF(Rebalanceo="Mensual",1,IF(Rebalanceo="Anual",IF(MOD(TModelo[[#This Row],[Period]]-1,12)=0,1,0),0))</f>
        <v>0</v>
      </c>
      <c r="L297" s="24">
        <f>TModelo[[#This Row],[Act]]*AporteMensual*IF(CrecimientoAporte="Con IPC",F296,1)</f>
        <v>0</v>
      </c>
      <c r="M297" s="24">
        <f>IF(TModelo[[#This Row],[Period]]=HorizonteMeses,TModelo[[#This Row],[TotalPreLiq]],0)</f>
        <v>0</v>
      </c>
      <c r="N297" s="24">
        <f>TModelo[[#This Row],[Inflow]]-TModelo[[#This Row],[Outflow]]</f>
        <v>0</v>
      </c>
      <c r="O297" s="24">
        <f t="shared" si="4"/>
        <v>0</v>
      </c>
      <c r="P297" s="24">
        <f>TModelo[[#This Row],[IntCDT]]+TModelo[[#This Row],[IntCOLCAP]]+TModelo[[#This Row],[IntUSD]]</f>
        <v>0</v>
      </c>
      <c r="Q297" s="24">
        <f>TModelo[[#This Row],[InitialBalance]]+TModelo[[#This Row],[Interest]]+TModelo[[#This Row],[Outflow]]-TModelo[[#This Row],[Inflow]]</f>
        <v>0</v>
      </c>
      <c r="R297" s="24">
        <f>TModelo[[#This Row],[Act]]*IF(TModelo[[#This Row],[Rebal]]=1,PesoCDT*(X296+Y296+Z296),X296)</f>
        <v>0</v>
      </c>
      <c r="S297" s="24">
        <f>TModelo[[#This Row],[Act]]*IF(TModelo[[#This Row],[Rebal]]=1,PesoCOLCAP*(X296+Y296+Z296),Y296)</f>
        <v>0</v>
      </c>
      <c r="T297" s="24">
        <f>TModelo[[#This Row],[Act]]*IF(TModelo[[#This Row],[Rebal]]=1,PesoUSD*(X296+Y296+Z296),Z296)</f>
        <v>0</v>
      </c>
      <c r="U297" s="24">
        <f>TModelo[[#This Row],[IniCDT]]*TModelo[[#This Row],[RetCDT]]</f>
        <v>0</v>
      </c>
      <c r="V297" s="24">
        <f>TModelo[[#This Row],[IniCOLCAP]]*TModelo[[#This Row],[RetCOLCAP]]</f>
        <v>0</v>
      </c>
      <c r="W297" s="24">
        <f>TModelo[[#This Row],[IniUSD]]*TModelo[[#This Row],[RetUSD]]</f>
        <v>0</v>
      </c>
      <c r="X297" s="24">
        <f>TModelo[[#This Row],[Act]]*(TModelo[[#This Row],[IniCDT]]+TModelo[[#This Row],[IntCDT]]+PesoCDT*TModelo[[#This Row],[Outflow]])</f>
        <v>0</v>
      </c>
      <c r="Y297" s="24">
        <f>TModelo[[#This Row],[Act]]*(TModelo[[#This Row],[IniCOLCAP]]+TModelo[[#This Row],[IntCOLCAP]]+PesoCOLCAP*TModelo[[#This Row],[Outflow]])</f>
        <v>0</v>
      </c>
      <c r="Z297" s="24">
        <f>TModelo[[#This Row],[Act]]*(TModelo[[#This Row],[IniUSD]]+TModelo[[#This Row],[IntUSD]]+PesoUSD*TModelo[[#This Row],[Outflow]])</f>
        <v>0</v>
      </c>
      <c r="AA297" s="24">
        <f>TModelo[[#This Row],[BalCDT]]+TModelo[[#This Row],[BalCOLCAP]]+TModelo[[#This Row],[BalUSD]]</f>
        <v>0</v>
      </c>
      <c r="AB297" s="24">
        <f>IF(TModelo[[#This Row],[CumInfl]]&gt;0,TModelo[[#This Row],[TotalPreLiq]]/TModelo[[#This Row],[CumInfl]],0)</f>
        <v>0</v>
      </c>
      <c r="AC297" s="41">
        <f>(1+PerRate)^(-TModelo[[#This Row],[Period]])</f>
        <v>0.12196366419835115</v>
      </c>
      <c r="AD297" s="42">
        <f>TModelo[[#This Row],[NetCF]]*TModelo[[#This Row],[fd]]</f>
        <v>0</v>
      </c>
    </row>
    <row r="298" spans="2:30" ht="16.95" customHeight="1">
      <c r="B298" s="11">
        <v>271</v>
      </c>
      <c r="C298" s="25">
        <f>EDATE(FechaInicio,TModelo[[#This Row],[Period]])</f>
        <v>54542</v>
      </c>
      <c r="D298" s="11">
        <f>IF(AND(TModelo[[#This Row],[Period]]&gt;=1,TModelo[[#This Row],[Period]]&lt;=HorizonteMeses),1,0)</f>
        <v>0</v>
      </c>
      <c r="E298" s="40">
        <f>TModelo[[#This Row],[Act]]*(INFb+(INFpi0-INFb)*(1-INFa)^TModelo[[#This Row],[Period]])</f>
        <v>0</v>
      </c>
      <c r="F298" s="28">
        <f>IF(TModelo[[#This Row],[Period]]&lt;=HorizonteMeses,F297*(1+TModelo[[#This Row],[InflMes]]),0)</f>
        <v>0</v>
      </c>
      <c r="G298" s="21">
        <f>TModelo[[#This Row],[Act]]*(CDTb+(CDTx0-CDTb)*(1-CDTa)^TModelo[[#This Row],[Period]]+CDTspread)</f>
        <v>0</v>
      </c>
      <c r="H298" s="40">
        <f>TModelo[[#This Row],[Act]]*((1+TModelo[[#This Row],[TasaCDT]])^(1/12)-1)*(1-Retencion)</f>
        <v>0</v>
      </c>
      <c r="I298" s="40">
        <f>TModelo[[#This Row],[Act]]*(EXP(MuCOLCAP+SigmaCOLCAP^2/2)-1)</f>
        <v>0</v>
      </c>
      <c r="J298" s="40">
        <f>TModelo[[#This Row],[Act]]*(EXP(MuTRM+SigmaTRM^2/2)-1)</f>
        <v>0</v>
      </c>
      <c r="K298" s="11">
        <f>TModelo[[#This Row],[Act]]*IF(Rebalanceo="Mensual",1,IF(Rebalanceo="Anual",IF(MOD(TModelo[[#This Row],[Period]]-1,12)=0,1,0),0))</f>
        <v>0</v>
      </c>
      <c r="L298" s="24">
        <f>TModelo[[#This Row],[Act]]*AporteMensual*IF(CrecimientoAporte="Con IPC",F297,1)</f>
        <v>0</v>
      </c>
      <c r="M298" s="24">
        <f>IF(TModelo[[#This Row],[Period]]=HorizonteMeses,TModelo[[#This Row],[TotalPreLiq]],0)</f>
        <v>0</v>
      </c>
      <c r="N298" s="24">
        <f>TModelo[[#This Row],[Inflow]]-TModelo[[#This Row],[Outflow]]</f>
        <v>0</v>
      </c>
      <c r="O298" s="24">
        <f t="shared" si="4"/>
        <v>0</v>
      </c>
      <c r="P298" s="24">
        <f>TModelo[[#This Row],[IntCDT]]+TModelo[[#This Row],[IntCOLCAP]]+TModelo[[#This Row],[IntUSD]]</f>
        <v>0</v>
      </c>
      <c r="Q298" s="24">
        <f>TModelo[[#This Row],[InitialBalance]]+TModelo[[#This Row],[Interest]]+TModelo[[#This Row],[Outflow]]-TModelo[[#This Row],[Inflow]]</f>
        <v>0</v>
      </c>
      <c r="R298" s="24">
        <f>TModelo[[#This Row],[Act]]*IF(TModelo[[#This Row],[Rebal]]=1,PesoCDT*(X297+Y297+Z297),X297)</f>
        <v>0</v>
      </c>
      <c r="S298" s="24">
        <f>TModelo[[#This Row],[Act]]*IF(TModelo[[#This Row],[Rebal]]=1,PesoCOLCAP*(X297+Y297+Z297),Y297)</f>
        <v>0</v>
      </c>
      <c r="T298" s="24">
        <f>TModelo[[#This Row],[Act]]*IF(TModelo[[#This Row],[Rebal]]=1,PesoUSD*(X297+Y297+Z297),Z297)</f>
        <v>0</v>
      </c>
      <c r="U298" s="24">
        <f>TModelo[[#This Row],[IniCDT]]*TModelo[[#This Row],[RetCDT]]</f>
        <v>0</v>
      </c>
      <c r="V298" s="24">
        <f>TModelo[[#This Row],[IniCOLCAP]]*TModelo[[#This Row],[RetCOLCAP]]</f>
        <v>0</v>
      </c>
      <c r="W298" s="24">
        <f>TModelo[[#This Row],[IniUSD]]*TModelo[[#This Row],[RetUSD]]</f>
        <v>0</v>
      </c>
      <c r="X298" s="24">
        <f>TModelo[[#This Row],[Act]]*(TModelo[[#This Row],[IniCDT]]+TModelo[[#This Row],[IntCDT]]+PesoCDT*TModelo[[#This Row],[Outflow]])</f>
        <v>0</v>
      </c>
      <c r="Y298" s="24">
        <f>TModelo[[#This Row],[Act]]*(TModelo[[#This Row],[IniCOLCAP]]+TModelo[[#This Row],[IntCOLCAP]]+PesoCOLCAP*TModelo[[#This Row],[Outflow]])</f>
        <v>0</v>
      </c>
      <c r="Z298" s="24">
        <f>TModelo[[#This Row],[Act]]*(TModelo[[#This Row],[IniUSD]]+TModelo[[#This Row],[IntUSD]]+PesoUSD*TModelo[[#This Row],[Outflow]])</f>
        <v>0</v>
      </c>
      <c r="AA298" s="24">
        <f>TModelo[[#This Row],[BalCDT]]+TModelo[[#This Row],[BalCOLCAP]]+TModelo[[#This Row],[BalUSD]]</f>
        <v>0</v>
      </c>
      <c r="AB298" s="24">
        <f>IF(TModelo[[#This Row],[CumInfl]]&gt;0,TModelo[[#This Row],[TotalPreLiq]]/TModelo[[#This Row],[CumInfl]],0)</f>
        <v>0</v>
      </c>
      <c r="AC298" s="41">
        <f>(1+PerRate)^(-TModelo[[#This Row],[Period]])</f>
        <v>0.12101693014977283</v>
      </c>
      <c r="AD298" s="42">
        <f>TModelo[[#This Row],[NetCF]]*TModelo[[#This Row],[fd]]</f>
        <v>0</v>
      </c>
    </row>
    <row r="299" spans="2:30" ht="16.95" customHeight="1">
      <c r="B299" s="11">
        <v>272</v>
      </c>
      <c r="C299" s="25">
        <f>EDATE(FechaInicio,TModelo[[#This Row],[Period]])</f>
        <v>54572</v>
      </c>
      <c r="D299" s="11">
        <f>IF(AND(TModelo[[#This Row],[Period]]&gt;=1,TModelo[[#This Row],[Period]]&lt;=HorizonteMeses),1,0)</f>
        <v>0</v>
      </c>
      <c r="E299" s="40">
        <f>TModelo[[#This Row],[Act]]*(INFb+(INFpi0-INFb)*(1-INFa)^TModelo[[#This Row],[Period]])</f>
        <v>0</v>
      </c>
      <c r="F299" s="28">
        <f>IF(TModelo[[#This Row],[Period]]&lt;=HorizonteMeses,F298*(1+TModelo[[#This Row],[InflMes]]),0)</f>
        <v>0</v>
      </c>
      <c r="G299" s="21">
        <f>TModelo[[#This Row],[Act]]*(CDTb+(CDTx0-CDTb)*(1-CDTa)^TModelo[[#This Row],[Period]]+CDTspread)</f>
        <v>0</v>
      </c>
      <c r="H299" s="40">
        <f>TModelo[[#This Row],[Act]]*((1+TModelo[[#This Row],[TasaCDT]])^(1/12)-1)*(1-Retencion)</f>
        <v>0</v>
      </c>
      <c r="I299" s="40">
        <f>TModelo[[#This Row],[Act]]*(EXP(MuCOLCAP+SigmaCOLCAP^2/2)-1)</f>
        <v>0</v>
      </c>
      <c r="J299" s="40">
        <f>TModelo[[#This Row],[Act]]*(EXP(MuTRM+SigmaTRM^2/2)-1)</f>
        <v>0</v>
      </c>
      <c r="K299" s="11">
        <f>TModelo[[#This Row],[Act]]*IF(Rebalanceo="Mensual",1,IF(Rebalanceo="Anual",IF(MOD(TModelo[[#This Row],[Period]]-1,12)=0,1,0),0))</f>
        <v>0</v>
      </c>
      <c r="L299" s="24">
        <f>TModelo[[#This Row],[Act]]*AporteMensual*IF(CrecimientoAporte="Con IPC",F298,1)</f>
        <v>0</v>
      </c>
      <c r="M299" s="24">
        <f>IF(TModelo[[#This Row],[Period]]=HorizonteMeses,TModelo[[#This Row],[TotalPreLiq]],0)</f>
        <v>0</v>
      </c>
      <c r="N299" s="24">
        <f>TModelo[[#This Row],[Inflow]]-TModelo[[#This Row],[Outflow]]</f>
        <v>0</v>
      </c>
      <c r="O299" s="24">
        <f t="shared" si="4"/>
        <v>0</v>
      </c>
      <c r="P299" s="24">
        <f>TModelo[[#This Row],[IntCDT]]+TModelo[[#This Row],[IntCOLCAP]]+TModelo[[#This Row],[IntUSD]]</f>
        <v>0</v>
      </c>
      <c r="Q299" s="24">
        <f>TModelo[[#This Row],[InitialBalance]]+TModelo[[#This Row],[Interest]]+TModelo[[#This Row],[Outflow]]-TModelo[[#This Row],[Inflow]]</f>
        <v>0</v>
      </c>
      <c r="R299" s="24">
        <f>TModelo[[#This Row],[Act]]*IF(TModelo[[#This Row],[Rebal]]=1,PesoCDT*(X298+Y298+Z298),X298)</f>
        <v>0</v>
      </c>
      <c r="S299" s="24">
        <f>TModelo[[#This Row],[Act]]*IF(TModelo[[#This Row],[Rebal]]=1,PesoCOLCAP*(X298+Y298+Z298),Y298)</f>
        <v>0</v>
      </c>
      <c r="T299" s="24">
        <f>TModelo[[#This Row],[Act]]*IF(TModelo[[#This Row],[Rebal]]=1,PesoUSD*(X298+Y298+Z298),Z298)</f>
        <v>0</v>
      </c>
      <c r="U299" s="24">
        <f>TModelo[[#This Row],[IniCDT]]*TModelo[[#This Row],[RetCDT]]</f>
        <v>0</v>
      </c>
      <c r="V299" s="24">
        <f>TModelo[[#This Row],[IniCOLCAP]]*TModelo[[#This Row],[RetCOLCAP]]</f>
        <v>0</v>
      </c>
      <c r="W299" s="24">
        <f>TModelo[[#This Row],[IniUSD]]*TModelo[[#This Row],[RetUSD]]</f>
        <v>0</v>
      </c>
      <c r="X299" s="24">
        <f>TModelo[[#This Row],[Act]]*(TModelo[[#This Row],[IniCDT]]+TModelo[[#This Row],[IntCDT]]+PesoCDT*TModelo[[#This Row],[Outflow]])</f>
        <v>0</v>
      </c>
      <c r="Y299" s="24">
        <f>TModelo[[#This Row],[Act]]*(TModelo[[#This Row],[IniCOLCAP]]+TModelo[[#This Row],[IntCOLCAP]]+PesoCOLCAP*TModelo[[#This Row],[Outflow]])</f>
        <v>0</v>
      </c>
      <c r="Z299" s="24">
        <f>TModelo[[#This Row],[Act]]*(TModelo[[#This Row],[IniUSD]]+TModelo[[#This Row],[IntUSD]]+PesoUSD*TModelo[[#This Row],[Outflow]])</f>
        <v>0</v>
      </c>
      <c r="AA299" s="24">
        <f>TModelo[[#This Row],[BalCDT]]+TModelo[[#This Row],[BalCOLCAP]]+TModelo[[#This Row],[BalUSD]]</f>
        <v>0</v>
      </c>
      <c r="AB299" s="24">
        <f>IF(TModelo[[#This Row],[CumInfl]]&gt;0,TModelo[[#This Row],[TotalPreLiq]]/TModelo[[#This Row],[CumInfl]],0)</f>
        <v>0</v>
      </c>
      <c r="AC299" s="41">
        <f>(1+PerRate)^(-TModelo[[#This Row],[Period]])</f>
        <v>0.12007754505520161</v>
      </c>
      <c r="AD299" s="42">
        <f>TModelo[[#This Row],[NetCF]]*TModelo[[#This Row],[fd]]</f>
        <v>0</v>
      </c>
    </row>
    <row r="300" spans="2:30" ht="16.95" customHeight="1">
      <c r="B300" s="11">
        <v>273</v>
      </c>
      <c r="C300" s="25">
        <f>EDATE(FechaInicio,TModelo[[#This Row],[Period]])</f>
        <v>54603</v>
      </c>
      <c r="D300" s="11">
        <f>IF(AND(TModelo[[#This Row],[Period]]&gt;=1,TModelo[[#This Row],[Period]]&lt;=HorizonteMeses),1,0)</f>
        <v>0</v>
      </c>
      <c r="E300" s="40">
        <f>TModelo[[#This Row],[Act]]*(INFb+(INFpi0-INFb)*(1-INFa)^TModelo[[#This Row],[Period]])</f>
        <v>0</v>
      </c>
      <c r="F300" s="28">
        <f>IF(TModelo[[#This Row],[Period]]&lt;=HorizonteMeses,F299*(1+TModelo[[#This Row],[InflMes]]),0)</f>
        <v>0</v>
      </c>
      <c r="G300" s="21">
        <f>TModelo[[#This Row],[Act]]*(CDTb+(CDTx0-CDTb)*(1-CDTa)^TModelo[[#This Row],[Period]]+CDTspread)</f>
        <v>0</v>
      </c>
      <c r="H300" s="40">
        <f>TModelo[[#This Row],[Act]]*((1+TModelo[[#This Row],[TasaCDT]])^(1/12)-1)*(1-Retencion)</f>
        <v>0</v>
      </c>
      <c r="I300" s="40">
        <f>TModelo[[#This Row],[Act]]*(EXP(MuCOLCAP+SigmaCOLCAP^2/2)-1)</f>
        <v>0</v>
      </c>
      <c r="J300" s="40">
        <f>TModelo[[#This Row],[Act]]*(EXP(MuTRM+SigmaTRM^2/2)-1)</f>
        <v>0</v>
      </c>
      <c r="K300" s="11">
        <f>TModelo[[#This Row],[Act]]*IF(Rebalanceo="Mensual",1,IF(Rebalanceo="Anual",IF(MOD(TModelo[[#This Row],[Period]]-1,12)=0,1,0),0))</f>
        <v>0</v>
      </c>
      <c r="L300" s="24">
        <f>TModelo[[#This Row],[Act]]*AporteMensual*IF(CrecimientoAporte="Con IPC",F299,1)</f>
        <v>0</v>
      </c>
      <c r="M300" s="24">
        <f>IF(TModelo[[#This Row],[Period]]=HorizonteMeses,TModelo[[#This Row],[TotalPreLiq]],0)</f>
        <v>0</v>
      </c>
      <c r="N300" s="24">
        <f>TModelo[[#This Row],[Inflow]]-TModelo[[#This Row],[Outflow]]</f>
        <v>0</v>
      </c>
      <c r="O300" s="24">
        <f t="shared" si="4"/>
        <v>0</v>
      </c>
      <c r="P300" s="24">
        <f>TModelo[[#This Row],[IntCDT]]+TModelo[[#This Row],[IntCOLCAP]]+TModelo[[#This Row],[IntUSD]]</f>
        <v>0</v>
      </c>
      <c r="Q300" s="24">
        <f>TModelo[[#This Row],[InitialBalance]]+TModelo[[#This Row],[Interest]]+TModelo[[#This Row],[Outflow]]-TModelo[[#This Row],[Inflow]]</f>
        <v>0</v>
      </c>
      <c r="R300" s="24">
        <f>TModelo[[#This Row],[Act]]*IF(TModelo[[#This Row],[Rebal]]=1,PesoCDT*(X299+Y299+Z299),X299)</f>
        <v>0</v>
      </c>
      <c r="S300" s="24">
        <f>TModelo[[#This Row],[Act]]*IF(TModelo[[#This Row],[Rebal]]=1,PesoCOLCAP*(X299+Y299+Z299),Y299)</f>
        <v>0</v>
      </c>
      <c r="T300" s="24">
        <f>TModelo[[#This Row],[Act]]*IF(TModelo[[#This Row],[Rebal]]=1,PesoUSD*(X299+Y299+Z299),Z299)</f>
        <v>0</v>
      </c>
      <c r="U300" s="24">
        <f>TModelo[[#This Row],[IniCDT]]*TModelo[[#This Row],[RetCDT]]</f>
        <v>0</v>
      </c>
      <c r="V300" s="24">
        <f>TModelo[[#This Row],[IniCOLCAP]]*TModelo[[#This Row],[RetCOLCAP]]</f>
        <v>0</v>
      </c>
      <c r="W300" s="24">
        <f>TModelo[[#This Row],[IniUSD]]*TModelo[[#This Row],[RetUSD]]</f>
        <v>0</v>
      </c>
      <c r="X300" s="24">
        <f>TModelo[[#This Row],[Act]]*(TModelo[[#This Row],[IniCDT]]+TModelo[[#This Row],[IntCDT]]+PesoCDT*TModelo[[#This Row],[Outflow]])</f>
        <v>0</v>
      </c>
      <c r="Y300" s="24">
        <f>TModelo[[#This Row],[Act]]*(TModelo[[#This Row],[IniCOLCAP]]+TModelo[[#This Row],[IntCOLCAP]]+PesoCOLCAP*TModelo[[#This Row],[Outflow]])</f>
        <v>0</v>
      </c>
      <c r="Z300" s="24">
        <f>TModelo[[#This Row],[Act]]*(TModelo[[#This Row],[IniUSD]]+TModelo[[#This Row],[IntUSD]]+PesoUSD*TModelo[[#This Row],[Outflow]])</f>
        <v>0</v>
      </c>
      <c r="AA300" s="24">
        <f>TModelo[[#This Row],[BalCDT]]+TModelo[[#This Row],[BalCOLCAP]]+TModelo[[#This Row],[BalUSD]]</f>
        <v>0</v>
      </c>
      <c r="AB300" s="24">
        <f>IF(TModelo[[#This Row],[CumInfl]]&gt;0,TModelo[[#This Row],[TotalPreLiq]]/TModelo[[#This Row],[CumInfl]],0)</f>
        <v>0</v>
      </c>
      <c r="AC300" s="41">
        <f>(1+PerRate)^(-TModelo[[#This Row],[Period]])</f>
        <v>0.11914545186891806</v>
      </c>
      <c r="AD300" s="42">
        <f>TModelo[[#This Row],[NetCF]]*TModelo[[#This Row],[fd]]</f>
        <v>0</v>
      </c>
    </row>
    <row r="301" spans="2:30" ht="16.95" customHeight="1">
      <c r="B301" s="11">
        <v>274</v>
      </c>
      <c r="C301" s="25">
        <f>EDATE(FechaInicio,TModelo[[#This Row],[Period]])</f>
        <v>54633</v>
      </c>
      <c r="D301" s="11">
        <f>IF(AND(TModelo[[#This Row],[Period]]&gt;=1,TModelo[[#This Row],[Period]]&lt;=HorizonteMeses),1,0)</f>
        <v>0</v>
      </c>
      <c r="E301" s="40">
        <f>TModelo[[#This Row],[Act]]*(INFb+(INFpi0-INFb)*(1-INFa)^TModelo[[#This Row],[Period]])</f>
        <v>0</v>
      </c>
      <c r="F301" s="28">
        <f>IF(TModelo[[#This Row],[Period]]&lt;=HorizonteMeses,F300*(1+TModelo[[#This Row],[InflMes]]),0)</f>
        <v>0</v>
      </c>
      <c r="G301" s="21">
        <f>TModelo[[#This Row],[Act]]*(CDTb+(CDTx0-CDTb)*(1-CDTa)^TModelo[[#This Row],[Period]]+CDTspread)</f>
        <v>0</v>
      </c>
      <c r="H301" s="40">
        <f>TModelo[[#This Row],[Act]]*((1+TModelo[[#This Row],[TasaCDT]])^(1/12)-1)*(1-Retencion)</f>
        <v>0</v>
      </c>
      <c r="I301" s="40">
        <f>TModelo[[#This Row],[Act]]*(EXP(MuCOLCAP+SigmaCOLCAP^2/2)-1)</f>
        <v>0</v>
      </c>
      <c r="J301" s="40">
        <f>TModelo[[#This Row],[Act]]*(EXP(MuTRM+SigmaTRM^2/2)-1)</f>
        <v>0</v>
      </c>
      <c r="K301" s="11">
        <f>TModelo[[#This Row],[Act]]*IF(Rebalanceo="Mensual",1,IF(Rebalanceo="Anual",IF(MOD(TModelo[[#This Row],[Period]]-1,12)=0,1,0),0))</f>
        <v>0</v>
      </c>
      <c r="L301" s="24">
        <f>TModelo[[#This Row],[Act]]*AporteMensual*IF(CrecimientoAporte="Con IPC",F300,1)</f>
        <v>0</v>
      </c>
      <c r="M301" s="24">
        <f>IF(TModelo[[#This Row],[Period]]=HorizonteMeses,TModelo[[#This Row],[TotalPreLiq]],0)</f>
        <v>0</v>
      </c>
      <c r="N301" s="24">
        <f>TModelo[[#This Row],[Inflow]]-TModelo[[#This Row],[Outflow]]</f>
        <v>0</v>
      </c>
      <c r="O301" s="24">
        <f t="shared" si="4"/>
        <v>0</v>
      </c>
      <c r="P301" s="24">
        <f>TModelo[[#This Row],[IntCDT]]+TModelo[[#This Row],[IntCOLCAP]]+TModelo[[#This Row],[IntUSD]]</f>
        <v>0</v>
      </c>
      <c r="Q301" s="24">
        <f>TModelo[[#This Row],[InitialBalance]]+TModelo[[#This Row],[Interest]]+TModelo[[#This Row],[Outflow]]-TModelo[[#This Row],[Inflow]]</f>
        <v>0</v>
      </c>
      <c r="R301" s="24">
        <f>TModelo[[#This Row],[Act]]*IF(TModelo[[#This Row],[Rebal]]=1,PesoCDT*(X300+Y300+Z300),X300)</f>
        <v>0</v>
      </c>
      <c r="S301" s="24">
        <f>TModelo[[#This Row],[Act]]*IF(TModelo[[#This Row],[Rebal]]=1,PesoCOLCAP*(X300+Y300+Z300),Y300)</f>
        <v>0</v>
      </c>
      <c r="T301" s="24">
        <f>TModelo[[#This Row],[Act]]*IF(TModelo[[#This Row],[Rebal]]=1,PesoUSD*(X300+Y300+Z300),Z300)</f>
        <v>0</v>
      </c>
      <c r="U301" s="24">
        <f>TModelo[[#This Row],[IniCDT]]*TModelo[[#This Row],[RetCDT]]</f>
        <v>0</v>
      </c>
      <c r="V301" s="24">
        <f>TModelo[[#This Row],[IniCOLCAP]]*TModelo[[#This Row],[RetCOLCAP]]</f>
        <v>0</v>
      </c>
      <c r="W301" s="24">
        <f>TModelo[[#This Row],[IniUSD]]*TModelo[[#This Row],[RetUSD]]</f>
        <v>0</v>
      </c>
      <c r="X301" s="24">
        <f>TModelo[[#This Row],[Act]]*(TModelo[[#This Row],[IniCDT]]+TModelo[[#This Row],[IntCDT]]+PesoCDT*TModelo[[#This Row],[Outflow]])</f>
        <v>0</v>
      </c>
      <c r="Y301" s="24">
        <f>TModelo[[#This Row],[Act]]*(TModelo[[#This Row],[IniCOLCAP]]+TModelo[[#This Row],[IntCOLCAP]]+PesoCOLCAP*TModelo[[#This Row],[Outflow]])</f>
        <v>0</v>
      </c>
      <c r="Z301" s="24">
        <f>TModelo[[#This Row],[Act]]*(TModelo[[#This Row],[IniUSD]]+TModelo[[#This Row],[IntUSD]]+PesoUSD*TModelo[[#This Row],[Outflow]])</f>
        <v>0</v>
      </c>
      <c r="AA301" s="24">
        <f>TModelo[[#This Row],[BalCDT]]+TModelo[[#This Row],[BalCOLCAP]]+TModelo[[#This Row],[BalUSD]]</f>
        <v>0</v>
      </c>
      <c r="AB301" s="24">
        <f>IF(TModelo[[#This Row],[CumInfl]]&gt;0,TModelo[[#This Row],[TotalPreLiq]]/TModelo[[#This Row],[CumInfl]],0)</f>
        <v>0</v>
      </c>
      <c r="AC301" s="41">
        <f>(1+PerRate)^(-TModelo[[#This Row],[Period]])</f>
        <v>0.11822059398801586</v>
      </c>
      <c r="AD301" s="42">
        <f>TModelo[[#This Row],[NetCF]]*TModelo[[#This Row],[fd]]</f>
        <v>0</v>
      </c>
    </row>
    <row r="302" spans="2:30" ht="16.95" customHeight="1">
      <c r="B302" s="11">
        <v>275</v>
      </c>
      <c r="C302" s="25">
        <f>EDATE(FechaInicio,TModelo[[#This Row],[Period]])</f>
        <v>54664</v>
      </c>
      <c r="D302" s="11">
        <f>IF(AND(TModelo[[#This Row],[Period]]&gt;=1,TModelo[[#This Row],[Period]]&lt;=HorizonteMeses),1,0)</f>
        <v>0</v>
      </c>
      <c r="E302" s="40">
        <f>TModelo[[#This Row],[Act]]*(INFb+(INFpi0-INFb)*(1-INFa)^TModelo[[#This Row],[Period]])</f>
        <v>0</v>
      </c>
      <c r="F302" s="28">
        <f>IF(TModelo[[#This Row],[Period]]&lt;=HorizonteMeses,F301*(1+TModelo[[#This Row],[InflMes]]),0)</f>
        <v>0</v>
      </c>
      <c r="G302" s="21">
        <f>TModelo[[#This Row],[Act]]*(CDTb+(CDTx0-CDTb)*(1-CDTa)^TModelo[[#This Row],[Period]]+CDTspread)</f>
        <v>0</v>
      </c>
      <c r="H302" s="40">
        <f>TModelo[[#This Row],[Act]]*((1+TModelo[[#This Row],[TasaCDT]])^(1/12)-1)*(1-Retencion)</f>
        <v>0</v>
      </c>
      <c r="I302" s="40">
        <f>TModelo[[#This Row],[Act]]*(EXP(MuCOLCAP+SigmaCOLCAP^2/2)-1)</f>
        <v>0</v>
      </c>
      <c r="J302" s="40">
        <f>TModelo[[#This Row],[Act]]*(EXP(MuTRM+SigmaTRM^2/2)-1)</f>
        <v>0</v>
      </c>
      <c r="K302" s="11">
        <f>TModelo[[#This Row],[Act]]*IF(Rebalanceo="Mensual",1,IF(Rebalanceo="Anual",IF(MOD(TModelo[[#This Row],[Period]]-1,12)=0,1,0),0))</f>
        <v>0</v>
      </c>
      <c r="L302" s="24">
        <f>TModelo[[#This Row],[Act]]*AporteMensual*IF(CrecimientoAporte="Con IPC",F301,1)</f>
        <v>0</v>
      </c>
      <c r="M302" s="24">
        <f>IF(TModelo[[#This Row],[Period]]=HorizonteMeses,TModelo[[#This Row],[TotalPreLiq]],0)</f>
        <v>0</v>
      </c>
      <c r="N302" s="24">
        <f>TModelo[[#This Row],[Inflow]]-TModelo[[#This Row],[Outflow]]</f>
        <v>0</v>
      </c>
      <c r="O302" s="24">
        <f t="shared" si="4"/>
        <v>0</v>
      </c>
      <c r="P302" s="24">
        <f>TModelo[[#This Row],[IntCDT]]+TModelo[[#This Row],[IntCOLCAP]]+TModelo[[#This Row],[IntUSD]]</f>
        <v>0</v>
      </c>
      <c r="Q302" s="24">
        <f>TModelo[[#This Row],[InitialBalance]]+TModelo[[#This Row],[Interest]]+TModelo[[#This Row],[Outflow]]-TModelo[[#This Row],[Inflow]]</f>
        <v>0</v>
      </c>
      <c r="R302" s="24">
        <f>TModelo[[#This Row],[Act]]*IF(TModelo[[#This Row],[Rebal]]=1,PesoCDT*(X301+Y301+Z301),X301)</f>
        <v>0</v>
      </c>
      <c r="S302" s="24">
        <f>TModelo[[#This Row],[Act]]*IF(TModelo[[#This Row],[Rebal]]=1,PesoCOLCAP*(X301+Y301+Z301),Y301)</f>
        <v>0</v>
      </c>
      <c r="T302" s="24">
        <f>TModelo[[#This Row],[Act]]*IF(TModelo[[#This Row],[Rebal]]=1,PesoUSD*(X301+Y301+Z301),Z301)</f>
        <v>0</v>
      </c>
      <c r="U302" s="24">
        <f>TModelo[[#This Row],[IniCDT]]*TModelo[[#This Row],[RetCDT]]</f>
        <v>0</v>
      </c>
      <c r="V302" s="24">
        <f>TModelo[[#This Row],[IniCOLCAP]]*TModelo[[#This Row],[RetCOLCAP]]</f>
        <v>0</v>
      </c>
      <c r="W302" s="24">
        <f>TModelo[[#This Row],[IniUSD]]*TModelo[[#This Row],[RetUSD]]</f>
        <v>0</v>
      </c>
      <c r="X302" s="24">
        <f>TModelo[[#This Row],[Act]]*(TModelo[[#This Row],[IniCDT]]+TModelo[[#This Row],[IntCDT]]+PesoCDT*TModelo[[#This Row],[Outflow]])</f>
        <v>0</v>
      </c>
      <c r="Y302" s="24">
        <f>TModelo[[#This Row],[Act]]*(TModelo[[#This Row],[IniCOLCAP]]+TModelo[[#This Row],[IntCOLCAP]]+PesoCOLCAP*TModelo[[#This Row],[Outflow]])</f>
        <v>0</v>
      </c>
      <c r="Z302" s="24">
        <f>TModelo[[#This Row],[Act]]*(TModelo[[#This Row],[IniUSD]]+TModelo[[#This Row],[IntUSD]]+PesoUSD*TModelo[[#This Row],[Outflow]])</f>
        <v>0</v>
      </c>
      <c r="AA302" s="24">
        <f>TModelo[[#This Row],[BalCDT]]+TModelo[[#This Row],[BalCOLCAP]]+TModelo[[#This Row],[BalUSD]]</f>
        <v>0</v>
      </c>
      <c r="AB302" s="24">
        <f>IF(TModelo[[#This Row],[CumInfl]]&gt;0,TModelo[[#This Row],[TotalPreLiq]]/TModelo[[#This Row],[CumInfl]],0)</f>
        <v>0</v>
      </c>
      <c r="AC302" s="41">
        <f>(1+PerRate)^(-TModelo[[#This Row],[Period]])</f>
        <v>0.11730291524896462</v>
      </c>
      <c r="AD302" s="42">
        <f>TModelo[[#This Row],[NetCF]]*TModelo[[#This Row],[fd]]</f>
        <v>0</v>
      </c>
    </row>
    <row r="303" spans="2:30" ht="16.95" customHeight="1">
      <c r="B303" s="11">
        <v>276</v>
      </c>
      <c r="C303" s="25">
        <f>EDATE(FechaInicio,TModelo[[#This Row],[Period]])</f>
        <v>54695</v>
      </c>
      <c r="D303" s="11">
        <f>IF(AND(TModelo[[#This Row],[Period]]&gt;=1,TModelo[[#This Row],[Period]]&lt;=HorizonteMeses),1,0)</f>
        <v>0</v>
      </c>
      <c r="E303" s="40">
        <f>TModelo[[#This Row],[Act]]*(INFb+(INFpi0-INFb)*(1-INFa)^TModelo[[#This Row],[Period]])</f>
        <v>0</v>
      </c>
      <c r="F303" s="28">
        <f>IF(TModelo[[#This Row],[Period]]&lt;=HorizonteMeses,F302*(1+TModelo[[#This Row],[InflMes]]),0)</f>
        <v>0</v>
      </c>
      <c r="G303" s="21">
        <f>TModelo[[#This Row],[Act]]*(CDTb+(CDTx0-CDTb)*(1-CDTa)^TModelo[[#This Row],[Period]]+CDTspread)</f>
        <v>0</v>
      </c>
      <c r="H303" s="40">
        <f>TModelo[[#This Row],[Act]]*((1+TModelo[[#This Row],[TasaCDT]])^(1/12)-1)*(1-Retencion)</f>
        <v>0</v>
      </c>
      <c r="I303" s="40">
        <f>TModelo[[#This Row],[Act]]*(EXP(MuCOLCAP+SigmaCOLCAP^2/2)-1)</f>
        <v>0</v>
      </c>
      <c r="J303" s="40">
        <f>TModelo[[#This Row],[Act]]*(EXP(MuTRM+SigmaTRM^2/2)-1)</f>
        <v>0</v>
      </c>
      <c r="K303" s="11">
        <f>TModelo[[#This Row],[Act]]*IF(Rebalanceo="Mensual",1,IF(Rebalanceo="Anual",IF(MOD(TModelo[[#This Row],[Period]]-1,12)=0,1,0),0))</f>
        <v>0</v>
      </c>
      <c r="L303" s="24">
        <f>TModelo[[#This Row],[Act]]*AporteMensual*IF(CrecimientoAporte="Con IPC",F302,1)</f>
        <v>0</v>
      </c>
      <c r="M303" s="24">
        <f>IF(TModelo[[#This Row],[Period]]=HorizonteMeses,TModelo[[#This Row],[TotalPreLiq]],0)</f>
        <v>0</v>
      </c>
      <c r="N303" s="24">
        <f>TModelo[[#This Row],[Inflow]]-TModelo[[#This Row],[Outflow]]</f>
        <v>0</v>
      </c>
      <c r="O303" s="24">
        <f t="shared" si="4"/>
        <v>0</v>
      </c>
      <c r="P303" s="24">
        <f>TModelo[[#This Row],[IntCDT]]+TModelo[[#This Row],[IntCOLCAP]]+TModelo[[#This Row],[IntUSD]]</f>
        <v>0</v>
      </c>
      <c r="Q303" s="24">
        <f>TModelo[[#This Row],[InitialBalance]]+TModelo[[#This Row],[Interest]]+TModelo[[#This Row],[Outflow]]-TModelo[[#This Row],[Inflow]]</f>
        <v>0</v>
      </c>
      <c r="R303" s="24">
        <f>TModelo[[#This Row],[Act]]*IF(TModelo[[#This Row],[Rebal]]=1,PesoCDT*(X302+Y302+Z302),X302)</f>
        <v>0</v>
      </c>
      <c r="S303" s="24">
        <f>TModelo[[#This Row],[Act]]*IF(TModelo[[#This Row],[Rebal]]=1,PesoCOLCAP*(X302+Y302+Z302),Y302)</f>
        <v>0</v>
      </c>
      <c r="T303" s="24">
        <f>TModelo[[#This Row],[Act]]*IF(TModelo[[#This Row],[Rebal]]=1,PesoUSD*(X302+Y302+Z302),Z302)</f>
        <v>0</v>
      </c>
      <c r="U303" s="24">
        <f>TModelo[[#This Row],[IniCDT]]*TModelo[[#This Row],[RetCDT]]</f>
        <v>0</v>
      </c>
      <c r="V303" s="24">
        <f>TModelo[[#This Row],[IniCOLCAP]]*TModelo[[#This Row],[RetCOLCAP]]</f>
        <v>0</v>
      </c>
      <c r="W303" s="24">
        <f>TModelo[[#This Row],[IniUSD]]*TModelo[[#This Row],[RetUSD]]</f>
        <v>0</v>
      </c>
      <c r="X303" s="24">
        <f>TModelo[[#This Row],[Act]]*(TModelo[[#This Row],[IniCDT]]+TModelo[[#This Row],[IntCDT]]+PesoCDT*TModelo[[#This Row],[Outflow]])</f>
        <v>0</v>
      </c>
      <c r="Y303" s="24">
        <f>TModelo[[#This Row],[Act]]*(TModelo[[#This Row],[IniCOLCAP]]+TModelo[[#This Row],[IntCOLCAP]]+PesoCOLCAP*TModelo[[#This Row],[Outflow]])</f>
        <v>0</v>
      </c>
      <c r="Z303" s="24">
        <f>TModelo[[#This Row],[Act]]*(TModelo[[#This Row],[IniUSD]]+TModelo[[#This Row],[IntUSD]]+PesoUSD*TModelo[[#This Row],[Outflow]])</f>
        <v>0</v>
      </c>
      <c r="AA303" s="24">
        <f>TModelo[[#This Row],[BalCDT]]+TModelo[[#This Row],[BalCOLCAP]]+TModelo[[#This Row],[BalUSD]]</f>
        <v>0</v>
      </c>
      <c r="AB303" s="24">
        <f>IF(TModelo[[#This Row],[CumInfl]]&gt;0,TModelo[[#This Row],[TotalPreLiq]]/TModelo[[#This Row],[CumInfl]],0)</f>
        <v>0</v>
      </c>
      <c r="AC303" s="41">
        <f>(1+PerRate)^(-TModelo[[#This Row],[Period]])</f>
        <v>0.11639235992419933</v>
      </c>
      <c r="AD303" s="42">
        <f>TModelo[[#This Row],[NetCF]]*TModelo[[#This Row],[fd]]</f>
        <v>0</v>
      </c>
    </row>
    <row r="304" spans="2:30" ht="16.95" customHeight="1">
      <c r="B304" s="11">
        <v>277</v>
      </c>
      <c r="C304" s="25">
        <f>EDATE(FechaInicio,TModelo[[#This Row],[Period]])</f>
        <v>54725</v>
      </c>
      <c r="D304" s="11">
        <f>IF(AND(TModelo[[#This Row],[Period]]&gt;=1,TModelo[[#This Row],[Period]]&lt;=HorizonteMeses),1,0)</f>
        <v>0</v>
      </c>
      <c r="E304" s="40">
        <f>TModelo[[#This Row],[Act]]*(INFb+(INFpi0-INFb)*(1-INFa)^TModelo[[#This Row],[Period]])</f>
        <v>0</v>
      </c>
      <c r="F304" s="28">
        <f>IF(TModelo[[#This Row],[Period]]&lt;=HorizonteMeses,F303*(1+TModelo[[#This Row],[InflMes]]),0)</f>
        <v>0</v>
      </c>
      <c r="G304" s="21">
        <f>TModelo[[#This Row],[Act]]*(CDTb+(CDTx0-CDTb)*(1-CDTa)^TModelo[[#This Row],[Period]]+CDTspread)</f>
        <v>0</v>
      </c>
      <c r="H304" s="40">
        <f>TModelo[[#This Row],[Act]]*((1+TModelo[[#This Row],[TasaCDT]])^(1/12)-1)*(1-Retencion)</f>
        <v>0</v>
      </c>
      <c r="I304" s="40">
        <f>TModelo[[#This Row],[Act]]*(EXP(MuCOLCAP+SigmaCOLCAP^2/2)-1)</f>
        <v>0</v>
      </c>
      <c r="J304" s="40">
        <f>TModelo[[#This Row],[Act]]*(EXP(MuTRM+SigmaTRM^2/2)-1)</f>
        <v>0</v>
      </c>
      <c r="K304" s="11">
        <f>TModelo[[#This Row],[Act]]*IF(Rebalanceo="Mensual",1,IF(Rebalanceo="Anual",IF(MOD(TModelo[[#This Row],[Period]]-1,12)=0,1,0),0))</f>
        <v>0</v>
      </c>
      <c r="L304" s="24">
        <f>TModelo[[#This Row],[Act]]*AporteMensual*IF(CrecimientoAporte="Con IPC",F303,1)</f>
        <v>0</v>
      </c>
      <c r="M304" s="24">
        <f>IF(TModelo[[#This Row],[Period]]=HorizonteMeses,TModelo[[#This Row],[TotalPreLiq]],0)</f>
        <v>0</v>
      </c>
      <c r="N304" s="24">
        <f>TModelo[[#This Row],[Inflow]]-TModelo[[#This Row],[Outflow]]</f>
        <v>0</v>
      </c>
      <c r="O304" s="24">
        <f t="shared" si="4"/>
        <v>0</v>
      </c>
      <c r="P304" s="24">
        <f>TModelo[[#This Row],[IntCDT]]+TModelo[[#This Row],[IntCOLCAP]]+TModelo[[#This Row],[IntUSD]]</f>
        <v>0</v>
      </c>
      <c r="Q304" s="24">
        <f>TModelo[[#This Row],[InitialBalance]]+TModelo[[#This Row],[Interest]]+TModelo[[#This Row],[Outflow]]-TModelo[[#This Row],[Inflow]]</f>
        <v>0</v>
      </c>
      <c r="R304" s="24">
        <f>TModelo[[#This Row],[Act]]*IF(TModelo[[#This Row],[Rebal]]=1,PesoCDT*(X303+Y303+Z303),X303)</f>
        <v>0</v>
      </c>
      <c r="S304" s="24">
        <f>TModelo[[#This Row],[Act]]*IF(TModelo[[#This Row],[Rebal]]=1,PesoCOLCAP*(X303+Y303+Z303),Y303)</f>
        <v>0</v>
      </c>
      <c r="T304" s="24">
        <f>TModelo[[#This Row],[Act]]*IF(TModelo[[#This Row],[Rebal]]=1,PesoUSD*(X303+Y303+Z303),Z303)</f>
        <v>0</v>
      </c>
      <c r="U304" s="24">
        <f>TModelo[[#This Row],[IniCDT]]*TModelo[[#This Row],[RetCDT]]</f>
        <v>0</v>
      </c>
      <c r="V304" s="24">
        <f>TModelo[[#This Row],[IniCOLCAP]]*TModelo[[#This Row],[RetCOLCAP]]</f>
        <v>0</v>
      </c>
      <c r="W304" s="24">
        <f>TModelo[[#This Row],[IniUSD]]*TModelo[[#This Row],[RetUSD]]</f>
        <v>0</v>
      </c>
      <c r="X304" s="24">
        <f>TModelo[[#This Row],[Act]]*(TModelo[[#This Row],[IniCDT]]+TModelo[[#This Row],[IntCDT]]+PesoCDT*TModelo[[#This Row],[Outflow]])</f>
        <v>0</v>
      </c>
      <c r="Y304" s="24">
        <f>TModelo[[#This Row],[Act]]*(TModelo[[#This Row],[IniCOLCAP]]+TModelo[[#This Row],[IntCOLCAP]]+PesoCOLCAP*TModelo[[#This Row],[Outflow]])</f>
        <v>0</v>
      </c>
      <c r="Z304" s="24">
        <f>TModelo[[#This Row],[Act]]*(TModelo[[#This Row],[IniUSD]]+TModelo[[#This Row],[IntUSD]]+PesoUSD*TModelo[[#This Row],[Outflow]])</f>
        <v>0</v>
      </c>
      <c r="AA304" s="24">
        <f>TModelo[[#This Row],[BalCDT]]+TModelo[[#This Row],[BalCOLCAP]]+TModelo[[#This Row],[BalUSD]]</f>
        <v>0</v>
      </c>
      <c r="AB304" s="24">
        <f>IF(TModelo[[#This Row],[CumInfl]]&gt;0,TModelo[[#This Row],[TotalPreLiq]]/TModelo[[#This Row],[CumInfl]],0)</f>
        <v>0</v>
      </c>
      <c r="AC304" s="41">
        <f>(1+PerRate)^(-TModelo[[#This Row],[Period]])</f>
        <v>0.11548887271873609</v>
      </c>
      <c r="AD304" s="42">
        <f>TModelo[[#This Row],[NetCF]]*TModelo[[#This Row],[fd]]</f>
        <v>0</v>
      </c>
    </row>
    <row r="305" spans="2:30" ht="16.95" customHeight="1">
      <c r="B305" s="11">
        <v>278</v>
      </c>
      <c r="C305" s="25">
        <f>EDATE(FechaInicio,TModelo[[#This Row],[Period]])</f>
        <v>54756</v>
      </c>
      <c r="D305" s="11">
        <f>IF(AND(TModelo[[#This Row],[Period]]&gt;=1,TModelo[[#This Row],[Period]]&lt;=HorizonteMeses),1,0)</f>
        <v>0</v>
      </c>
      <c r="E305" s="40">
        <f>TModelo[[#This Row],[Act]]*(INFb+(INFpi0-INFb)*(1-INFa)^TModelo[[#This Row],[Period]])</f>
        <v>0</v>
      </c>
      <c r="F305" s="28">
        <f>IF(TModelo[[#This Row],[Period]]&lt;=HorizonteMeses,F304*(1+TModelo[[#This Row],[InflMes]]),0)</f>
        <v>0</v>
      </c>
      <c r="G305" s="21">
        <f>TModelo[[#This Row],[Act]]*(CDTb+(CDTx0-CDTb)*(1-CDTa)^TModelo[[#This Row],[Period]]+CDTspread)</f>
        <v>0</v>
      </c>
      <c r="H305" s="40">
        <f>TModelo[[#This Row],[Act]]*((1+TModelo[[#This Row],[TasaCDT]])^(1/12)-1)*(1-Retencion)</f>
        <v>0</v>
      </c>
      <c r="I305" s="40">
        <f>TModelo[[#This Row],[Act]]*(EXP(MuCOLCAP+SigmaCOLCAP^2/2)-1)</f>
        <v>0</v>
      </c>
      <c r="J305" s="40">
        <f>TModelo[[#This Row],[Act]]*(EXP(MuTRM+SigmaTRM^2/2)-1)</f>
        <v>0</v>
      </c>
      <c r="K305" s="11">
        <f>TModelo[[#This Row],[Act]]*IF(Rebalanceo="Mensual",1,IF(Rebalanceo="Anual",IF(MOD(TModelo[[#This Row],[Period]]-1,12)=0,1,0),0))</f>
        <v>0</v>
      </c>
      <c r="L305" s="24">
        <f>TModelo[[#This Row],[Act]]*AporteMensual*IF(CrecimientoAporte="Con IPC",F304,1)</f>
        <v>0</v>
      </c>
      <c r="M305" s="24">
        <f>IF(TModelo[[#This Row],[Period]]=HorizonteMeses,TModelo[[#This Row],[TotalPreLiq]],0)</f>
        <v>0</v>
      </c>
      <c r="N305" s="24">
        <f>TModelo[[#This Row],[Inflow]]-TModelo[[#This Row],[Outflow]]</f>
        <v>0</v>
      </c>
      <c r="O305" s="24">
        <f t="shared" si="4"/>
        <v>0</v>
      </c>
      <c r="P305" s="24">
        <f>TModelo[[#This Row],[IntCDT]]+TModelo[[#This Row],[IntCOLCAP]]+TModelo[[#This Row],[IntUSD]]</f>
        <v>0</v>
      </c>
      <c r="Q305" s="24">
        <f>TModelo[[#This Row],[InitialBalance]]+TModelo[[#This Row],[Interest]]+TModelo[[#This Row],[Outflow]]-TModelo[[#This Row],[Inflow]]</f>
        <v>0</v>
      </c>
      <c r="R305" s="24">
        <f>TModelo[[#This Row],[Act]]*IF(TModelo[[#This Row],[Rebal]]=1,PesoCDT*(X304+Y304+Z304),X304)</f>
        <v>0</v>
      </c>
      <c r="S305" s="24">
        <f>TModelo[[#This Row],[Act]]*IF(TModelo[[#This Row],[Rebal]]=1,PesoCOLCAP*(X304+Y304+Z304),Y304)</f>
        <v>0</v>
      </c>
      <c r="T305" s="24">
        <f>TModelo[[#This Row],[Act]]*IF(TModelo[[#This Row],[Rebal]]=1,PesoUSD*(X304+Y304+Z304),Z304)</f>
        <v>0</v>
      </c>
      <c r="U305" s="24">
        <f>TModelo[[#This Row],[IniCDT]]*TModelo[[#This Row],[RetCDT]]</f>
        <v>0</v>
      </c>
      <c r="V305" s="24">
        <f>TModelo[[#This Row],[IniCOLCAP]]*TModelo[[#This Row],[RetCOLCAP]]</f>
        <v>0</v>
      </c>
      <c r="W305" s="24">
        <f>TModelo[[#This Row],[IniUSD]]*TModelo[[#This Row],[RetUSD]]</f>
        <v>0</v>
      </c>
      <c r="X305" s="24">
        <f>TModelo[[#This Row],[Act]]*(TModelo[[#This Row],[IniCDT]]+TModelo[[#This Row],[IntCDT]]+PesoCDT*TModelo[[#This Row],[Outflow]])</f>
        <v>0</v>
      </c>
      <c r="Y305" s="24">
        <f>TModelo[[#This Row],[Act]]*(TModelo[[#This Row],[IniCOLCAP]]+TModelo[[#This Row],[IntCOLCAP]]+PesoCOLCAP*TModelo[[#This Row],[Outflow]])</f>
        <v>0</v>
      </c>
      <c r="Z305" s="24">
        <f>TModelo[[#This Row],[Act]]*(TModelo[[#This Row],[IniUSD]]+TModelo[[#This Row],[IntUSD]]+PesoUSD*TModelo[[#This Row],[Outflow]])</f>
        <v>0</v>
      </c>
      <c r="AA305" s="24">
        <f>TModelo[[#This Row],[BalCDT]]+TModelo[[#This Row],[BalCOLCAP]]+TModelo[[#This Row],[BalUSD]]</f>
        <v>0</v>
      </c>
      <c r="AB305" s="24">
        <f>IF(TModelo[[#This Row],[CumInfl]]&gt;0,TModelo[[#This Row],[TotalPreLiq]]/TModelo[[#This Row],[CumInfl]],0)</f>
        <v>0</v>
      </c>
      <c r="AC305" s="41">
        <f>(1+PerRate)^(-TModelo[[#This Row],[Period]])</f>
        <v>0.11459239876681433</v>
      </c>
      <c r="AD305" s="42">
        <f>TModelo[[#This Row],[NetCF]]*TModelo[[#This Row],[fd]]</f>
        <v>0</v>
      </c>
    </row>
    <row r="306" spans="2:30" ht="16.95" customHeight="1">
      <c r="B306" s="11">
        <v>279</v>
      </c>
      <c r="C306" s="25">
        <f>EDATE(FechaInicio,TModelo[[#This Row],[Period]])</f>
        <v>54786</v>
      </c>
      <c r="D306" s="11">
        <f>IF(AND(TModelo[[#This Row],[Period]]&gt;=1,TModelo[[#This Row],[Period]]&lt;=HorizonteMeses),1,0)</f>
        <v>0</v>
      </c>
      <c r="E306" s="40">
        <f>TModelo[[#This Row],[Act]]*(INFb+(INFpi0-INFb)*(1-INFa)^TModelo[[#This Row],[Period]])</f>
        <v>0</v>
      </c>
      <c r="F306" s="28">
        <f>IF(TModelo[[#This Row],[Period]]&lt;=HorizonteMeses,F305*(1+TModelo[[#This Row],[InflMes]]),0)</f>
        <v>0</v>
      </c>
      <c r="G306" s="21">
        <f>TModelo[[#This Row],[Act]]*(CDTb+(CDTx0-CDTb)*(1-CDTa)^TModelo[[#This Row],[Period]]+CDTspread)</f>
        <v>0</v>
      </c>
      <c r="H306" s="40">
        <f>TModelo[[#This Row],[Act]]*((1+TModelo[[#This Row],[TasaCDT]])^(1/12)-1)*(1-Retencion)</f>
        <v>0</v>
      </c>
      <c r="I306" s="40">
        <f>TModelo[[#This Row],[Act]]*(EXP(MuCOLCAP+SigmaCOLCAP^2/2)-1)</f>
        <v>0</v>
      </c>
      <c r="J306" s="40">
        <f>TModelo[[#This Row],[Act]]*(EXP(MuTRM+SigmaTRM^2/2)-1)</f>
        <v>0</v>
      </c>
      <c r="K306" s="11">
        <f>TModelo[[#This Row],[Act]]*IF(Rebalanceo="Mensual",1,IF(Rebalanceo="Anual",IF(MOD(TModelo[[#This Row],[Period]]-1,12)=0,1,0),0))</f>
        <v>0</v>
      </c>
      <c r="L306" s="24">
        <f>TModelo[[#This Row],[Act]]*AporteMensual*IF(CrecimientoAporte="Con IPC",F305,1)</f>
        <v>0</v>
      </c>
      <c r="M306" s="24">
        <f>IF(TModelo[[#This Row],[Period]]=HorizonteMeses,TModelo[[#This Row],[TotalPreLiq]],0)</f>
        <v>0</v>
      </c>
      <c r="N306" s="24">
        <f>TModelo[[#This Row],[Inflow]]-TModelo[[#This Row],[Outflow]]</f>
        <v>0</v>
      </c>
      <c r="O306" s="24">
        <f t="shared" si="4"/>
        <v>0</v>
      </c>
      <c r="P306" s="24">
        <f>TModelo[[#This Row],[IntCDT]]+TModelo[[#This Row],[IntCOLCAP]]+TModelo[[#This Row],[IntUSD]]</f>
        <v>0</v>
      </c>
      <c r="Q306" s="24">
        <f>TModelo[[#This Row],[InitialBalance]]+TModelo[[#This Row],[Interest]]+TModelo[[#This Row],[Outflow]]-TModelo[[#This Row],[Inflow]]</f>
        <v>0</v>
      </c>
      <c r="R306" s="24">
        <f>TModelo[[#This Row],[Act]]*IF(TModelo[[#This Row],[Rebal]]=1,PesoCDT*(X305+Y305+Z305),X305)</f>
        <v>0</v>
      </c>
      <c r="S306" s="24">
        <f>TModelo[[#This Row],[Act]]*IF(TModelo[[#This Row],[Rebal]]=1,PesoCOLCAP*(X305+Y305+Z305),Y305)</f>
        <v>0</v>
      </c>
      <c r="T306" s="24">
        <f>TModelo[[#This Row],[Act]]*IF(TModelo[[#This Row],[Rebal]]=1,PesoUSD*(X305+Y305+Z305),Z305)</f>
        <v>0</v>
      </c>
      <c r="U306" s="24">
        <f>TModelo[[#This Row],[IniCDT]]*TModelo[[#This Row],[RetCDT]]</f>
        <v>0</v>
      </c>
      <c r="V306" s="24">
        <f>TModelo[[#This Row],[IniCOLCAP]]*TModelo[[#This Row],[RetCOLCAP]]</f>
        <v>0</v>
      </c>
      <c r="W306" s="24">
        <f>TModelo[[#This Row],[IniUSD]]*TModelo[[#This Row],[RetUSD]]</f>
        <v>0</v>
      </c>
      <c r="X306" s="24">
        <f>TModelo[[#This Row],[Act]]*(TModelo[[#This Row],[IniCDT]]+TModelo[[#This Row],[IntCDT]]+PesoCDT*TModelo[[#This Row],[Outflow]])</f>
        <v>0</v>
      </c>
      <c r="Y306" s="24">
        <f>TModelo[[#This Row],[Act]]*(TModelo[[#This Row],[IniCOLCAP]]+TModelo[[#This Row],[IntCOLCAP]]+PesoCOLCAP*TModelo[[#This Row],[Outflow]])</f>
        <v>0</v>
      </c>
      <c r="Z306" s="24">
        <f>TModelo[[#This Row],[Act]]*(TModelo[[#This Row],[IniUSD]]+TModelo[[#This Row],[IntUSD]]+PesoUSD*TModelo[[#This Row],[Outflow]])</f>
        <v>0</v>
      </c>
      <c r="AA306" s="24">
        <f>TModelo[[#This Row],[BalCDT]]+TModelo[[#This Row],[BalCOLCAP]]+TModelo[[#This Row],[BalUSD]]</f>
        <v>0</v>
      </c>
      <c r="AB306" s="24">
        <f>IF(TModelo[[#This Row],[CumInfl]]&gt;0,TModelo[[#This Row],[TotalPreLiq]]/TModelo[[#This Row],[CumInfl]],0)</f>
        <v>0</v>
      </c>
      <c r="AC306" s="41">
        <f>(1+PerRate)^(-TModelo[[#This Row],[Period]])</f>
        <v>0.11370288362856483</v>
      </c>
      <c r="AD306" s="42">
        <f>TModelo[[#This Row],[NetCF]]*TModelo[[#This Row],[fd]]</f>
        <v>0</v>
      </c>
    </row>
    <row r="307" spans="2:30" ht="16.95" customHeight="1">
      <c r="B307" s="11">
        <v>280</v>
      </c>
      <c r="C307" s="25">
        <f>EDATE(FechaInicio,TModelo[[#This Row],[Period]])</f>
        <v>54817</v>
      </c>
      <c r="D307" s="11">
        <f>IF(AND(TModelo[[#This Row],[Period]]&gt;=1,TModelo[[#This Row],[Period]]&lt;=HorizonteMeses),1,0)</f>
        <v>0</v>
      </c>
      <c r="E307" s="40">
        <f>TModelo[[#This Row],[Act]]*(INFb+(INFpi0-INFb)*(1-INFa)^TModelo[[#This Row],[Period]])</f>
        <v>0</v>
      </c>
      <c r="F307" s="28">
        <f>IF(TModelo[[#This Row],[Period]]&lt;=HorizonteMeses,F306*(1+TModelo[[#This Row],[InflMes]]),0)</f>
        <v>0</v>
      </c>
      <c r="G307" s="21">
        <f>TModelo[[#This Row],[Act]]*(CDTb+(CDTx0-CDTb)*(1-CDTa)^TModelo[[#This Row],[Period]]+CDTspread)</f>
        <v>0</v>
      </c>
      <c r="H307" s="40">
        <f>TModelo[[#This Row],[Act]]*((1+TModelo[[#This Row],[TasaCDT]])^(1/12)-1)*(1-Retencion)</f>
        <v>0</v>
      </c>
      <c r="I307" s="40">
        <f>TModelo[[#This Row],[Act]]*(EXP(MuCOLCAP+SigmaCOLCAP^2/2)-1)</f>
        <v>0</v>
      </c>
      <c r="J307" s="40">
        <f>TModelo[[#This Row],[Act]]*(EXP(MuTRM+SigmaTRM^2/2)-1)</f>
        <v>0</v>
      </c>
      <c r="K307" s="11">
        <f>TModelo[[#This Row],[Act]]*IF(Rebalanceo="Mensual",1,IF(Rebalanceo="Anual",IF(MOD(TModelo[[#This Row],[Period]]-1,12)=0,1,0),0))</f>
        <v>0</v>
      </c>
      <c r="L307" s="24">
        <f>TModelo[[#This Row],[Act]]*AporteMensual*IF(CrecimientoAporte="Con IPC",F306,1)</f>
        <v>0</v>
      </c>
      <c r="M307" s="24">
        <f>IF(TModelo[[#This Row],[Period]]=HorizonteMeses,TModelo[[#This Row],[TotalPreLiq]],0)</f>
        <v>0</v>
      </c>
      <c r="N307" s="24">
        <f>TModelo[[#This Row],[Inflow]]-TModelo[[#This Row],[Outflow]]</f>
        <v>0</v>
      </c>
      <c r="O307" s="24">
        <f t="shared" si="4"/>
        <v>0</v>
      </c>
      <c r="P307" s="24">
        <f>TModelo[[#This Row],[IntCDT]]+TModelo[[#This Row],[IntCOLCAP]]+TModelo[[#This Row],[IntUSD]]</f>
        <v>0</v>
      </c>
      <c r="Q307" s="24">
        <f>TModelo[[#This Row],[InitialBalance]]+TModelo[[#This Row],[Interest]]+TModelo[[#This Row],[Outflow]]-TModelo[[#This Row],[Inflow]]</f>
        <v>0</v>
      </c>
      <c r="R307" s="24">
        <f>TModelo[[#This Row],[Act]]*IF(TModelo[[#This Row],[Rebal]]=1,PesoCDT*(X306+Y306+Z306),X306)</f>
        <v>0</v>
      </c>
      <c r="S307" s="24">
        <f>TModelo[[#This Row],[Act]]*IF(TModelo[[#This Row],[Rebal]]=1,PesoCOLCAP*(X306+Y306+Z306),Y306)</f>
        <v>0</v>
      </c>
      <c r="T307" s="24">
        <f>TModelo[[#This Row],[Act]]*IF(TModelo[[#This Row],[Rebal]]=1,PesoUSD*(X306+Y306+Z306),Z306)</f>
        <v>0</v>
      </c>
      <c r="U307" s="24">
        <f>TModelo[[#This Row],[IniCDT]]*TModelo[[#This Row],[RetCDT]]</f>
        <v>0</v>
      </c>
      <c r="V307" s="24">
        <f>TModelo[[#This Row],[IniCOLCAP]]*TModelo[[#This Row],[RetCOLCAP]]</f>
        <v>0</v>
      </c>
      <c r="W307" s="24">
        <f>TModelo[[#This Row],[IniUSD]]*TModelo[[#This Row],[RetUSD]]</f>
        <v>0</v>
      </c>
      <c r="X307" s="24">
        <f>TModelo[[#This Row],[Act]]*(TModelo[[#This Row],[IniCDT]]+TModelo[[#This Row],[IntCDT]]+PesoCDT*TModelo[[#This Row],[Outflow]])</f>
        <v>0</v>
      </c>
      <c r="Y307" s="24">
        <f>TModelo[[#This Row],[Act]]*(TModelo[[#This Row],[IniCOLCAP]]+TModelo[[#This Row],[IntCOLCAP]]+PesoCOLCAP*TModelo[[#This Row],[Outflow]])</f>
        <v>0</v>
      </c>
      <c r="Z307" s="24">
        <f>TModelo[[#This Row],[Act]]*(TModelo[[#This Row],[IniUSD]]+TModelo[[#This Row],[IntUSD]]+PesoUSD*TModelo[[#This Row],[Outflow]])</f>
        <v>0</v>
      </c>
      <c r="AA307" s="24">
        <f>TModelo[[#This Row],[BalCDT]]+TModelo[[#This Row],[BalCOLCAP]]+TModelo[[#This Row],[BalUSD]]</f>
        <v>0</v>
      </c>
      <c r="AB307" s="24">
        <f>IF(TModelo[[#This Row],[CumInfl]]&gt;0,TModelo[[#This Row],[TotalPreLiq]]/TModelo[[#This Row],[CumInfl]],0)</f>
        <v>0</v>
      </c>
      <c r="AC307" s="41">
        <f>(1+PerRate)^(-TModelo[[#This Row],[Period]])</f>
        <v>0.11282027328670405</v>
      </c>
      <c r="AD307" s="42">
        <f>TModelo[[#This Row],[NetCF]]*TModelo[[#This Row],[fd]]</f>
        <v>0</v>
      </c>
    </row>
    <row r="308" spans="2:30" ht="16.95" customHeight="1">
      <c r="B308" s="11">
        <v>281</v>
      </c>
      <c r="C308" s="25">
        <f>EDATE(FechaInicio,TModelo[[#This Row],[Period]])</f>
        <v>54847</v>
      </c>
      <c r="D308" s="11">
        <f>IF(AND(TModelo[[#This Row],[Period]]&gt;=1,TModelo[[#This Row],[Period]]&lt;=HorizonteMeses),1,0)</f>
        <v>0</v>
      </c>
      <c r="E308" s="40">
        <f>TModelo[[#This Row],[Act]]*(INFb+(INFpi0-INFb)*(1-INFa)^TModelo[[#This Row],[Period]])</f>
        <v>0</v>
      </c>
      <c r="F308" s="28">
        <f>IF(TModelo[[#This Row],[Period]]&lt;=HorizonteMeses,F307*(1+TModelo[[#This Row],[InflMes]]),0)</f>
        <v>0</v>
      </c>
      <c r="G308" s="21">
        <f>TModelo[[#This Row],[Act]]*(CDTb+(CDTx0-CDTb)*(1-CDTa)^TModelo[[#This Row],[Period]]+CDTspread)</f>
        <v>0</v>
      </c>
      <c r="H308" s="40">
        <f>TModelo[[#This Row],[Act]]*((1+TModelo[[#This Row],[TasaCDT]])^(1/12)-1)*(1-Retencion)</f>
        <v>0</v>
      </c>
      <c r="I308" s="40">
        <f>TModelo[[#This Row],[Act]]*(EXP(MuCOLCAP+SigmaCOLCAP^2/2)-1)</f>
        <v>0</v>
      </c>
      <c r="J308" s="40">
        <f>TModelo[[#This Row],[Act]]*(EXP(MuTRM+SigmaTRM^2/2)-1)</f>
        <v>0</v>
      </c>
      <c r="K308" s="11">
        <f>TModelo[[#This Row],[Act]]*IF(Rebalanceo="Mensual",1,IF(Rebalanceo="Anual",IF(MOD(TModelo[[#This Row],[Period]]-1,12)=0,1,0),0))</f>
        <v>0</v>
      </c>
      <c r="L308" s="24">
        <f>TModelo[[#This Row],[Act]]*AporteMensual*IF(CrecimientoAporte="Con IPC",F307,1)</f>
        <v>0</v>
      </c>
      <c r="M308" s="24">
        <f>IF(TModelo[[#This Row],[Period]]=HorizonteMeses,TModelo[[#This Row],[TotalPreLiq]],0)</f>
        <v>0</v>
      </c>
      <c r="N308" s="24">
        <f>TModelo[[#This Row],[Inflow]]-TModelo[[#This Row],[Outflow]]</f>
        <v>0</v>
      </c>
      <c r="O308" s="24">
        <f t="shared" si="4"/>
        <v>0</v>
      </c>
      <c r="P308" s="24">
        <f>TModelo[[#This Row],[IntCDT]]+TModelo[[#This Row],[IntCOLCAP]]+TModelo[[#This Row],[IntUSD]]</f>
        <v>0</v>
      </c>
      <c r="Q308" s="24">
        <f>TModelo[[#This Row],[InitialBalance]]+TModelo[[#This Row],[Interest]]+TModelo[[#This Row],[Outflow]]-TModelo[[#This Row],[Inflow]]</f>
        <v>0</v>
      </c>
      <c r="R308" s="24">
        <f>TModelo[[#This Row],[Act]]*IF(TModelo[[#This Row],[Rebal]]=1,PesoCDT*(X307+Y307+Z307),X307)</f>
        <v>0</v>
      </c>
      <c r="S308" s="24">
        <f>TModelo[[#This Row],[Act]]*IF(TModelo[[#This Row],[Rebal]]=1,PesoCOLCAP*(X307+Y307+Z307),Y307)</f>
        <v>0</v>
      </c>
      <c r="T308" s="24">
        <f>TModelo[[#This Row],[Act]]*IF(TModelo[[#This Row],[Rebal]]=1,PesoUSD*(X307+Y307+Z307),Z307)</f>
        <v>0</v>
      </c>
      <c r="U308" s="24">
        <f>TModelo[[#This Row],[IniCDT]]*TModelo[[#This Row],[RetCDT]]</f>
        <v>0</v>
      </c>
      <c r="V308" s="24">
        <f>TModelo[[#This Row],[IniCOLCAP]]*TModelo[[#This Row],[RetCOLCAP]]</f>
        <v>0</v>
      </c>
      <c r="W308" s="24">
        <f>TModelo[[#This Row],[IniUSD]]*TModelo[[#This Row],[RetUSD]]</f>
        <v>0</v>
      </c>
      <c r="X308" s="24">
        <f>TModelo[[#This Row],[Act]]*(TModelo[[#This Row],[IniCDT]]+TModelo[[#This Row],[IntCDT]]+PesoCDT*TModelo[[#This Row],[Outflow]])</f>
        <v>0</v>
      </c>
      <c r="Y308" s="24">
        <f>TModelo[[#This Row],[Act]]*(TModelo[[#This Row],[IniCOLCAP]]+TModelo[[#This Row],[IntCOLCAP]]+PesoCOLCAP*TModelo[[#This Row],[Outflow]])</f>
        <v>0</v>
      </c>
      <c r="Z308" s="24">
        <f>TModelo[[#This Row],[Act]]*(TModelo[[#This Row],[IniUSD]]+TModelo[[#This Row],[IntUSD]]+PesoUSD*TModelo[[#This Row],[Outflow]])</f>
        <v>0</v>
      </c>
      <c r="AA308" s="24">
        <f>TModelo[[#This Row],[BalCDT]]+TModelo[[#This Row],[BalCOLCAP]]+TModelo[[#This Row],[BalUSD]]</f>
        <v>0</v>
      </c>
      <c r="AB308" s="24">
        <f>IF(TModelo[[#This Row],[CumInfl]]&gt;0,TModelo[[#This Row],[TotalPreLiq]]/TModelo[[#This Row],[CumInfl]],0)</f>
        <v>0</v>
      </c>
      <c r="AC308" s="41">
        <f>(1+PerRate)^(-TModelo[[#This Row],[Period]])</f>
        <v>0.11194451414325352</v>
      </c>
      <c r="AD308" s="42">
        <f>TModelo[[#This Row],[NetCF]]*TModelo[[#This Row],[fd]]</f>
        <v>0</v>
      </c>
    </row>
    <row r="309" spans="2:30" ht="16.95" customHeight="1">
      <c r="B309" s="11">
        <v>282</v>
      </c>
      <c r="C309" s="25">
        <f>EDATE(FechaInicio,TModelo[[#This Row],[Period]])</f>
        <v>54876</v>
      </c>
      <c r="D309" s="11">
        <f>IF(AND(TModelo[[#This Row],[Period]]&gt;=1,TModelo[[#This Row],[Period]]&lt;=HorizonteMeses),1,0)</f>
        <v>0</v>
      </c>
      <c r="E309" s="40">
        <f>TModelo[[#This Row],[Act]]*(INFb+(INFpi0-INFb)*(1-INFa)^TModelo[[#This Row],[Period]])</f>
        <v>0</v>
      </c>
      <c r="F309" s="28">
        <f>IF(TModelo[[#This Row],[Period]]&lt;=HorizonteMeses,F308*(1+TModelo[[#This Row],[InflMes]]),0)</f>
        <v>0</v>
      </c>
      <c r="G309" s="21">
        <f>TModelo[[#This Row],[Act]]*(CDTb+(CDTx0-CDTb)*(1-CDTa)^TModelo[[#This Row],[Period]]+CDTspread)</f>
        <v>0</v>
      </c>
      <c r="H309" s="40">
        <f>TModelo[[#This Row],[Act]]*((1+TModelo[[#This Row],[TasaCDT]])^(1/12)-1)*(1-Retencion)</f>
        <v>0</v>
      </c>
      <c r="I309" s="40">
        <f>TModelo[[#This Row],[Act]]*(EXP(MuCOLCAP+SigmaCOLCAP^2/2)-1)</f>
        <v>0</v>
      </c>
      <c r="J309" s="40">
        <f>TModelo[[#This Row],[Act]]*(EXP(MuTRM+SigmaTRM^2/2)-1)</f>
        <v>0</v>
      </c>
      <c r="K309" s="11">
        <f>TModelo[[#This Row],[Act]]*IF(Rebalanceo="Mensual",1,IF(Rebalanceo="Anual",IF(MOD(TModelo[[#This Row],[Period]]-1,12)=0,1,0),0))</f>
        <v>0</v>
      </c>
      <c r="L309" s="24">
        <f>TModelo[[#This Row],[Act]]*AporteMensual*IF(CrecimientoAporte="Con IPC",F308,1)</f>
        <v>0</v>
      </c>
      <c r="M309" s="24">
        <f>IF(TModelo[[#This Row],[Period]]=HorizonteMeses,TModelo[[#This Row],[TotalPreLiq]],0)</f>
        <v>0</v>
      </c>
      <c r="N309" s="24">
        <f>TModelo[[#This Row],[Inflow]]-TModelo[[#This Row],[Outflow]]</f>
        <v>0</v>
      </c>
      <c r="O309" s="24">
        <f t="shared" si="4"/>
        <v>0</v>
      </c>
      <c r="P309" s="24">
        <f>TModelo[[#This Row],[IntCDT]]+TModelo[[#This Row],[IntCOLCAP]]+TModelo[[#This Row],[IntUSD]]</f>
        <v>0</v>
      </c>
      <c r="Q309" s="24">
        <f>TModelo[[#This Row],[InitialBalance]]+TModelo[[#This Row],[Interest]]+TModelo[[#This Row],[Outflow]]-TModelo[[#This Row],[Inflow]]</f>
        <v>0</v>
      </c>
      <c r="R309" s="24">
        <f>TModelo[[#This Row],[Act]]*IF(TModelo[[#This Row],[Rebal]]=1,PesoCDT*(X308+Y308+Z308),X308)</f>
        <v>0</v>
      </c>
      <c r="S309" s="24">
        <f>TModelo[[#This Row],[Act]]*IF(TModelo[[#This Row],[Rebal]]=1,PesoCOLCAP*(X308+Y308+Z308),Y308)</f>
        <v>0</v>
      </c>
      <c r="T309" s="24">
        <f>TModelo[[#This Row],[Act]]*IF(TModelo[[#This Row],[Rebal]]=1,PesoUSD*(X308+Y308+Z308),Z308)</f>
        <v>0</v>
      </c>
      <c r="U309" s="24">
        <f>TModelo[[#This Row],[IniCDT]]*TModelo[[#This Row],[RetCDT]]</f>
        <v>0</v>
      </c>
      <c r="V309" s="24">
        <f>TModelo[[#This Row],[IniCOLCAP]]*TModelo[[#This Row],[RetCOLCAP]]</f>
        <v>0</v>
      </c>
      <c r="W309" s="24">
        <f>TModelo[[#This Row],[IniUSD]]*TModelo[[#This Row],[RetUSD]]</f>
        <v>0</v>
      </c>
      <c r="X309" s="24">
        <f>TModelo[[#This Row],[Act]]*(TModelo[[#This Row],[IniCDT]]+TModelo[[#This Row],[IntCDT]]+PesoCDT*TModelo[[#This Row],[Outflow]])</f>
        <v>0</v>
      </c>
      <c r="Y309" s="24">
        <f>TModelo[[#This Row],[Act]]*(TModelo[[#This Row],[IniCOLCAP]]+TModelo[[#This Row],[IntCOLCAP]]+PesoCOLCAP*TModelo[[#This Row],[Outflow]])</f>
        <v>0</v>
      </c>
      <c r="Z309" s="24">
        <f>TModelo[[#This Row],[Act]]*(TModelo[[#This Row],[IniUSD]]+TModelo[[#This Row],[IntUSD]]+PesoUSD*TModelo[[#This Row],[Outflow]])</f>
        <v>0</v>
      </c>
      <c r="AA309" s="24">
        <f>TModelo[[#This Row],[BalCDT]]+TModelo[[#This Row],[BalCOLCAP]]+TModelo[[#This Row],[BalUSD]]</f>
        <v>0</v>
      </c>
      <c r="AB309" s="24">
        <f>IF(TModelo[[#This Row],[CumInfl]]&gt;0,TModelo[[#This Row],[TotalPreLiq]]/TModelo[[#This Row],[CumInfl]],0)</f>
        <v>0</v>
      </c>
      <c r="AC309" s="41">
        <f>(1+PerRate)^(-TModelo[[#This Row],[Period]])</f>
        <v>0.11107555301628523</v>
      </c>
      <c r="AD309" s="42">
        <f>TModelo[[#This Row],[NetCF]]*TModelo[[#This Row],[fd]]</f>
        <v>0</v>
      </c>
    </row>
    <row r="310" spans="2:30" ht="16.95" customHeight="1">
      <c r="B310" s="11">
        <v>283</v>
      </c>
      <c r="C310" s="25">
        <f>EDATE(FechaInicio,TModelo[[#This Row],[Period]])</f>
        <v>54907</v>
      </c>
      <c r="D310" s="11">
        <f>IF(AND(TModelo[[#This Row],[Period]]&gt;=1,TModelo[[#This Row],[Period]]&lt;=HorizonteMeses),1,0)</f>
        <v>0</v>
      </c>
      <c r="E310" s="40">
        <f>TModelo[[#This Row],[Act]]*(INFb+(INFpi0-INFb)*(1-INFa)^TModelo[[#This Row],[Period]])</f>
        <v>0</v>
      </c>
      <c r="F310" s="28">
        <f>IF(TModelo[[#This Row],[Period]]&lt;=HorizonteMeses,F309*(1+TModelo[[#This Row],[InflMes]]),0)</f>
        <v>0</v>
      </c>
      <c r="G310" s="21">
        <f>TModelo[[#This Row],[Act]]*(CDTb+(CDTx0-CDTb)*(1-CDTa)^TModelo[[#This Row],[Period]]+CDTspread)</f>
        <v>0</v>
      </c>
      <c r="H310" s="40">
        <f>TModelo[[#This Row],[Act]]*((1+TModelo[[#This Row],[TasaCDT]])^(1/12)-1)*(1-Retencion)</f>
        <v>0</v>
      </c>
      <c r="I310" s="40">
        <f>TModelo[[#This Row],[Act]]*(EXP(MuCOLCAP+SigmaCOLCAP^2/2)-1)</f>
        <v>0</v>
      </c>
      <c r="J310" s="40">
        <f>TModelo[[#This Row],[Act]]*(EXP(MuTRM+SigmaTRM^2/2)-1)</f>
        <v>0</v>
      </c>
      <c r="K310" s="11">
        <f>TModelo[[#This Row],[Act]]*IF(Rebalanceo="Mensual",1,IF(Rebalanceo="Anual",IF(MOD(TModelo[[#This Row],[Period]]-1,12)=0,1,0),0))</f>
        <v>0</v>
      </c>
      <c r="L310" s="24">
        <f>TModelo[[#This Row],[Act]]*AporteMensual*IF(CrecimientoAporte="Con IPC",F309,1)</f>
        <v>0</v>
      </c>
      <c r="M310" s="24">
        <f>IF(TModelo[[#This Row],[Period]]=HorizonteMeses,TModelo[[#This Row],[TotalPreLiq]],0)</f>
        <v>0</v>
      </c>
      <c r="N310" s="24">
        <f>TModelo[[#This Row],[Inflow]]-TModelo[[#This Row],[Outflow]]</f>
        <v>0</v>
      </c>
      <c r="O310" s="24">
        <f t="shared" si="4"/>
        <v>0</v>
      </c>
      <c r="P310" s="24">
        <f>TModelo[[#This Row],[IntCDT]]+TModelo[[#This Row],[IntCOLCAP]]+TModelo[[#This Row],[IntUSD]]</f>
        <v>0</v>
      </c>
      <c r="Q310" s="24">
        <f>TModelo[[#This Row],[InitialBalance]]+TModelo[[#This Row],[Interest]]+TModelo[[#This Row],[Outflow]]-TModelo[[#This Row],[Inflow]]</f>
        <v>0</v>
      </c>
      <c r="R310" s="24">
        <f>TModelo[[#This Row],[Act]]*IF(TModelo[[#This Row],[Rebal]]=1,PesoCDT*(X309+Y309+Z309),X309)</f>
        <v>0</v>
      </c>
      <c r="S310" s="24">
        <f>TModelo[[#This Row],[Act]]*IF(TModelo[[#This Row],[Rebal]]=1,PesoCOLCAP*(X309+Y309+Z309),Y309)</f>
        <v>0</v>
      </c>
      <c r="T310" s="24">
        <f>TModelo[[#This Row],[Act]]*IF(TModelo[[#This Row],[Rebal]]=1,PesoUSD*(X309+Y309+Z309),Z309)</f>
        <v>0</v>
      </c>
      <c r="U310" s="24">
        <f>TModelo[[#This Row],[IniCDT]]*TModelo[[#This Row],[RetCDT]]</f>
        <v>0</v>
      </c>
      <c r="V310" s="24">
        <f>TModelo[[#This Row],[IniCOLCAP]]*TModelo[[#This Row],[RetCOLCAP]]</f>
        <v>0</v>
      </c>
      <c r="W310" s="24">
        <f>TModelo[[#This Row],[IniUSD]]*TModelo[[#This Row],[RetUSD]]</f>
        <v>0</v>
      </c>
      <c r="X310" s="24">
        <f>TModelo[[#This Row],[Act]]*(TModelo[[#This Row],[IniCDT]]+TModelo[[#This Row],[IntCDT]]+PesoCDT*TModelo[[#This Row],[Outflow]])</f>
        <v>0</v>
      </c>
      <c r="Y310" s="24">
        <f>TModelo[[#This Row],[Act]]*(TModelo[[#This Row],[IniCOLCAP]]+TModelo[[#This Row],[IntCOLCAP]]+PesoCOLCAP*TModelo[[#This Row],[Outflow]])</f>
        <v>0</v>
      </c>
      <c r="Z310" s="24">
        <f>TModelo[[#This Row],[Act]]*(TModelo[[#This Row],[IniUSD]]+TModelo[[#This Row],[IntUSD]]+PesoUSD*TModelo[[#This Row],[Outflow]])</f>
        <v>0</v>
      </c>
      <c r="AA310" s="24">
        <f>TModelo[[#This Row],[BalCDT]]+TModelo[[#This Row],[BalCOLCAP]]+TModelo[[#This Row],[BalUSD]]</f>
        <v>0</v>
      </c>
      <c r="AB310" s="24">
        <f>IF(TModelo[[#This Row],[CumInfl]]&gt;0,TModelo[[#This Row],[TotalPreLiq]]/TModelo[[#This Row],[CumInfl]],0)</f>
        <v>0</v>
      </c>
      <c r="AC310" s="41">
        <f>(1+PerRate)^(-TModelo[[#This Row],[Period]])</f>
        <v>0.11021333713669208</v>
      </c>
      <c r="AD310" s="42">
        <f>TModelo[[#This Row],[NetCF]]*TModelo[[#This Row],[fd]]</f>
        <v>0</v>
      </c>
    </row>
    <row r="311" spans="2:30" ht="16.95" customHeight="1">
      <c r="B311" s="11">
        <v>284</v>
      </c>
      <c r="C311" s="25">
        <f>EDATE(FechaInicio,TModelo[[#This Row],[Period]])</f>
        <v>54937</v>
      </c>
      <c r="D311" s="11">
        <f>IF(AND(TModelo[[#This Row],[Period]]&gt;=1,TModelo[[#This Row],[Period]]&lt;=HorizonteMeses),1,0)</f>
        <v>0</v>
      </c>
      <c r="E311" s="40">
        <f>TModelo[[#This Row],[Act]]*(INFb+(INFpi0-INFb)*(1-INFa)^TModelo[[#This Row],[Period]])</f>
        <v>0</v>
      </c>
      <c r="F311" s="28">
        <f>IF(TModelo[[#This Row],[Period]]&lt;=HorizonteMeses,F310*(1+TModelo[[#This Row],[InflMes]]),0)</f>
        <v>0</v>
      </c>
      <c r="G311" s="21">
        <f>TModelo[[#This Row],[Act]]*(CDTb+(CDTx0-CDTb)*(1-CDTa)^TModelo[[#This Row],[Period]]+CDTspread)</f>
        <v>0</v>
      </c>
      <c r="H311" s="40">
        <f>TModelo[[#This Row],[Act]]*((1+TModelo[[#This Row],[TasaCDT]])^(1/12)-1)*(1-Retencion)</f>
        <v>0</v>
      </c>
      <c r="I311" s="40">
        <f>TModelo[[#This Row],[Act]]*(EXP(MuCOLCAP+SigmaCOLCAP^2/2)-1)</f>
        <v>0</v>
      </c>
      <c r="J311" s="40">
        <f>TModelo[[#This Row],[Act]]*(EXP(MuTRM+SigmaTRM^2/2)-1)</f>
        <v>0</v>
      </c>
      <c r="K311" s="11">
        <f>TModelo[[#This Row],[Act]]*IF(Rebalanceo="Mensual",1,IF(Rebalanceo="Anual",IF(MOD(TModelo[[#This Row],[Period]]-1,12)=0,1,0),0))</f>
        <v>0</v>
      </c>
      <c r="L311" s="24">
        <f>TModelo[[#This Row],[Act]]*AporteMensual*IF(CrecimientoAporte="Con IPC",F310,1)</f>
        <v>0</v>
      </c>
      <c r="M311" s="24">
        <f>IF(TModelo[[#This Row],[Period]]=HorizonteMeses,TModelo[[#This Row],[TotalPreLiq]],0)</f>
        <v>0</v>
      </c>
      <c r="N311" s="24">
        <f>TModelo[[#This Row],[Inflow]]-TModelo[[#This Row],[Outflow]]</f>
        <v>0</v>
      </c>
      <c r="O311" s="24">
        <f t="shared" si="4"/>
        <v>0</v>
      </c>
      <c r="P311" s="24">
        <f>TModelo[[#This Row],[IntCDT]]+TModelo[[#This Row],[IntCOLCAP]]+TModelo[[#This Row],[IntUSD]]</f>
        <v>0</v>
      </c>
      <c r="Q311" s="24">
        <f>TModelo[[#This Row],[InitialBalance]]+TModelo[[#This Row],[Interest]]+TModelo[[#This Row],[Outflow]]-TModelo[[#This Row],[Inflow]]</f>
        <v>0</v>
      </c>
      <c r="R311" s="24">
        <f>TModelo[[#This Row],[Act]]*IF(TModelo[[#This Row],[Rebal]]=1,PesoCDT*(X310+Y310+Z310),X310)</f>
        <v>0</v>
      </c>
      <c r="S311" s="24">
        <f>TModelo[[#This Row],[Act]]*IF(TModelo[[#This Row],[Rebal]]=1,PesoCOLCAP*(X310+Y310+Z310),Y310)</f>
        <v>0</v>
      </c>
      <c r="T311" s="24">
        <f>TModelo[[#This Row],[Act]]*IF(TModelo[[#This Row],[Rebal]]=1,PesoUSD*(X310+Y310+Z310),Z310)</f>
        <v>0</v>
      </c>
      <c r="U311" s="24">
        <f>TModelo[[#This Row],[IniCDT]]*TModelo[[#This Row],[RetCDT]]</f>
        <v>0</v>
      </c>
      <c r="V311" s="24">
        <f>TModelo[[#This Row],[IniCOLCAP]]*TModelo[[#This Row],[RetCOLCAP]]</f>
        <v>0</v>
      </c>
      <c r="W311" s="24">
        <f>TModelo[[#This Row],[IniUSD]]*TModelo[[#This Row],[RetUSD]]</f>
        <v>0</v>
      </c>
      <c r="X311" s="24">
        <f>TModelo[[#This Row],[Act]]*(TModelo[[#This Row],[IniCDT]]+TModelo[[#This Row],[IntCDT]]+PesoCDT*TModelo[[#This Row],[Outflow]])</f>
        <v>0</v>
      </c>
      <c r="Y311" s="24">
        <f>TModelo[[#This Row],[Act]]*(TModelo[[#This Row],[IniCOLCAP]]+TModelo[[#This Row],[IntCOLCAP]]+PesoCOLCAP*TModelo[[#This Row],[Outflow]])</f>
        <v>0</v>
      </c>
      <c r="Z311" s="24">
        <f>TModelo[[#This Row],[Act]]*(TModelo[[#This Row],[IniUSD]]+TModelo[[#This Row],[IntUSD]]+PesoUSD*TModelo[[#This Row],[Outflow]])</f>
        <v>0</v>
      </c>
      <c r="AA311" s="24">
        <f>TModelo[[#This Row],[BalCDT]]+TModelo[[#This Row],[BalCOLCAP]]+TModelo[[#This Row],[BalUSD]]</f>
        <v>0</v>
      </c>
      <c r="AB311" s="24">
        <f>IF(TModelo[[#This Row],[CumInfl]]&gt;0,TModelo[[#This Row],[TotalPreLiq]]/TModelo[[#This Row],[CumInfl]],0)</f>
        <v>0</v>
      </c>
      <c r="AC311" s="41">
        <f>(1+PerRate)^(-TModelo[[#This Row],[Period]])</f>
        <v>0.10935781414498323</v>
      </c>
      <c r="AD311" s="42">
        <f>TModelo[[#This Row],[NetCF]]*TModelo[[#This Row],[fd]]</f>
        <v>0</v>
      </c>
    </row>
    <row r="312" spans="2:30" ht="16.95" customHeight="1">
      <c r="B312" s="11">
        <v>285</v>
      </c>
      <c r="C312" s="25">
        <f>EDATE(FechaInicio,TModelo[[#This Row],[Period]])</f>
        <v>54968</v>
      </c>
      <c r="D312" s="11">
        <f>IF(AND(TModelo[[#This Row],[Period]]&gt;=1,TModelo[[#This Row],[Period]]&lt;=HorizonteMeses),1,0)</f>
        <v>0</v>
      </c>
      <c r="E312" s="40">
        <f>TModelo[[#This Row],[Act]]*(INFb+(INFpi0-INFb)*(1-INFa)^TModelo[[#This Row],[Period]])</f>
        <v>0</v>
      </c>
      <c r="F312" s="28">
        <f>IF(TModelo[[#This Row],[Period]]&lt;=HorizonteMeses,F311*(1+TModelo[[#This Row],[InflMes]]),0)</f>
        <v>0</v>
      </c>
      <c r="G312" s="21">
        <f>TModelo[[#This Row],[Act]]*(CDTb+(CDTx0-CDTb)*(1-CDTa)^TModelo[[#This Row],[Period]]+CDTspread)</f>
        <v>0</v>
      </c>
      <c r="H312" s="40">
        <f>TModelo[[#This Row],[Act]]*((1+TModelo[[#This Row],[TasaCDT]])^(1/12)-1)*(1-Retencion)</f>
        <v>0</v>
      </c>
      <c r="I312" s="40">
        <f>TModelo[[#This Row],[Act]]*(EXP(MuCOLCAP+SigmaCOLCAP^2/2)-1)</f>
        <v>0</v>
      </c>
      <c r="J312" s="40">
        <f>TModelo[[#This Row],[Act]]*(EXP(MuTRM+SigmaTRM^2/2)-1)</f>
        <v>0</v>
      </c>
      <c r="K312" s="11">
        <f>TModelo[[#This Row],[Act]]*IF(Rebalanceo="Mensual",1,IF(Rebalanceo="Anual",IF(MOD(TModelo[[#This Row],[Period]]-1,12)=0,1,0),0))</f>
        <v>0</v>
      </c>
      <c r="L312" s="24">
        <f>TModelo[[#This Row],[Act]]*AporteMensual*IF(CrecimientoAporte="Con IPC",F311,1)</f>
        <v>0</v>
      </c>
      <c r="M312" s="24">
        <f>IF(TModelo[[#This Row],[Period]]=HorizonteMeses,TModelo[[#This Row],[TotalPreLiq]],0)</f>
        <v>0</v>
      </c>
      <c r="N312" s="24">
        <f>TModelo[[#This Row],[Inflow]]-TModelo[[#This Row],[Outflow]]</f>
        <v>0</v>
      </c>
      <c r="O312" s="24">
        <f t="shared" si="4"/>
        <v>0</v>
      </c>
      <c r="P312" s="24">
        <f>TModelo[[#This Row],[IntCDT]]+TModelo[[#This Row],[IntCOLCAP]]+TModelo[[#This Row],[IntUSD]]</f>
        <v>0</v>
      </c>
      <c r="Q312" s="24">
        <f>TModelo[[#This Row],[InitialBalance]]+TModelo[[#This Row],[Interest]]+TModelo[[#This Row],[Outflow]]-TModelo[[#This Row],[Inflow]]</f>
        <v>0</v>
      </c>
      <c r="R312" s="24">
        <f>TModelo[[#This Row],[Act]]*IF(TModelo[[#This Row],[Rebal]]=1,PesoCDT*(X311+Y311+Z311),X311)</f>
        <v>0</v>
      </c>
      <c r="S312" s="24">
        <f>TModelo[[#This Row],[Act]]*IF(TModelo[[#This Row],[Rebal]]=1,PesoCOLCAP*(X311+Y311+Z311),Y311)</f>
        <v>0</v>
      </c>
      <c r="T312" s="24">
        <f>TModelo[[#This Row],[Act]]*IF(TModelo[[#This Row],[Rebal]]=1,PesoUSD*(X311+Y311+Z311),Z311)</f>
        <v>0</v>
      </c>
      <c r="U312" s="24">
        <f>TModelo[[#This Row],[IniCDT]]*TModelo[[#This Row],[RetCDT]]</f>
        <v>0</v>
      </c>
      <c r="V312" s="24">
        <f>TModelo[[#This Row],[IniCOLCAP]]*TModelo[[#This Row],[RetCOLCAP]]</f>
        <v>0</v>
      </c>
      <c r="W312" s="24">
        <f>TModelo[[#This Row],[IniUSD]]*TModelo[[#This Row],[RetUSD]]</f>
        <v>0</v>
      </c>
      <c r="X312" s="24">
        <f>TModelo[[#This Row],[Act]]*(TModelo[[#This Row],[IniCDT]]+TModelo[[#This Row],[IntCDT]]+PesoCDT*TModelo[[#This Row],[Outflow]])</f>
        <v>0</v>
      </c>
      <c r="Y312" s="24">
        <f>TModelo[[#This Row],[Act]]*(TModelo[[#This Row],[IniCOLCAP]]+TModelo[[#This Row],[IntCOLCAP]]+PesoCOLCAP*TModelo[[#This Row],[Outflow]])</f>
        <v>0</v>
      </c>
      <c r="Z312" s="24">
        <f>TModelo[[#This Row],[Act]]*(TModelo[[#This Row],[IniUSD]]+TModelo[[#This Row],[IntUSD]]+PesoUSD*TModelo[[#This Row],[Outflow]])</f>
        <v>0</v>
      </c>
      <c r="AA312" s="24">
        <f>TModelo[[#This Row],[BalCDT]]+TModelo[[#This Row],[BalCOLCAP]]+TModelo[[#This Row],[BalUSD]]</f>
        <v>0</v>
      </c>
      <c r="AB312" s="24">
        <f>IF(TModelo[[#This Row],[CumInfl]]&gt;0,TModelo[[#This Row],[TotalPreLiq]]/TModelo[[#This Row],[CumInfl]],0)</f>
        <v>0</v>
      </c>
      <c r="AC312" s="41">
        <f>(1+PerRate)^(-TModelo[[#This Row],[Period]])</f>
        <v>0.10850893208810455</v>
      </c>
      <c r="AD312" s="42">
        <f>TModelo[[#This Row],[NetCF]]*TModelo[[#This Row],[fd]]</f>
        <v>0</v>
      </c>
    </row>
    <row r="313" spans="2:30" ht="16.95" customHeight="1">
      <c r="B313" s="11">
        <v>286</v>
      </c>
      <c r="C313" s="25">
        <f>EDATE(FechaInicio,TModelo[[#This Row],[Period]])</f>
        <v>54998</v>
      </c>
      <c r="D313" s="11">
        <f>IF(AND(TModelo[[#This Row],[Period]]&gt;=1,TModelo[[#This Row],[Period]]&lt;=HorizonteMeses),1,0)</f>
        <v>0</v>
      </c>
      <c r="E313" s="40">
        <f>TModelo[[#This Row],[Act]]*(INFb+(INFpi0-INFb)*(1-INFa)^TModelo[[#This Row],[Period]])</f>
        <v>0</v>
      </c>
      <c r="F313" s="28">
        <f>IF(TModelo[[#This Row],[Period]]&lt;=HorizonteMeses,F312*(1+TModelo[[#This Row],[InflMes]]),0)</f>
        <v>0</v>
      </c>
      <c r="G313" s="21">
        <f>TModelo[[#This Row],[Act]]*(CDTb+(CDTx0-CDTb)*(1-CDTa)^TModelo[[#This Row],[Period]]+CDTspread)</f>
        <v>0</v>
      </c>
      <c r="H313" s="40">
        <f>TModelo[[#This Row],[Act]]*((1+TModelo[[#This Row],[TasaCDT]])^(1/12)-1)*(1-Retencion)</f>
        <v>0</v>
      </c>
      <c r="I313" s="40">
        <f>TModelo[[#This Row],[Act]]*(EXP(MuCOLCAP+SigmaCOLCAP^2/2)-1)</f>
        <v>0</v>
      </c>
      <c r="J313" s="40">
        <f>TModelo[[#This Row],[Act]]*(EXP(MuTRM+SigmaTRM^2/2)-1)</f>
        <v>0</v>
      </c>
      <c r="K313" s="11">
        <f>TModelo[[#This Row],[Act]]*IF(Rebalanceo="Mensual",1,IF(Rebalanceo="Anual",IF(MOD(TModelo[[#This Row],[Period]]-1,12)=0,1,0),0))</f>
        <v>0</v>
      </c>
      <c r="L313" s="24">
        <f>TModelo[[#This Row],[Act]]*AporteMensual*IF(CrecimientoAporte="Con IPC",F312,1)</f>
        <v>0</v>
      </c>
      <c r="M313" s="24">
        <f>IF(TModelo[[#This Row],[Period]]=HorizonteMeses,TModelo[[#This Row],[TotalPreLiq]],0)</f>
        <v>0</v>
      </c>
      <c r="N313" s="24">
        <f>TModelo[[#This Row],[Inflow]]-TModelo[[#This Row],[Outflow]]</f>
        <v>0</v>
      </c>
      <c r="O313" s="24">
        <f t="shared" si="4"/>
        <v>0</v>
      </c>
      <c r="P313" s="24">
        <f>TModelo[[#This Row],[IntCDT]]+TModelo[[#This Row],[IntCOLCAP]]+TModelo[[#This Row],[IntUSD]]</f>
        <v>0</v>
      </c>
      <c r="Q313" s="24">
        <f>TModelo[[#This Row],[InitialBalance]]+TModelo[[#This Row],[Interest]]+TModelo[[#This Row],[Outflow]]-TModelo[[#This Row],[Inflow]]</f>
        <v>0</v>
      </c>
      <c r="R313" s="24">
        <f>TModelo[[#This Row],[Act]]*IF(TModelo[[#This Row],[Rebal]]=1,PesoCDT*(X312+Y312+Z312),X312)</f>
        <v>0</v>
      </c>
      <c r="S313" s="24">
        <f>TModelo[[#This Row],[Act]]*IF(TModelo[[#This Row],[Rebal]]=1,PesoCOLCAP*(X312+Y312+Z312),Y312)</f>
        <v>0</v>
      </c>
      <c r="T313" s="24">
        <f>TModelo[[#This Row],[Act]]*IF(TModelo[[#This Row],[Rebal]]=1,PesoUSD*(X312+Y312+Z312),Z312)</f>
        <v>0</v>
      </c>
      <c r="U313" s="24">
        <f>TModelo[[#This Row],[IniCDT]]*TModelo[[#This Row],[RetCDT]]</f>
        <v>0</v>
      </c>
      <c r="V313" s="24">
        <f>TModelo[[#This Row],[IniCOLCAP]]*TModelo[[#This Row],[RetCOLCAP]]</f>
        <v>0</v>
      </c>
      <c r="W313" s="24">
        <f>TModelo[[#This Row],[IniUSD]]*TModelo[[#This Row],[RetUSD]]</f>
        <v>0</v>
      </c>
      <c r="X313" s="24">
        <f>TModelo[[#This Row],[Act]]*(TModelo[[#This Row],[IniCDT]]+TModelo[[#This Row],[IntCDT]]+PesoCDT*TModelo[[#This Row],[Outflow]])</f>
        <v>0</v>
      </c>
      <c r="Y313" s="24">
        <f>TModelo[[#This Row],[Act]]*(TModelo[[#This Row],[IniCOLCAP]]+TModelo[[#This Row],[IntCOLCAP]]+PesoCOLCAP*TModelo[[#This Row],[Outflow]])</f>
        <v>0</v>
      </c>
      <c r="Z313" s="24">
        <f>TModelo[[#This Row],[Act]]*(TModelo[[#This Row],[IniUSD]]+TModelo[[#This Row],[IntUSD]]+PesoUSD*TModelo[[#This Row],[Outflow]])</f>
        <v>0</v>
      </c>
      <c r="AA313" s="24">
        <f>TModelo[[#This Row],[BalCDT]]+TModelo[[#This Row],[BalCOLCAP]]+TModelo[[#This Row],[BalUSD]]</f>
        <v>0</v>
      </c>
      <c r="AB313" s="24">
        <f>IF(TModelo[[#This Row],[CumInfl]]&gt;0,TModelo[[#This Row],[TotalPreLiq]]/TModelo[[#This Row],[CumInfl]],0)</f>
        <v>0</v>
      </c>
      <c r="AC313" s="41">
        <f>(1+PerRate)^(-TModelo[[#This Row],[Period]])</f>
        <v>0.10766663941628377</v>
      </c>
      <c r="AD313" s="42">
        <f>TModelo[[#This Row],[NetCF]]*TModelo[[#This Row],[fd]]</f>
        <v>0</v>
      </c>
    </row>
    <row r="314" spans="2:30" ht="16.95" customHeight="1">
      <c r="B314" s="11">
        <v>287</v>
      </c>
      <c r="C314" s="25">
        <f>EDATE(FechaInicio,TModelo[[#This Row],[Period]])</f>
        <v>55029</v>
      </c>
      <c r="D314" s="11">
        <f>IF(AND(TModelo[[#This Row],[Period]]&gt;=1,TModelo[[#This Row],[Period]]&lt;=HorizonteMeses),1,0)</f>
        <v>0</v>
      </c>
      <c r="E314" s="40">
        <f>TModelo[[#This Row],[Act]]*(INFb+(INFpi0-INFb)*(1-INFa)^TModelo[[#This Row],[Period]])</f>
        <v>0</v>
      </c>
      <c r="F314" s="28">
        <f>IF(TModelo[[#This Row],[Period]]&lt;=HorizonteMeses,F313*(1+TModelo[[#This Row],[InflMes]]),0)</f>
        <v>0</v>
      </c>
      <c r="G314" s="21">
        <f>TModelo[[#This Row],[Act]]*(CDTb+(CDTx0-CDTb)*(1-CDTa)^TModelo[[#This Row],[Period]]+CDTspread)</f>
        <v>0</v>
      </c>
      <c r="H314" s="40">
        <f>TModelo[[#This Row],[Act]]*((1+TModelo[[#This Row],[TasaCDT]])^(1/12)-1)*(1-Retencion)</f>
        <v>0</v>
      </c>
      <c r="I314" s="40">
        <f>TModelo[[#This Row],[Act]]*(EXP(MuCOLCAP+SigmaCOLCAP^2/2)-1)</f>
        <v>0</v>
      </c>
      <c r="J314" s="40">
        <f>TModelo[[#This Row],[Act]]*(EXP(MuTRM+SigmaTRM^2/2)-1)</f>
        <v>0</v>
      </c>
      <c r="K314" s="11">
        <f>TModelo[[#This Row],[Act]]*IF(Rebalanceo="Mensual",1,IF(Rebalanceo="Anual",IF(MOD(TModelo[[#This Row],[Period]]-1,12)=0,1,0),0))</f>
        <v>0</v>
      </c>
      <c r="L314" s="24">
        <f>TModelo[[#This Row],[Act]]*AporteMensual*IF(CrecimientoAporte="Con IPC",F313,1)</f>
        <v>0</v>
      </c>
      <c r="M314" s="24">
        <f>IF(TModelo[[#This Row],[Period]]=HorizonteMeses,TModelo[[#This Row],[TotalPreLiq]],0)</f>
        <v>0</v>
      </c>
      <c r="N314" s="24">
        <f>TModelo[[#This Row],[Inflow]]-TModelo[[#This Row],[Outflow]]</f>
        <v>0</v>
      </c>
      <c r="O314" s="24">
        <f t="shared" si="4"/>
        <v>0</v>
      </c>
      <c r="P314" s="24">
        <f>TModelo[[#This Row],[IntCDT]]+TModelo[[#This Row],[IntCOLCAP]]+TModelo[[#This Row],[IntUSD]]</f>
        <v>0</v>
      </c>
      <c r="Q314" s="24">
        <f>TModelo[[#This Row],[InitialBalance]]+TModelo[[#This Row],[Interest]]+TModelo[[#This Row],[Outflow]]-TModelo[[#This Row],[Inflow]]</f>
        <v>0</v>
      </c>
      <c r="R314" s="24">
        <f>TModelo[[#This Row],[Act]]*IF(TModelo[[#This Row],[Rebal]]=1,PesoCDT*(X313+Y313+Z313),X313)</f>
        <v>0</v>
      </c>
      <c r="S314" s="24">
        <f>TModelo[[#This Row],[Act]]*IF(TModelo[[#This Row],[Rebal]]=1,PesoCOLCAP*(X313+Y313+Z313),Y313)</f>
        <v>0</v>
      </c>
      <c r="T314" s="24">
        <f>TModelo[[#This Row],[Act]]*IF(TModelo[[#This Row],[Rebal]]=1,PesoUSD*(X313+Y313+Z313),Z313)</f>
        <v>0</v>
      </c>
      <c r="U314" s="24">
        <f>TModelo[[#This Row],[IniCDT]]*TModelo[[#This Row],[RetCDT]]</f>
        <v>0</v>
      </c>
      <c r="V314" s="24">
        <f>TModelo[[#This Row],[IniCOLCAP]]*TModelo[[#This Row],[RetCOLCAP]]</f>
        <v>0</v>
      </c>
      <c r="W314" s="24">
        <f>TModelo[[#This Row],[IniUSD]]*TModelo[[#This Row],[RetUSD]]</f>
        <v>0</v>
      </c>
      <c r="X314" s="24">
        <f>TModelo[[#This Row],[Act]]*(TModelo[[#This Row],[IniCDT]]+TModelo[[#This Row],[IntCDT]]+PesoCDT*TModelo[[#This Row],[Outflow]])</f>
        <v>0</v>
      </c>
      <c r="Y314" s="24">
        <f>TModelo[[#This Row],[Act]]*(TModelo[[#This Row],[IniCOLCAP]]+TModelo[[#This Row],[IntCOLCAP]]+PesoCOLCAP*TModelo[[#This Row],[Outflow]])</f>
        <v>0</v>
      </c>
      <c r="Z314" s="24">
        <f>TModelo[[#This Row],[Act]]*(TModelo[[#This Row],[IniUSD]]+TModelo[[#This Row],[IntUSD]]+PesoUSD*TModelo[[#This Row],[Outflow]])</f>
        <v>0</v>
      </c>
      <c r="AA314" s="24">
        <f>TModelo[[#This Row],[BalCDT]]+TModelo[[#This Row],[BalCOLCAP]]+TModelo[[#This Row],[BalUSD]]</f>
        <v>0</v>
      </c>
      <c r="AB314" s="24">
        <f>IF(TModelo[[#This Row],[CumInfl]]&gt;0,TModelo[[#This Row],[TotalPreLiq]]/TModelo[[#This Row],[CumInfl]],0)</f>
        <v>0</v>
      </c>
      <c r="AC314" s="41">
        <f>(1+PerRate)^(-TModelo[[#This Row],[Period]])</f>
        <v>0.10683088497989991</v>
      </c>
      <c r="AD314" s="42">
        <f>TModelo[[#This Row],[NetCF]]*TModelo[[#This Row],[fd]]</f>
        <v>0</v>
      </c>
    </row>
    <row r="315" spans="2:30" ht="16.95" customHeight="1">
      <c r="B315" s="11">
        <v>288</v>
      </c>
      <c r="C315" s="25">
        <f>EDATE(FechaInicio,TModelo[[#This Row],[Period]])</f>
        <v>55060</v>
      </c>
      <c r="D315" s="11">
        <f>IF(AND(TModelo[[#This Row],[Period]]&gt;=1,TModelo[[#This Row],[Period]]&lt;=HorizonteMeses),1,0)</f>
        <v>0</v>
      </c>
      <c r="E315" s="40">
        <f>TModelo[[#This Row],[Act]]*(INFb+(INFpi0-INFb)*(1-INFa)^TModelo[[#This Row],[Period]])</f>
        <v>0</v>
      </c>
      <c r="F315" s="28">
        <f>IF(TModelo[[#This Row],[Period]]&lt;=HorizonteMeses,F314*(1+TModelo[[#This Row],[InflMes]]),0)</f>
        <v>0</v>
      </c>
      <c r="G315" s="21">
        <f>TModelo[[#This Row],[Act]]*(CDTb+(CDTx0-CDTb)*(1-CDTa)^TModelo[[#This Row],[Period]]+CDTspread)</f>
        <v>0</v>
      </c>
      <c r="H315" s="40">
        <f>TModelo[[#This Row],[Act]]*((1+TModelo[[#This Row],[TasaCDT]])^(1/12)-1)*(1-Retencion)</f>
        <v>0</v>
      </c>
      <c r="I315" s="40">
        <f>TModelo[[#This Row],[Act]]*(EXP(MuCOLCAP+SigmaCOLCAP^2/2)-1)</f>
        <v>0</v>
      </c>
      <c r="J315" s="40">
        <f>TModelo[[#This Row],[Act]]*(EXP(MuTRM+SigmaTRM^2/2)-1)</f>
        <v>0</v>
      </c>
      <c r="K315" s="11">
        <f>TModelo[[#This Row],[Act]]*IF(Rebalanceo="Mensual",1,IF(Rebalanceo="Anual",IF(MOD(TModelo[[#This Row],[Period]]-1,12)=0,1,0),0))</f>
        <v>0</v>
      </c>
      <c r="L315" s="24">
        <f>TModelo[[#This Row],[Act]]*AporteMensual*IF(CrecimientoAporte="Con IPC",F314,1)</f>
        <v>0</v>
      </c>
      <c r="M315" s="24">
        <f>IF(TModelo[[#This Row],[Period]]=HorizonteMeses,TModelo[[#This Row],[TotalPreLiq]],0)</f>
        <v>0</v>
      </c>
      <c r="N315" s="24">
        <f>TModelo[[#This Row],[Inflow]]-TModelo[[#This Row],[Outflow]]</f>
        <v>0</v>
      </c>
      <c r="O315" s="24">
        <f t="shared" si="4"/>
        <v>0</v>
      </c>
      <c r="P315" s="24">
        <f>TModelo[[#This Row],[IntCDT]]+TModelo[[#This Row],[IntCOLCAP]]+TModelo[[#This Row],[IntUSD]]</f>
        <v>0</v>
      </c>
      <c r="Q315" s="24">
        <f>TModelo[[#This Row],[InitialBalance]]+TModelo[[#This Row],[Interest]]+TModelo[[#This Row],[Outflow]]-TModelo[[#This Row],[Inflow]]</f>
        <v>0</v>
      </c>
      <c r="R315" s="24">
        <f>TModelo[[#This Row],[Act]]*IF(TModelo[[#This Row],[Rebal]]=1,PesoCDT*(X314+Y314+Z314),X314)</f>
        <v>0</v>
      </c>
      <c r="S315" s="24">
        <f>TModelo[[#This Row],[Act]]*IF(TModelo[[#This Row],[Rebal]]=1,PesoCOLCAP*(X314+Y314+Z314),Y314)</f>
        <v>0</v>
      </c>
      <c r="T315" s="24">
        <f>TModelo[[#This Row],[Act]]*IF(TModelo[[#This Row],[Rebal]]=1,PesoUSD*(X314+Y314+Z314),Z314)</f>
        <v>0</v>
      </c>
      <c r="U315" s="24">
        <f>TModelo[[#This Row],[IniCDT]]*TModelo[[#This Row],[RetCDT]]</f>
        <v>0</v>
      </c>
      <c r="V315" s="24">
        <f>TModelo[[#This Row],[IniCOLCAP]]*TModelo[[#This Row],[RetCOLCAP]]</f>
        <v>0</v>
      </c>
      <c r="W315" s="24">
        <f>TModelo[[#This Row],[IniUSD]]*TModelo[[#This Row],[RetUSD]]</f>
        <v>0</v>
      </c>
      <c r="X315" s="24">
        <f>TModelo[[#This Row],[Act]]*(TModelo[[#This Row],[IniCDT]]+TModelo[[#This Row],[IntCDT]]+PesoCDT*TModelo[[#This Row],[Outflow]])</f>
        <v>0</v>
      </c>
      <c r="Y315" s="24">
        <f>TModelo[[#This Row],[Act]]*(TModelo[[#This Row],[IniCOLCAP]]+TModelo[[#This Row],[IntCOLCAP]]+PesoCOLCAP*TModelo[[#This Row],[Outflow]])</f>
        <v>0</v>
      </c>
      <c r="Z315" s="24">
        <f>TModelo[[#This Row],[Act]]*(TModelo[[#This Row],[IniUSD]]+TModelo[[#This Row],[IntUSD]]+PesoUSD*TModelo[[#This Row],[Outflow]])</f>
        <v>0</v>
      </c>
      <c r="AA315" s="24">
        <f>TModelo[[#This Row],[BalCDT]]+TModelo[[#This Row],[BalCOLCAP]]+TModelo[[#This Row],[BalUSD]]</f>
        <v>0</v>
      </c>
      <c r="AB315" s="24">
        <f>IF(TModelo[[#This Row],[CumInfl]]&gt;0,TModelo[[#This Row],[TotalPreLiq]]/TModelo[[#This Row],[CumInfl]],0)</f>
        <v>0</v>
      </c>
      <c r="AC315" s="41">
        <f>(1+PerRate)^(-TModelo[[#This Row],[Period]])</f>
        <v>0.10600161802637724</v>
      </c>
      <c r="AD315" s="42">
        <f>TModelo[[#This Row],[NetCF]]*TModelo[[#This Row],[fd]]</f>
        <v>0</v>
      </c>
    </row>
    <row r="316" spans="2:30" ht="16.95" customHeight="1">
      <c r="B316" s="11">
        <v>289</v>
      </c>
      <c r="C316" s="25">
        <f>EDATE(FechaInicio,TModelo[[#This Row],[Period]])</f>
        <v>55090</v>
      </c>
      <c r="D316" s="11">
        <f>IF(AND(TModelo[[#This Row],[Period]]&gt;=1,TModelo[[#This Row],[Period]]&lt;=HorizonteMeses),1,0)</f>
        <v>0</v>
      </c>
      <c r="E316" s="40">
        <f>TModelo[[#This Row],[Act]]*(INFb+(INFpi0-INFb)*(1-INFa)^TModelo[[#This Row],[Period]])</f>
        <v>0</v>
      </c>
      <c r="F316" s="28">
        <f>IF(TModelo[[#This Row],[Period]]&lt;=HorizonteMeses,F315*(1+TModelo[[#This Row],[InflMes]]),0)</f>
        <v>0</v>
      </c>
      <c r="G316" s="21">
        <f>TModelo[[#This Row],[Act]]*(CDTb+(CDTx0-CDTb)*(1-CDTa)^TModelo[[#This Row],[Period]]+CDTspread)</f>
        <v>0</v>
      </c>
      <c r="H316" s="40">
        <f>TModelo[[#This Row],[Act]]*((1+TModelo[[#This Row],[TasaCDT]])^(1/12)-1)*(1-Retencion)</f>
        <v>0</v>
      </c>
      <c r="I316" s="40">
        <f>TModelo[[#This Row],[Act]]*(EXP(MuCOLCAP+SigmaCOLCAP^2/2)-1)</f>
        <v>0</v>
      </c>
      <c r="J316" s="40">
        <f>TModelo[[#This Row],[Act]]*(EXP(MuTRM+SigmaTRM^2/2)-1)</f>
        <v>0</v>
      </c>
      <c r="K316" s="11">
        <f>TModelo[[#This Row],[Act]]*IF(Rebalanceo="Mensual",1,IF(Rebalanceo="Anual",IF(MOD(TModelo[[#This Row],[Period]]-1,12)=0,1,0),0))</f>
        <v>0</v>
      </c>
      <c r="L316" s="24">
        <f>TModelo[[#This Row],[Act]]*AporteMensual*IF(CrecimientoAporte="Con IPC",F315,1)</f>
        <v>0</v>
      </c>
      <c r="M316" s="24">
        <f>IF(TModelo[[#This Row],[Period]]=HorizonteMeses,TModelo[[#This Row],[TotalPreLiq]],0)</f>
        <v>0</v>
      </c>
      <c r="N316" s="24">
        <f>TModelo[[#This Row],[Inflow]]-TModelo[[#This Row],[Outflow]]</f>
        <v>0</v>
      </c>
      <c r="O316" s="24">
        <f t="shared" si="4"/>
        <v>0</v>
      </c>
      <c r="P316" s="24">
        <f>TModelo[[#This Row],[IntCDT]]+TModelo[[#This Row],[IntCOLCAP]]+TModelo[[#This Row],[IntUSD]]</f>
        <v>0</v>
      </c>
      <c r="Q316" s="24">
        <f>TModelo[[#This Row],[InitialBalance]]+TModelo[[#This Row],[Interest]]+TModelo[[#This Row],[Outflow]]-TModelo[[#This Row],[Inflow]]</f>
        <v>0</v>
      </c>
      <c r="R316" s="24">
        <f>TModelo[[#This Row],[Act]]*IF(TModelo[[#This Row],[Rebal]]=1,PesoCDT*(X315+Y315+Z315),X315)</f>
        <v>0</v>
      </c>
      <c r="S316" s="24">
        <f>TModelo[[#This Row],[Act]]*IF(TModelo[[#This Row],[Rebal]]=1,PesoCOLCAP*(X315+Y315+Z315),Y315)</f>
        <v>0</v>
      </c>
      <c r="T316" s="24">
        <f>TModelo[[#This Row],[Act]]*IF(TModelo[[#This Row],[Rebal]]=1,PesoUSD*(X315+Y315+Z315),Z315)</f>
        <v>0</v>
      </c>
      <c r="U316" s="24">
        <f>TModelo[[#This Row],[IniCDT]]*TModelo[[#This Row],[RetCDT]]</f>
        <v>0</v>
      </c>
      <c r="V316" s="24">
        <f>TModelo[[#This Row],[IniCOLCAP]]*TModelo[[#This Row],[RetCOLCAP]]</f>
        <v>0</v>
      </c>
      <c r="W316" s="24">
        <f>TModelo[[#This Row],[IniUSD]]*TModelo[[#This Row],[RetUSD]]</f>
        <v>0</v>
      </c>
      <c r="X316" s="24">
        <f>TModelo[[#This Row],[Act]]*(TModelo[[#This Row],[IniCDT]]+TModelo[[#This Row],[IntCDT]]+PesoCDT*TModelo[[#This Row],[Outflow]])</f>
        <v>0</v>
      </c>
      <c r="Y316" s="24">
        <f>TModelo[[#This Row],[Act]]*(TModelo[[#This Row],[IniCOLCAP]]+TModelo[[#This Row],[IntCOLCAP]]+PesoCOLCAP*TModelo[[#This Row],[Outflow]])</f>
        <v>0</v>
      </c>
      <c r="Z316" s="24">
        <f>TModelo[[#This Row],[Act]]*(TModelo[[#This Row],[IniUSD]]+TModelo[[#This Row],[IntUSD]]+PesoUSD*TModelo[[#This Row],[Outflow]])</f>
        <v>0</v>
      </c>
      <c r="AA316" s="24">
        <f>TModelo[[#This Row],[BalCDT]]+TModelo[[#This Row],[BalCOLCAP]]+TModelo[[#This Row],[BalUSD]]</f>
        <v>0</v>
      </c>
      <c r="AB316" s="24">
        <f>IF(TModelo[[#This Row],[CumInfl]]&gt;0,TModelo[[#This Row],[TotalPreLiq]]/TModelo[[#This Row],[CumInfl]],0)</f>
        <v>0</v>
      </c>
      <c r="AC316" s="41">
        <f>(1+PerRate)^(-TModelo[[#This Row],[Period]])</f>
        <v>0.1051787881971032</v>
      </c>
      <c r="AD316" s="42">
        <f>TModelo[[#This Row],[NetCF]]*TModelo[[#This Row],[fd]]</f>
        <v>0</v>
      </c>
    </row>
    <row r="317" spans="2:30" ht="16.95" customHeight="1">
      <c r="B317" s="11">
        <v>290</v>
      </c>
      <c r="C317" s="25">
        <f>EDATE(FechaInicio,TModelo[[#This Row],[Period]])</f>
        <v>55121</v>
      </c>
      <c r="D317" s="11">
        <f>IF(AND(TModelo[[#This Row],[Period]]&gt;=1,TModelo[[#This Row],[Period]]&lt;=HorizonteMeses),1,0)</f>
        <v>0</v>
      </c>
      <c r="E317" s="40">
        <f>TModelo[[#This Row],[Act]]*(INFb+(INFpi0-INFb)*(1-INFa)^TModelo[[#This Row],[Period]])</f>
        <v>0</v>
      </c>
      <c r="F317" s="28">
        <f>IF(TModelo[[#This Row],[Period]]&lt;=HorizonteMeses,F316*(1+TModelo[[#This Row],[InflMes]]),0)</f>
        <v>0</v>
      </c>
      <c r="G317" s="21">
        <f>TModelo[[#This Row],[Act]]*(CDTb+(CDTx0-CDTb)*(1-CDTa)^TModelo[[#This Row],[Period]]+CDTspread)</f>
        <v>0</v>
      </c>
      <c r="H317" s="40">
        <f>TModelo[[#This Row],[Act]]*((1+TModelo[[#This Row],[TasaCDT]])^(1/12)-1)*(1-Retencion)</f>
        <v>0</v>
      </c>
      <c r="I317" s="40">
        <f>TModelo[[#This Row],[Act]]*(EXP(MuCOLCAP+SigmaCOLCAP^2/2)-1)</f>
        <v>0</v>
      </c>
      <c r="J317" s="40">
        <f>TModelo[[#This Row],[Act]]*(EXP(MuTRM+SigmaTRM^2/2)-1)</f>
        <v>0</v>
      </c>
      <c r="K317" s="11">
        <f>TModelo[[#This Row],[Act]]*IF(Rebalanceo="Mensual",1,IF(Rebalanceo="Anual",IF(MOD(TModelo[[#This Row],[Period]]-1,12)=0,1,0),0))</f>
        <v>0</v>
      </c>
      <c r="L317" s="24">
        <f>TModelo[[#This Row],[Act]]*AporteMensual*IF(CrecimientoAporte="Con IPC",F316,1)</f>
        <v>0</v>
      </c>
      <c r="M317" s="24">
        <f>IF(TModelo[[#This Row],[Period]]=HorizonteMeses,TModelo[[#This Row],[TotalPreLiq]],0)</f>
        <v>0</v>
      </c>
      <c r="N317" s="24">
        <f>TModelo[[#This Row],[Inflow]]-TModelo[[#This Row],[Outflow]]</f>
        <v>0</v>
      </c>
      <c r="O317" s="24">
        <f t="shared" si="4"/>
        <v>0</v>
      </c>
      <c r="P317" s="24">
        <f>TModelo[[#This Row],[IntCDT]]+TModelo[[#This Row],[IntCOLCAP]]+TModelo[[#This Row],[IntUSD]]</f>
        <v>0</v>
      </c>
      <c r="Q317" s="24">
        <f>TModelo[[#This Row],[InitialBalance]]+TModelo[[#This Row],[Interest]]+TModelo[[#This Row],[Outflow]]-TModelo[[#This Row],[Inflow]]</f>
        <v>0</v>
      </c>
      <c r="R317" s="24">
        <f>TModelo[[#This Row],[Act]]*IF(TModelo[[#This Row],[Rebal]]=1,PesoCDT*(X316+Y316+Z316),X316)</f>
        <v>0</v>
      </c>
      <c r="S317" s="24">
        <f>TModelo[[#This Row],[Act]]*IF(TModelo[[#This Row],[Rebal]]=1,PesoCOLCAP*(X316+Y316+Z316),Y316)</f>
        <v>0</v>
      </c>
      <c r="T317" s="24">
        <f>TModelo[[#This Row],[Act]]*IF(TModelo[[#This Row],[Rebal]]=1,PesoUSD*(X316+Y316+Z316),Z316)</f>
        <v>0</v>
      </c>
      <c r="U317" s="24">
        <f>TModelo[[#This Row],[IniCDT]]*TModelo[[#This Row],[RetCDT]]</f>
        <v>0</v>
      </c>
      <c r="V317" s="24">
        <f>TModelo[[#This Row],[IniCOLCAP]]*TModelo[[#This Row],[RetCOLCAP]]</f>
        <v>0</v>
      </c>
      <c r="W317" s="24">
        <f>TModelo[[#This Row],[IniUSD]]*TModelo[[#This Row],[RetUSD]]</f>
        <v>0</v>
      </c>
      <c r="X317" s="24">
        <f>TModelo[[#This Row],[Act]]*(TModelo[[#This Row],[IniCDT]]+TModelo[[#This Row],[IntCDT]]+PesoCDT*TModelo[[#This Row],[Outflow]])</f>
        <v>0</v>
      </c>
      <c r="Y317" s="24">
        <f>TModelo[[#This Row],[Act]]*(TModelo[[#This Row],[IniCOLCAP]]+TModelo[[#This Row],[IntCOLCAP]]+PesoCOLCAP*TModelo[[#This Row],[Outflow]])</f>
        <v>0</v>
      </c>
      <c r="Z317" s="24">
        <f>TModelo[[#This Row],[Act]]*(TModelo[[#This Row],[IniUSD]]+TModelo[[#This Row],[IntUSD]]+PesoUSD*TModelo[[#This Row],[Outflow]])</f>
        <v>0</v>
      </c>
      <c r="AA317" s="24">
        <f>TModelo[[#This Row],[BalCDT]]+TModelo[[#This Row],[BalCOLCAP]]+TModelo[[#This Row],[BalUSD]]</f>
        <v>0</v>
      </c>
      <c r="AB317" s="24">
        <f>IF(TModelo[[#This Row],[CumInfl]]&gt;0,TModelo[[#This Row],[TotalPreLiq]]/TModelo[[#This Row],[CumInfl]],0)</f>
        <v>0</v>
      </c>
      <c r="AC317" s="41">
        <f>(1+PerRate)^(-TModelo[[#This Row],[Period]])</f>
        <v>0.10436234552437025</v>
      </c>
      <c r="AD317" s="42">
        <f>TModelo[[#This Row],[NetCF]]*TModelo[[#This Row],[fd]]</f>
        <v>0</v>
      </c>
    </row>
    <row r="318" spans="2:30" ht="16.95" customHeight="1">
      <c r="B318" s="11">
        <v>291</v>
      </c>
      <c r="C318" s="25">
        <f>EDATE(FechaInicio,TModelo[[#This Row],[Period]])</f>
        <v>55151</v>
      </c>
      <c r="D318" s="11">
        <f>IF(AND(TModelo[[#This Row],[Period]]&gt;=1,TModelo[[#This Row],[Period]]&lt;=HorizonteMeses),1,0)</f>
        <v>0</v>
      </c>
      <c r="E318" s="40">
        <f>TModelo[[#This Row],[Act]]*(INFb+(INFpi0-INFb)*(1-INFa)^TModelo[[#This Row],[Period]])</f>
        <v>0</v>
      </c>
      <c r="F318" s="28">
        <f>IF(TModelo[[#This Row],[Period]]&lt;=HorizonteMeses,F317*(1+TModelo[[#This Row],[InflMes]]),0)</f>
        <v>0</v>
      </c>
      <c r="G318" s="21">
        <f>TModelo[[#This Row],[Act]]*(CDTb+(CDTx0-CDTb)*(1-CDTa)^TModelo[[#This Row],[Period]]+CDTspread)</f>
        <v>0</v>
      </c>
      <c r="H318" s="40">
        <f>TModelo[[#This Row],[Act]]*((1+TModelo[[#This Row],[TasaCDT]])^(1/12)-1)*(1-Retencion)</f>
        <v>0</v>
      </c>
      <c r="I318" s="40">
        <f>TModelo[[#This Row],[Act]]*(EXP(MuCOLCAP+SigmaCOLCAP^2/2)-1)</f>
        <v>0</v>
      </c>
      <c r="J318" s="40">
        <f>TModelo[[#This Row],[Act]]*(EXP(MuTRM+SigmaTRM^2/2)-1)</f>
        <v>0</v>
      </c>
      <c r="K318" s="11">
        <f>TModelo[[#This Row],[Act]]*IF(Rebalanceo="Mensual",1,IF(Rebalanceo="Anual",IF(MOD(TModelo[[#This Row],[Period]]-1,12)=0,1,0),0))</f>
        <v>0</v>
      </c>
      <c r="L318" s="24">
        <f>TModelo[[#This Row],[Act]]*AporteMensual*IF(CrecimientoAporte="Con IPC",F317,1)</f>
        <v>0</v>
      </c>
      <c r="M318" s="24">
        <f>IF(TModelo[[#This Row],[Period]]=HorizonteMeses,TModelo[[#This Row],[TotalPreLiq]],0)</f>
        <v>0</v>
      </c>
      <c r="N318" s="24">
        <f>TModelo[[#This Row],[Inflow]]-TModelo[[#This Row],[Outflow]]</f>
        <v>0</v>
      </c>
      <c r="O318" s="24">
        <f t="shared" si="4"/>
        <v>0</v>
      </c>
      <c r="P318" s="24">
        <f>TModelo[[#This Row],[IntCDT]]+TModelo[[#This Row],[IntCOLCAP]]+TModelo[[#This Row],[IntUSD]]</f>
        <v>0</v>
      </c>
      <c r="Q318" s="24">
        <f>TModelo[[#This Row],[InitialBalance]]+TModelo[[#This Row],[Interest]]+TModelo[[#This Row],[Outflow]]-TModelo[[#This Row],[Inflow]]</f>
        <v>0</v>
      </c>
      <c r="R318" s="24">
        <f>TModelo[[#This Row],[Act]]*IF(TModelo[[#This Row],[Rebal]]=1,PesoCDT*(X317+Y317+Z317),X317)</f>
        <v>0</v>
      </c>
      <c r="S318" s="24">
        <f>TModelo[[#This Row],[Act]]*IF(TModelo[[#This Row],[Rebal]]=1,PesoCOLCAP*(X317+Y317+Z317),Y317)</f>
        <v>0</v>
      </c>
      <c r="T318" s="24">
        <f>TModelo[[#This Row],[Act]]*IF(TModelo[[#This Row],[Rebal]]=1,PesoUSD*(X317+Y317+Z317),Z317)</f>
        <v>0</v>
      </c>
      <c r="U318" s="24">
        <f>TModelo[[#This Row],[IniCDT]]*TModelo[[#This Row],[RetCDT]]</f>
        <v>0</v>
      </c>
      <c r="V318" s="24">
        <f>TModelo[[#This Row],[IniCOLCAP]]*TModelo[[#This Row],[RetCOLCAP]]</f>
        <v>0</v>
      </c>
      <c r="W318" s="24">
        <f>TModelo[[#This Row],[IniUSD]]*TModelo[[#This Row],[RetUSD]]</f>
        <v>0</v>
      </c>
      <c r="X318" s="24">
        <f>TModelo[[#This Row],[Act]]*(TModelo[[#This Row],[IniCDT]]+TModelo[[#This Row],[IntCDT]]+PesoCDT*TModelo[[#This Row],[Outflow]])</f>
        <v>0</v>
      </c>
      <c r="Y318" s="24">
        <f>TModelo[[#This Row],[Act]]*(TModelo[[#This Row],[IniCOLCAP]]+TModelo[[#This Row],[IntCOLCAP]]+PesoCOLCAP*TModelo[[#This Row],[Outflow]])</f>
        <v>0</v>
      </c>
      <c r="Z318" s="24">
        <f>TModelo[[#This Row],[Act]]*(TModelo[[#This Row],[IniUSD]]+TModelo[[#This Row],[IntUSD]]+PesoUSD*TModelo[[#This Row],[Outflow]])</f>
        <v>0</v>
      </c>
      <c r="AA318" s="24">
        <f>TModelo[[#This Row],[BalCDT]]+TModelo[[#This Row],[BalCOLCAP]]+TModelo[[#This Row],[BalUSD]]</f>
        <v>0</v>
      </c>
      <c r="AB318" s="24">
        <f>IF(TModelo[[#This Row],[CumInfl]]&gt;0,TModelo[[#This Row],[TotalPreLiq]]/TModelo[[#This Row],[CumInfl]],0)</f>
        <v>0</v>
      </c>
      <c r="AC318" s="41">
        <f>(1+PerRate)^(-TModelo[[#This Row],[Period]])</f>
        <v>0.1035522404283415</v>
      </c>
      <c r="AD318" s="42">
        <f>TModelo[[#This Row],[NetCF]]*TModelo[[#This Row],[fd]]</f>
        <v>0</v>
      </c>
    </row>
    <row r="319" spans="2:30" ht="16.95" customHeight="1">
      <c r="B319" s="11">
        <v>292</v>
      </c>
      <c r="C319" s="25">
        <f>EDATE(FechaInicio,TModelo[[#This Row],[Period]])</f>
        <v>55182</v>
      </c>
      <c r="D319" s="11">
        <f>IF(AND(TModelo[[#This Row],[Period]]&gt;=1,TModelo[[#This Row],[Period]]&lt;=HorizonteMeses),1,0)</f>
        <v>0</v>
      </c>
      <c r="E319" s="40">
        <f>TModelo[[#This Row],[Act]]*(INFb+(INFpi0-INFb)*(1-INFa)^TModelo[[#This Row],[Period]])</f>
        <v>0</v>
      </c>
      <c r="F319" s="28">
        <f>IF(TModelo[[#This Row],[Period]]&lt;=HorizonteMeses,F318*(1+TModelo[[#This Row],[InflMes]]),0)</f>
        <v>0</v>
      </c>
      <c r="G319" s="21">
        <f>TModelo[[#This Row],[Act]]*(CDTb+(CDTx0-CDTb)*(1-CDTa)^TModelo[[#This Row],[Period]]+CDTspread)</f>
        <v>0</v>
      </c>
      <c r="H319" s="40">
        <f>TModelo[[#This Row],[Act]]*((1+TModelo[[#This Row],[TasaCDT]])^(1/12)-1)*(1-Retencion)</f>
        <v>0</v>
      </c>
      <c r="I319" s="40">
        <f>TModelo[[#This Row],[Act]]*(EXP(MuCOLCAP+SigmaCOLCAP^2/2)-1)</f>
        <v>0</v>
      </c>
      <c r="J319" s="40">
        <f>TModelo[[#This Row],[Act]]*(EXP(MuTRM+SigmaTRM^2/2)-1)</f>
        <v>0</v>
      </c>
      <c r="K319" s="11">
        <f>TModelo[[#This Row],[Act]]*IF(Rebalanceo="Mensual",1,IF(Rebalanceo="Anual",IF(MOD(TModelo[[#This Row],[Period]]-1,12)=0,1,0),0))</f>
        <v>0</v>
      </c>
      <c r="L319" s="24">
        <f>TModelo[[#This Row],[Act]]*AporteMensual*IF(CrecimientoAporte="Con IPC",F318,1)</f>
        <v>0</v>
      </c>
      <c r="M319" s="24">
        <f>IF(TModelo[[#This Row],[Period]]=HorizonteMeses,TModelo[[#This Row],[TotalPreLiq]],0)</f>
        <v>0</v>
      </c>
      <c r="N319" s="24">
        <f>TModelo[[#This Row],[Inflow]]-TModelo[[#This Row],[Outflow]]</f>
        <v>0</v>
      </c>
      <c r="O319" s="24">
        <f t="shared" si="4"/>
        <v>0</v>
      </c>
      <c r="P319" s="24">
        <f>TModelo[[#This Row],[IntCDT]]+TModelo[[#This Row],[IntCOLCAP]]+TModelo[[#This Row],[IntUSD]]</f>
        <v>0</v>
      </c>
      <c r="Q319" s="24">
        <f>TModelo[[#This Row],[InitialBalance]]+TModelo[[#This Row],[Interest]]+TModelo[[#This Row],[Outflow]]-TModelo[[#This Row],[Inflow]]</f>
        <v>0</v>
      </c>
      <c r="R319" s="24">
        <f>TModelo[[#This Row],[Act]]*IF(TModelo[[#This Row],[Rebal]]=1,PesoCDT*(X318+Y318+Z318),X318)</f>
        <v>0</v>
      </c>
      <c r="S319" s="24">
        <f>TModelo[[#This Row],[Act]]*IF(TModelo[[#This Row],[Rebal]]=1,PesoCOLCAP*(X318+Y318+Z318),Y318)</f>
        <v>0</v>
      </c>
      <c r="T319" s="24">
        <f>TModelo[[#This Row],[Act]]*IF(TModelo[[#This Row],[Rebal]]=1,PesoUSD*(X318+Y318+Z318),Z318)</f>
        <v>0</v>
      </c>
      <c r="U319" s="24">
        <f>TModelo[[#This Row],[IniCDT]]*TModelo[[#This Row],[RetCDT]]</f>
        <v>0</v>
      </c>
      <c r="V319" s="24">
        <f>TModelo[[#This Row],[IniCOLCAP]]*TModelo[[#This Row],[RetCOLCAP]]</f>
        <v>0</v>
      </c>
      <c r="W319" s="24">
        <f>TModelo[[#This Row],[IniUSD]]*TModelo[[#This Row],[RetUSD]]</f>
        <v>0</v>
      </c>
      <c r="X319" s="24">
        <f>TModelo[[#This Row],[Act]]*(TModelo[[#This Row],[IniCDT]]+TModelo[[#This Row],[IntCDT]]+PesoCDT*TModelo[[#This Row],[Outflow]])</f>
        <v>0</v>
      </c>
      <c r="Y319" s="24">
        <f>TModelo[[#This Row],[Act]]*(TModelo[[#This Row],[IniCOLCAP]]+TModelo[[#This Row],[IntCOLCAP]]+PesoCOLCAP*TModelo[[#This Row],[Outflow]])</f>
        <v>0</v>
      </c>
      <c r="Z319" s="24">
        <f>TModelo[[#This Row],[Act]]*(TModelo[[#This Row],[IniUSD]]+TModelo[[#This Row],[IntUSD]]+PesoUSD*TModelo[[#This Row],[Outflow]])</f>
        <v>0</v>
      </c>
      <c r="AA319" s="24">
        <f>TModelo[[#This Row],[BalCDT]]+TModelo[[#This Row],[BalCOLCAP]]+TModelo[[#This Row],[BalUSD]]</f>
        <v>0</v>
      </c>
      <c r="AB319" s="24">
        <f>IF(TModelo[[#This Row],[CumInfl]]&gt;0,TModelo[[#This Row],[TotalPreLiq]]/TModelo[[#This Row],[CumInfl]],0)</f>
        <v>0</v>
      </c>
      <c r="AC319" s="41">
        <f>(1+PerRate)^(-TModelo[[#This Row],[Period]])</f>
        <v>0.1027484237140401</v>
      </c>
      <c r="AD319" s="42">
        <f>TModelo[[#This Row],[NetCF]]*TModelo[[#This Row],[fd]]</f>
        <v>0</v>
      </c>
    </row>
    <row r="320" spans="2:30" ht="16.95" customHeight="1">
      <c r="B320" s="11">
        <v>293</v>
      </c>
      <c r="C320" s="25">
        <f>EDATE(FechaInicio,TModelo[[#This Row],[Period]])</f>
        <v>55212</v>
      </c>
      <c r="D320" s="11">
        <f>IF(AND(TModelo[[#This Row],[Period]]&gt;=1,TModelo[[#This Row],[Period]]&lt;=HorizonteMeses),1,0)</f>
        <v>0</v>
      </c>
      <c r="E320" s="40">
        <f>TModelo[[#This Row],[Act]]*(INFb+(INFpi0-INFb)*(1-INFa)^TModelo[[#This Row],[Period]])</f>
        <v>0</v>
      </c>
      <c r="F320" s="28">
        <f>IF(TModelo[[#This Row],[Period]]&lt;=HorizonteMeses,F319*(1+TModelo[[#This Row],[InflMes]]),0)</f>
        <v>0</v>
      </c>
      <c r="G320" s="21">
        <f>TModelo[[#This Row],[Act]]*(CDTb+(CDTx0-CDTb)*(1-CDTa)^TModelo[[#This Row],[Period]]+CDTspread)</f>
        <v>0</v>
      </c>
      <c r="H320" s="40">
        <f>TModelo[[#This Row],[Act]]*((1+TModelo[[#This Row],[TasaCDT]])^(1/12)-1)*(1-Retencion)</f>
        <v>0</v>
      </c>
      <c r="I320" s="40">
        <f>TModelo[[#This Row],[Act]]*(EXP(MuCOLCAP+SigmaCOLCAP^2/2)-1)</f>
        <v>0</v>
      </c>
      <c r="J320" s="40">
        <f>TModelo[[#This Row],[Act]]*(EXP(MuTRM+SigmaTRM^2/2)-1)</f>
        <v>0</v>
      </c>
      <c r="K320" s="11">
        <f>TModelo[[#This Row],[Act]]*IF(Rebalanceo="Mensual",1,IF(Rebalanceo="Anual",IF(MOD(TModelo[[#This Row],[Period]]-1,12)=0,1,0),0))</f>
        <v>0</v>
      </c>
      <c r="L320" s="24">
        <f>TModelo[[#This Row],[Act]]*AporteMensual*IF(CrecimientoAporte="Con IPC",F319,1)</f>
        <v>0</v>
      </c>
      <c r="M320" s="24">
        <f>IF(TModelo[[#This Row],[Period]]=HorizonteMeses,TModelo[[#This Row],[TotalPreLiq]],0)</f>
        <v>0</v>
      </c>
      <c r="N320" s="24">
        <f>TModelo[[#This Row],[Inflow]]-TModelo[[#This Row],[Outflow]]</f>
        <v>0</v>
      </c>
      <c r="O320" s="24">
        <f t="shared" si="4"/>
        <v>0</v>
      </c>
      <c r="P320" s="24">
        <f>TModelo[[#This Row],[IntCDT]]+TModelo[[#This Row],[IntCOLCAP]]+TModelo[[#This Row],[IntUSD]]</f>
        <v>0</v>
      </c>
      <c r="Q320" s="24">
        <f>TModelo[[#This Row],[InitialBalance]]+TModelo[[#This Row],[Interest]]+TModelo[[#This Row],[Outflow]]-TModelo[[#This Row],[Inflow]]</f>
        <v>0</v>
      </c>
      <c r="R320" s="24">
        <f>TModelo[[#This Row],[Act]]*IF(TModelo[[#This Row],[Rebal]]=1,PesoCDT*(X319+Y319+Z319),X319)</f>
        <v>0</v>
      </c>
      <c r="S320" s="24">
        <f>TModelo[[#This Row],[Act]]*IF(TModelo[[#This Row],[Rebal]]=1,PesoCOLCAP*(X319+Y319+Z319),Y319)</f>
        <v>0</v>
      </c>
      <c r="T320" s="24">
        <f>TModelo[[#This Row],[Act]]*IF(TModelo[[#This Row],[Rebal]]=1,PesoUSD*(X319+Y319+Z319),Z319)</f>
        <v>0</v>
      </c>
      <c r="U320" s="24">
        <f>TModelo[[#This Row],[IniCDT]]*TModelo[[#This Row],[RetCDT]]</f>
        <v>0</v>
      </c>
      <c r="V320" s="24">
        <f>TModelo[[#This Row],[IniCOLCAP]]*TModelo[[#This Row],[RetCOLCAP]]</f>
        <v>0</v>
      </c>
      <c r="W320" s="24">
        <f>TModelo[[#This Row],[IniUSD]]*TModelo[[#This Row],[RetUSD]]</f>
        <v>0</v>
      </c>
      <c r="X320" s="24">
        <f>TModelo[[#This Row],[Act]]*(TModelo[[#This Row],[IniCDT]]+TModelo[[#This Row],[IntCDT]]+PesoCDT*TModelo[[#This Row],[Outflow]])</f>
        <v>0</v>
      </c>
      <c r="Y320" s="24">
        <f>TModelo[[#This Row],[Act]]*(TModelo[[#This Row],[IniCOLCAP]]+TModelo[[#This Row],[IntCOLCAP]]+PesoCOLCAP*TModelo[[#This Row],[Outflow]])</f>
        <v>0</v>
      </c>
      <c r="Z320" s="24">
        <f>TModelo[[#This Row],[Act]]*(TModelo[[#This Row],[IniUSD]]+TModelo[[#This Row],[IntUSD]]+PesoUSD*TModelo[[#This Row],[Outflow]])</f>
        <v>0</v>
      </c>
      <c r="AA320" s="24">
        <f>TModelo[[#This Row],[BalCDT]]+TModelo[[#This Row],[BalCOLCAP]]+TModelo[[#This Row],[BalUSD]]</f>
        <v>0</v>
      </c>
      <c r="AB320" s="24">
        <f>IF(TModelo[[#This Row],[CumInfl]]&gt;0,TModelo[[#This Row],[TotalPreLiq]]/TModelo[[#This Row],[CumInfl]],0)</f>
        <v>0</v>
      </c>
      <c r="AC320" s="41">
        <f>(1+PerRate)^(-TModelo[[#This Row],[Period]])</f>
        <v>0.1019508465683614</v>
      </c>
      <c r="AD320" s="42">
        <f>TModelo[[#This Row],[NetCF]]*TModelo[[#This Row],[fd]]</f>
        <v>0</v>
      </c>
    </row>
    <row r="321" spans="2:30" ht="16.95" customHeight="1">
      <c r="B321" s="11">
        <v>294</v>
      </c>
      <c r="C321" s="25">
        <f>EDATE(FechaInicio,TModelo[[#This Row],[Period]])</f>
        <v>55241</v>
      </c>
      <c r="D321" s="11">
        <f>IF(AND(TModelo[[#This Row],[Period]]&gt;=1,TModelo[[#This Row],[Period]]&lt;=HorizonteMeses),1,0)</f>
        <v>0</v>
      </c>
      <c r="E321" s="40">
        <f>TModelo[[#This Row],[Act]]*(INFb+(INFpi0-INFb)*(1-INFa)^TModelo[[#This Row],[Period]])</f>
        <v>0</v>
      </c>
      <c r="F321" s="28">
        <f>IF(TModelo[[#This Row],[Period]]&lt;=HorizonteMeses,F320*(1+TModelo[[#This Row],[InflMes]]),0)</f>
        <v>0</v>
      </c>
      <c r="G321" s="21">
        <f>TModelo[[#This Row],[Act]]*(CDTb+(CDTx0-CDTb)*(1-CDTa)^TModelo[[#This Row],[Period]]+CDTspread)</f>
        <v>0</v>
      </c>
      <c r="H321" s="40">
        <f>TModelo[[#This Row],[Act]]*((1+TModelo[[#This Row],[TasaCDT]])^(1/12)-1)*(1-Retencion)</f>
        <v>0</v>
      </c>
      <c r="I321" s="40">
        <f>TModelo[[#This Row],[Act]]*(EXP(MuCOLCAP+SigmaCOLCAP^2/2)-1)</f>
        <v>0</v>
      </c>
      <c r="J321" s="40">
        <f>TModelo[[#This Row],[Act]]*(EXP(MuTRM+SigmaTRM^2/2)-1)</f>
        <v>0</v>
      </c>
      <c r="K321" s="11">
        <f>TModelo[[#This Row],[Act]]*IF(Rebalanceo="Mensual",1,IF(Rebalanceo="Anual",IF(MOD(TModelo[[#This Row],[Period]]-1,12)=0,1,0),0))</f>
        <v>0</v>
      </c>
      <c r="L321" s="24">
        <f>TModelo[[#This Row],[Act]]*AporteMensual*IF(CrecimientoAporte="Con IPC",F320,1)</f>
        <v>0</v>
      </c>
      <c r="M321" s="24">
        <f>IF(TModelo[[#This Row],[Period]]=HorizonteMeses,TModelo[[#This Row],[TotalPreLiq]],0)</f>
        <v>0</v>
      </c>
      <c r="N321" s="24">
        <f>TModelo[[#This Row],[Inflow]]-TModelo[[#This Row],[Outflow]]</f>
        <v>0</v>
      </c>
      <c r="O321" s="24">
        <f t="shared" si="4"/>
        <v>0</v>
      </c>
      <c r="P321" s="24">
        <f>TModelo[[#This Row],[IntCDT]]+TModelo[[#This Row],[IntCOLCAP]]+TModelo[[#This Row],[IntUSD]]</f>
        <v>0</v>
      </c>
      <c r="Q321" s="24">
        <f>TModelo[[#This Row],[InitialBalance]]+TModelo[[#This Row],[Interest]]+TModelo[[#This Row],[Outflow]]-TModelo[[#This Row],[Inflow]]</f>
        <v>0</v>
      </c>
      <c r="R321" s="24">
        <f>TModelo[[#This Row],[Act]]*IF(TModelo[[#This Row],[Rebal]]=1,PesoCDT*(X320+Y320+Z320),X320)</f>
        <v>0</v>
      </c>
      <c r="S321" s="24">
        <f>TModelo[[#This Row],[Act]]*IF(TModelo[[#This Row],[Rebal]]=1,PesoCOLCAP*(X320+Y320+Z320),Y320)</f>
        <v>0</v>
      </c>
      <c r="T321" s="24">
        <f>TModelo[[#This Row],[Act]]*IF(TModelo[[#This Row],[Rebal]]=1,PesoUSD*(X320+Y320+Z320),Z320)</f>
        <v>0</v>
      </c>
      <c r="U321" s="24">
        <f>TModelo[[#This Row],[IniCDT]]*TModelo[[#This Row],[RetCDT]]</f>
        <v>0</v>
      </c>
      <c r="V321" s="24">
        <f>TModelo[[#This Row],[IniCOLCAP]]*TModelo[[#This Row],[RetCOLCAP]]</f>
        <v>0</v>
      </c>
      <c r="W321" s="24">
        <f>TModelo[[#This Row],[IniUSD]]*TModelo[[#This Row],[RetUSD]]</f>
        <v>0</v>
      </c>
      <c r="X321" s="24">
        <f>TModelo[[#This Row],[Act]]*(TModelo[[#This Row],[IniCDT]]+TModelo[[#This Row],[IntCDT]]+PesoCDT*TModelo[[#This Row],[Outflow]])</f>
        <v>0</v>
      </c>
      <c r="Y321" s="24">
        <f>TModelo[[#This Row],[Act]]*(TModelo[[#This Row],[IniCOLCAP]]+TModelo[[#This Row],[IntCOLCAP]]+PesoCOLCAP*TModelo[[#This Row],[Outflow]])</f>
        <v>0</v>
      </c>
      <c r="Z321" s="24">
        <f>TModelo[[#This Row],[Act]]*(TModelo[[#This Row],[IniUSD]]+TModelo[[#This Row],[IntUSD]]+PesoUSD*TModelo[[#This Row],[Outflow]])</f>
        <v>0</v>
      </c>
      <c r="AA321" s="24">
        <f>TModelo[[#This Row],[BalCDT]]+TModelo[[#This Row],[BalCOLCAP]]+TModelo[[#This Row],[BalUSD]]</f>
        <v>0</v>
      </c>
      <c r="AB321" s="24">
        <f>IF(TModelo[[#This Row],[CumInfl]]&gt;0,TModelo[[#This Row],[TotalPreLiq]]/TModelo[[#This Row],[CumInfl]],0)</f>
        <v>0</v>
      </c>
      <c r="AC321" s="41">
        <f>(1+PerRate)^(-TModelo[[#This Row],[Period]])</f>
        <v>0.10115946055710906</v>
      </c>
      <c r="AD321" s="42">
        <f>TModelo[[#This Row],[NetCF]]*TModelo[[#This Row],[fd]]</f>
        <v>0</v>
      </c>
    </row>
    <row r="322" spans="2:30" ht="16.95" customHeight="1">
      <c r="B322" s="11">
        <v>295</v>
      </c>
      <c r="C322" s="25">
        <f>EDATE(FechaInicio,TModelo[[#This Row],[Period]])</f>
        <v>55272</v>
      </c>
      <c r="D322" s="11">
        <f>IF(AND(TModelo[[#This Row],[Period]]&gt;=1,TModelo[[#This Row],[Period]]&lt;=HorizonteMeses),1,0)</f>
        <v>0</v>
      </c>
      <c r="E322" s="40">
        <f>TModelo[[#This Row],[Act]]*(INFb+(INFpi0-INFb)*(1-INFa)^TModelo[[#This Row],[Period]])</f>
        <v>0</v>
      </c>
      <c r="F322" s="28">
        <f>IF(TModelo[[#This Row],[Period]]&lt;=HorizonteMeses,F321*(1+TModelo[[#This Row],[InflMes]]),0)</f>
        <v>0</v>
      </c>
      <c r="G322" s="21">
        <f>TModelo[[#This Row],[Act]]*(CDTb+(CDTx0-CDTb)*(1-CDTa)^TModelo[[#This Row],[Period]]+CDTspread)</f>
        <v>0</v>
      </c>
      <c r="H322" s="40">
        <f>TModelo[[#This Row],[Act]]*((1+TModelo[[#This Row],[TasaCDT]])^(1/12)-1)*(1-Retencion)</f>
        <v>0</v>
      </c>
      <c r="I322" s="40">
        <f>TModelo[[#This Row],[Act]]*(EXP(MuCOLCAP+SigmaCOLCAP^2/2)-1)</f>
        <v>0</v>
      </c>
      <c r="J322" s="40">
        <f>TModelo[[#This Row],[Act]]*(EXP(MuTRM+SigmaTRM^2/2)-1)</f>
        <v>0</v>
      </c>
      <c r="K322" s="11">
        <f>TModelo[[#This Row],[Act]]*IF(Rebalanceo="Mensual",1,IF(Rebalanceo="Anual",IF(MOD(TModelo[[#This Row],[Period]]-1,12)=0,1,0),0))</f>
        <v>0</v>
      </c>
      <c r="L322" s="24">
        <f>TModelo[[#This Row],[Act]]*AporteMensual*IF(CrecimientoAporte="Con IPC",F321,1)</f>
        <v>0</v>
      </c>
      <c r="M322" s="24">
        <f>IF(TModelo[[#This Row],[Period]]=HorizonteMeses,TModelo[[#This Row],[TotalPreLiq]],0)</f>
        <v>0</v>
      </c>
      <c r="N322" s="24">
        <f>TModelo[[#This Row],[Inflow]]-TModelo[[#This Row],[Outflow]]</f>
        <v>0</v>
      </c>
      <c r="O322" s="24">
        <f t="shared" si="4"/>
        <v>0</v>
      </c>
      <c r="P322" s="24">
        <f>TModelo[[#This Row],[IntCDT]]+TModelo[[#This Row],[IntCOLCAP]]+TModelo[[#This Row],[IntUSD]]</f>
        <v>0</v>
      </c>
      <c r="Q322" s="24">
        <f>TModelo[[#This Row],[InitialBalance]]+TModelo[[#This Row],[Interest]]+TModelo[[#This Row],[Outflow]]-TModelo[[#This Row],[Inflow]]</f>
        <v>0</v>
      </c>
      <c r="R322" s="24">
        <f>TModelo[[#This Row],[Act]]*IF(TModelo[[#This Row],[Rebal]]=1,PesoCDT*(X321+Y321+Z321),X321)</f>
        <v>0</v>
      </c>
      <c r="S322" s="24">
        <f>TModelo[[#This Row],[Act]]*IF(TModelo[[#This Row],[Rebal]]=1,PesoCOLCAP*(X321+Y321+Z321),Y321)</f>
        <v>0</v>
      </c>
      <c r="T322" s="24">
        <f>TModelo[[#This Row],[Act]]*IF(TModelo[[#This Row],[Rebal]]=1,PesoUSD*(X321+Y321+Z321),Z321)</f>
        <v>0</v>
      </c>
      <c r="U322" s="24">
        <f>TModelo[[#This Row],[IniCDT]]*TModelo[[#This Row],[RetCDT]]</f>
        <v>0</v>
      </c>
      <c r="V322" s="24">
        <f>TModelo[[#This Row],[IniCOLCAP]]*TModelo[[#This Row],[RetCOLCAP]]</f>
        <v>0</v>
      </c>
      <c r="W322" s="24">
        <f>TModelo[[#This Row],[IniUSD]]*TModelo[[#This Row],[RetUSD]]</f>
        <v>0</v>
      </c>
      <c r="X322" s="24">
        <f>TModelo[[#This Row],[Act]]*(TModelo[[#This Row],[IniCDT]]+TModelo[[#This Row],[IntCDT]]+PesoCDT*TModelo[[#This Row],[Outflow]])</f>
        <v>0</v>
      </c>
      <c r="Y322" s="24">
        <f>TModelo[[#This Row],[Act]]*(TModelo[[#This Row],[IniCOLCAP]]+TModelo[[#This Row],[IntCOLCAP]]+PesoCOLCAP*TModelo[[#This Row],[Outflow]])</f>
        <v>0</v>
      </c>
      <c r="Z322" s="24">
        <f>TModelo[[#This Row],[Act]]*(TModelo[[#This Row],[IniUSD]]+TModelo[[#This Row],[IntUSD]]+PesoUSD*TModelo[[#This Row],[Outflow]])</f>
        <v>0</v>
      </c>
      <c r="AA322" s="24">
        <f>TModelo[[#This Row],[BalCDT]]+TModelo[[#This Row],[BalCOLCAP]]+TModelo[[#This Row],[BalUSD]]</f>
        <v>0</v>
      </c>
      <c r="AB322" s="24">
        <f>IF(TModelo[[#This Row],[CumInfl]]&gt;0,TModelo[[#This Row],[TotalPreLiq]]/TModelo[[#This Row],[CumInfl]],0)</f>
        <v>0</v>
      </c>
      <c r="AC322" s="41">
        <f>(1+PerRate)^(-TModelo[[#This Row],[Period]])</f>
        <v>0.10037421762205359</v>
      </c>
      <c r="AD322" s="42">
        <f>TModelo[[#This Row],[NetCF]]*TModelo[[#This Row],[fd]]</f>
        <v>0</v>
      </c>
    </row>
    <row r="323" spans="2:30" ht="16.95" customHeight="1">
      <c r="B323" s="11">
        <v>296</v>
      </c>
      <c r="C323" s="25">
        <f>EDATE(FechaInicio,TModelo[[#This Row],[Period]])</f>
        <v>55302</v>
      </c>
      <c r="D323" s="11">
        <f>IF(AND(TModelo[[#This Row],[Period]]&gt;=1,TModelo[[#This Row],[Period]]&lt;=HorizonteMeses),1,0)</f>
        <v>0</v>
      </c>
      <c r="E323" s="40">
        <f>TModelo[[#This Row],[Act]]*(INFb+(INFpi0-INFb)*(1-INFa)^TModelo[[#This Row],[Period]])</f>
        <v>0</v>
      </c>
      <c r="F323" s="28">
        <f>IF(TModelo[[#This Row],[Period]]&lt;=HorizonteMeses,F322*(1+TModelo[[#This Row],[InflMes]]),0)</f>
        <v>0</v>
      </c>
      <c r="G323" s="21">
        <f>TModelo[[#This Row],[Act]]*(CDTb+(CDTx0-CDTb)*(1-CDTa)^TModelo[[#This Row],[Period]]+CDTspread)</f>
        <v>0</v>
      </c>
      <c r="H323" s="40">
        <f>TModelo[[#This Row],[Act]]*((1+TModelo[[#This Row],[TasaCDT]])^(1/12)-1)*(1-Retencion)</f>
        <v>0</v>
      </c>
      <c r="I323" s="40">
        <f>TModelo[[#This Row],[Act]]*(EXP(MuCOLCAP+SigmaCOLCAP^2/2)-1)</f>
        <v>0</v>
      </c>
      <c r="J323" s="40">
        <f>TModelo[[#This Row],[Act]]*(EXP(MuTRM+SigmaTRM^2/2)-1)</f>
        <v>0</v>
      </c>
      <c r="K323" s="11">
        <f>TModelo[[#This Row],[Act]]*IF(Rebalanceo="Mensual",1,IF(Rebalanceo="Anual",IF(MOD(TModelo[[#This Row],[Period]]-1,12)=0,1,0),0))</f>
        <v>0</v>
      </c>
      <c r="L323" s="24">
        <f>TModelo[[#This Row],[Act]]*AporteMensual*IF(CrecimientoAporte="Con IPC",F322,1)</f>
        <v>0</v>
      </c>
      <c r="M323" s="24">
        <f>IF(TModelo[[#This Row],[Period]]=HorizonteMeses,TModelo[[#This Row],[TotalPreLiq]],0)</f>
        <v>0</v>
      </c>
      <c r="N323" s="24">
        <f>TModelo[[#This Row],[Inflow]]-TModelo[[#This Row],[Outflow]]</f>
        <v>0</v>
      </c>
      <c r="O323" s="24">
        <f t="shared" si="4"/>
        <v>0</v>
      </c>
      <c r="P323" s="24">
        <f>TModelo[[#This Row],[IntCDT]]+TModelo[[#This Row],[IntCOLCAP]]+TModelo[[#This Row],[IntUSD]]</f>
        <v>0</v>
      </c>
      <c r="Q323" s="24">
        <f>TModelo[[#This Row],[InitialBalance]]+TModelo[[#This Row],[Interest]]+TModelo[[#This Row],[Outflow]]-TModelo[[#This Row],[Inflow]]</f>
        <v>0</v>
      </c>
      <c r="R323" s="24">
        <f>TModelo[[#This Row],[Act]]*IF(TModelo[[#This Row],[Rebal]]=1,PesoCDT*(X322+Y322+Z322),X322)</f>
        <v>0</v>
      </c>
      <c r="S323" s="24">
        <f>TModelo[[#This Row],[Act]]*IF(TModelo[[#This Row],[Rebal]]=1,PesoCOLCAP*(X322+Y322+Z322),Y322)</f>
        <v>0</v>
      </c>
      <c r="T323" s="24">
        <f>TModelo[[#This Row],[Act]]*IF(TModelo[[#This Row],[Rebal]]=1,PesoUSD*(X322+Y322+Z322),Z322)</f>
        <v>0</v>
      </c>
      <c r="U323" s="24">
        <f>TModelo[[#This Row],[IniCDT]]*TModelo[[#This Row],[RetCDT]]</f>
        <v>0</v>
      </c>
      <c r="V323" s="24">
        <f>TModelo[[#This Row],[IniCOLCAP]]*TModelo[[#This Row],[RetCOLCAP]]</f>
        <v>0</v>
      </c>
      <c r="W323" s="24">
        <f>TModelo[[#This Row],[IniUSD]]*TModelo[[#This Row],[RetUSD]]</f>
        <v>0</v>
      </c>
      <c r="X323" s="24">
        <f>TModelo[[#This Row],[Act]]*(TModelo[[#This Row],[IniCDT]]+TModelo[[#This Row],[IntCDT]]+PesoCDT*TModelo[[#This Row],[Outflow]])</f>
        <v>0</v>
      </c>
      <c r="Y323" s="24">
        <f>TModelo[[#This Row],[Act]]*(TModelo[[#This Row],[IniCOLCAP]]+TModelo[[#This Row],[IntCOLCAP]]+PesoCOLCAP*TModelo[[#This Row],[Outflow]])</f>
        <v>0</v>
      </c>
      <c r="Z323" s="24">
        <f>TModelo[[#This Row],[Act]]*(TModelo[[#This Row],[IniUSD]]+TModelo[[#This Row],[IntUSD]]+PesoUSD*TModelo[[#This Row],[Outflow]])</f>
        <v>0</v>
      </c>
      <c r="AA323" s="24">
        <f>TModelo[[#This Row],[BalCDT]]+TModelo[[#This Row],[BalCOLCAP]]+TModelo[[#This Row],[BalUSD]]</f>
        <v>0</v>
      </c>
      <c r="AB323" s="24">
        <f>IF(TModelo[[#This Row],[CumInfl]]&gt;0,TModelo[[#This Row],[TotalPreLiq]]/TModelo[[#This Row],[CumInfl]],0)</f>
        <v>0</v>
      </c>
      <c r="AC323" s="41">
        <f>(1+PerRate)^(-TModelo[[#This Row],[Period]])</f>
        <v>9.9595070078014034E-2</v>
      </c>
      <c r="AD323" s="42">
        <f>TModelo[[#This Row],[NetCF]]*TModelo[[#This Row],[fd]]</f>
        <v>0</v>
      </c>
    </row>
    <row r="324" spans="2:30" ht="16.95" customHeight="1">
      <c r="B324" s="11">
        <v>297</v>
      </c>
      <c r="C324" s="25">
        <f>EDATE(FechaInicio,TModelo[[#This Row],[Period]])</f>
        <v>55333</v>
      </c>
      <c r="D324" s="11">
        <f>IF(AND(TModelo[[#This Row],[Period]]&gt;=1,TModelo[[#This Row],[Period]]&lt;=HorizonteMeses),1,0)</f>
        <v>0</v>
      </c>
      <c r="E324" s="40">
        <f>TModelo[[#This Row],[Act]]*(INFb+(INFpi0-INFb)*(1-INFa)^TModelo[[#This Row],[Period]])</f>
        <v>0</v>
      </c>
      <c r="F324" s="28">
        <f>IF(TModelo[[#This Row],[Period]]&lt;=HorizonteMeses,F323*(1+TModelo[[#This Row],[InflMes]]),0)</f>
        <v>0</v>
      </c>
      <c r="G324" s="21">
        <f>TModelo[[#This Row],[Act]]*(CDTb+(CDTx0-CDTb)*(1-CDTa)^TModelo[[#This Row],[Period]]+CDTspread)</f>
        <v>0</v>
      </c>
      <c r="H324" s="40">
        <f>TModelo[[#This Row],[Act]]*((1+TModelo[[#This Row],[TasaCDT]])^(1/12)-1)*(1-Retencion)</f>
        <v>0</v>
      </c>
      <c r="I324" s="40">
        <f>TModelo[[#This Row],[Act]]*(EXP(MuCOLCAP+SigmaCOLCAP^2/2)-1)</f>
        <v>0</v>
      </c>
      <c r="J324" s="40">
        <f>TModelo[[#This Row],[Act]]*(EXP(MuTRM+SigmaTRM^2/2)-1)</f>
        <v>0</v>
      </c>
      <c r="K324" s="11">
        <f>TModelo[[#This Row],[Act]]*IF(Rebalanceo="Mensual",1,IF(Rebalanceo="Anual",IF(MOD(TModelo[[#This Row],[Period]]-1,12)=0,1,0),0))</f>
        <v>0</v>
      </c>
      <c r="L324" s="24">
        <f>TModelo[[#This Row],[Act]]*AporteMensual*IF(CrecimientoAporte="Con IPC",F323,1)</f>
        <v>0</v>
      </c>
      <c r="M324" s="24">
        <f>IF(TModelo[[#This Row],[Period]]=HorizonteMeses,TModelo[[#This Row],[TotalPreLiq]],0)</f>
        <v>0</v>
      </c>
      <c r="N324" s="24">
        <f>TModelo[[#This Row],[Inflow]]-TModelo[[#This Row],[Outflow]]</f>
        <v>0</v>
      </c>
      <c r="O324" s="24">
        <f t="shared" si="4"/>
        <v>0</v>
      </c>
      <c r="P324" s="24">
        <f>TModelo[[#This Row],[IntCDT]]+TModelo[[#This Row],[IntCOLCAP]]+TModelo[[#This Row],[IntUSD]]</f>
        <v>0</v>
      </c>
      <c r="Q324" s="24">
        <f>TModelo[[#This Row],[InitialBalance]]+TModelo[[#This Row],[Interest]]+TModelo[[#This Row],[Outflow]]-TModelo[[#This Row],[Inflow]]</f>
        <v>0</v>
      </c>
      <c r="R324" s="24">
        <f>TModelo[[#This Row],[Act]]*IF(TModelo[[#This Row],[Rebal]]=1,PesoCDT*(X323+Y323+Z323),X323)</f>
        <v>0</v>
      </c>
      <c r="S324" s="24">
        <f>TModelo[[#This Row],[Act]]*IF(TModelo[[#This Row],[Rebal]]=1,PesoCOLCAP*(X323+Y323+Z323),Y323)</f>
        <v>0</v>
      </c>
      <c r="T324" s="24">
        <f>TModelo[[#This Row],[Act]]*IF(TModelo[[#This Row],[Rebal]]=1,PesoUSD*(X323+Y323+Z323),Z323)</f>
        <v>0</v>
      </c>
      <c r="U324" s="24">
        <f>TModelo[[#This Row],[IniCDT]]*TModelo[[#This Row],[RetCDT]]</f>
        <v>0</v>
      </c>
      <c r="V324" s="24">
        <f>TModelo[[#This Row],[IniCOLCAP]]*TModelo[[#This Row],[RetCOLCAP]]</f>
        <v>0</v>
      </c>
      <c r="W324" s="24">
        <f>TModelo[[#This Row],[IniUSD]]*TModelo[[#This Row],[RetUSD]]</f>
        <v>0</v>
      </c>
      <c r="X324" s="24">
        <f>TModelo[[#This Row],[Act]]*(TModelo[[#This Row],[IniCDT]]+TModelo[[#This Row],[IntCDT]]+PesoCDT*TModelo[[#This Row],[Outflow]])</f>
        <v>0</v>
      </c>
      <c r="Y324" s="24">
        <f>TModelo[[#This Row],[Act]]*(TModelo[[#This Row],[IniCOLCAP]]+TModelo[[#This Row],[IntCOLCAP]]+PesoCOLCAP*TModelo[[#This Row],[Outflow]])</f>
        <v>0</v>
      </c>
      <c r="Z324" s="24">
        <f>TModelo[[#This Row],[Act]]*(TModelo[[#This Row],[IniUSD]]+TModelo[[#This Row],[IntUSD]]+PesoUSD*TModelo[[#This Row],[Outflow]])</f>
        <v>0</v>
      </c>
      <c r="AA324" s="24">
        <f>TModelo[[#This Row],[BalCDT]]+TModelo[[#This Row],[BalCOLCAP]]+TModelo[[#This Row],[BalUSD]]</f>
        <v>0</v>
      </c>
      <c r="AB324" s="24">
        <f>IF(TModelo[[#This Row],[CumInfl]]&gt;0,TModelo[[#This Row],[TotalPreLiq]]/TModelo[[#This Row],[CumInfl]],0)</f>
        <v>0</v>
      </c>
      <c r="AC324" s="41">
        <f>(1+PerRate)^(-TModelo[[#This Row],[Period]])</f>
        <v>9.8821970609962173E-2</v>
      </c>
      <c r="AD324" s="42">
        <f>TModelo[[#This Row],[NetCF]]*TModelo[[#This Row],[fd]]</f>
        <v>0</v>
      </c>
    </row>
    <row r="325" spans="2:30" ht="16.95" customHeight="1">
      <c r="B325" s="11">
        <v>298</v>
      </c>
      <c r="C325" s="25">
        <f>EDATE(FechaInicio,TModelo[[#This Row],[Period]])</f>
        <v>55363</v>
      </c>
      <c r="D325" s="11">
        <f>IF(AND(TModelo[[#This Row],[Period]]&gt;=1,TModelo[[#This Row],[Period]]&lt;=HorizonteMeses),1,0)</f>
        <v>0</v>
      </c>
      <c r="E325" s="40">
        <f>TModelo[[#This Row],[Act]]*(INFb+(INFpi0-INFb)*(1-INFa)^TModelo[[#This Row],[Period]])</f>
        <v>0</v>
      </c>
      <c r="F325" s="28">
        <f>IF(TModelo[[#This Row],[Period]]&lt;=HorizonteMeses,F324*(1+TModelo[[#This Row],[InflMes]]),0)</f>
        <v>0</v>
      </c>
      <c r="G325" s="21">
        <f>TModelo[[#This Row],[Act]]*(CDTb+(CDTx0-CDTb)*(1-CDTa)^TModelo[[#This Row],[Period]]+CDTspread)</f>
        <v>0</v>
      </c>
      <c r="H325" s="40">
        <f>TModelo[[#This Row],[Act]]*((1+TModelo[[#This Row],[TasaCDT]])^(1/12)-1)*(1-Retencion)</f>
        <v>0</v>
      </c>
      <c r="I325" s="40">
        <f>TModelo[[#This Row],[Act]]*(EXP(MuCOLCAP+SigmaCOLCAP^2/2)-1)</f>
        <v>0</v>
      </c>
      <c r="J325" s="40">
        <f>TModelo[[#This Row],[Act]]*(EXP(MuTRM+SigmaTRM^2/2)-1)</f>
        <v>0</v>
      </c>
      <c r="K325" s="11">
        <f>TModelo[[#This Row],[Act]]*IF(Rebalanceo="Mensual",1,IF(Rebalanceo="Anual",IF(MOD(TModelo[[#This Row],[Period]]-1,12)=0,1,0),0))</f>
        <v>0</v>
      </c>
      <c r="L325" s="24">
        <f>TModelo[[#This Row],[Act]]*AporteMensual*IF(CrecimientoAporte="Con IPC",F324,1)</f>
        <v>0</v>
      </c>
      <c r="M325" s="24">
        <f>IF(TModelo[[#This Row],[Period]]=HorizonteMeses,TModelo[[#This Row],[TotalPreLiq]],0)</f>
        <v>0</v>
      </c>
      <c r="N325" s="24">
        <f>TModelo[[#This Row],[Inflow]]-TModelo[[#This Row],[Outflow]]</f>
        <v>0</v>
      </c>
      <c r="O325" s="24">
        <f t="shared" si="4"/>
        <v>0</v>
      </c>
      <c r="P325" s="24">
        <f>TModelo[[#This Row],[IntCDT]]+TModelo[[#This Row],[IntCOLCAP]]+TModelo[[#This Row],[IntUSD]]</f>
        <v>0</v>
      </c>
      <c r="Q325" s="24">
        <f>TModelo[[#This Row],[InitialBalance]]+TModelo[[#This Row],[Interest]]+TModelo[[#This Row],[Outflow]]-TModelo[[#This Row],[Inflow]]</f>
        <v>0</v>
      </c>
      <c r="R325" s="24">
        <f>TModelo[[#This Row],[Act]]*IF(TModelo[[#This Row],[Rebal]]=1,PesoCDT*(X324+Y324+Z324),X324)</f>
        <v>0</v>
      </c>
      <c r="S325" s="24">
        <f>TModelo[[#This Row],[Act]]*IF(TModelo[[#This Row],[Rebal]]=1,PesoCOLCAP*(X324+Y324+Z324),Y324)</f>
        <v>0</v>
      </c>
      <c r="T325" s="24">
        <f>TModelo[[#This Row],[Act]]*IF(TModelo[[#This Row],[Rebal]]=1,PesoUSD*(X324+Y324+Z324),Z324)</f>
        <v>0</v>
      </c>
      <c r="U325" s="24">
        <f>TModelo[[#This Row],[IniCDT]]*TModelo[[#This Row],[RetCDT]]</f>
        <v>0</v>
      </c>
      <c r="V325" s="24">
        <f>TModelo[[#This Row],[IniCOLCAP]]*TModelo[[#This Row],[RetCOLCAP]]</f>
        <v>0</v>
      </c>
      <c r="W325" s="24">
        <f>TModelo[[#This Row],[IniUSD]]*TModelo[[#This Row],[RetUSD]]</f>
        <v>0</v>
      </c>
      <c r="X325" s="24">
        <f>TModelo[[#This Row],[Act]]*(TModelo[[#This Row],[IniCDT]]+TModelo[[#This Row],[IntCDT]]+PesoCDT*TModelo[[#This Row],[Outflow]])</f>
        <v>0</v>
      </c>
      <c r="Y325" s="24">
        <f>TModelo[[#This Row],[Act]]*(TModelo[[#This Row],[IniCOLCAP]]+TModelo[[#This Row],[IntCOLCAP]]+PesoCOLCAP*TModelo[[#This Row],[Outflow]])</f>
        <v>0</v>
      </c>
      <c r="Z325" s="24">
        <f>TModelo[[#This Row],[Act]]*(TModelo[[#This Row],[IniUSD]]+TModelo[[#This Row],[IntUSD]]+PesoUSD*TModelo[[#This Row],[Outflow]])</f>
        <v>0</v>
      </c>
      <c r="AA325" s="24">
        <f>TModelo[[#This Row],[BalCDT]]+TModelo[[#This Row],[BalCOLCAP]]+TModelo[[#This Row],[BalUSD]]</f>
        <v>0</v>
      </c>
      <c r="AB325" s="24">
        <f>IF(TModelo[[#This Row],[CumInfl]]&gt;0,TModelo[[#This Row],[TotalPreLiq]]/TModelo[[#This Row],[CumInfl]],0)</f>
        <v>0</v>
      </c>
      <c r="AC325" s="41">
        <f>(1+PerRate)^(-TModelo[[#This Row],[Period]])</f>
        <v>9.8054872270149224E-2</v>
      </c>
      <c r="AD325" s="42">
        <f>TModelo[[#This Row],[NetCF]]*TModelo[[#This Row],[fd]]</f>
        <v>0</v>
      </c>
    </row>
    <row r="326" spans="2:30" ht="16.95" customHeight="1">
      <c r="B326" s="11">
        <v>299</v>
      </c>
      <c r="C326" s="25">
        <f>EDATE(FechaInicio,TModelo[[#This Row],[Period]])</f>
        <v>55394</v>
      </c>
      <c r="D326" s="11">
        <f>IF(AND(TModelo[[#This Row],[Period]]&gt;=1,TModelo[[#This Row],[Period]]&lt;=HorizonteMeses),1,0)</f>
        <v>0</v>
      </c>
      <c r="E326" s="40">
        <f>TModelo[[#This Row],[Act]]*(INFb+(INFpi0-INFb)*(1-INFa)^TModelo[[#This Row],[Period]])</f>
        <v>0</v>
      </c>
      <c r="F326" s="28">
        <f>IF(TModelo[[#This Row],[Period]]&lt;=HorizonteMeses,F325*(1+TModelo[[#This Row],[InflMes]]),0)</f>
        <v>0</v>
      </c>
      <c r="G326" s="21">
        <f>TModelo[[#This Row],[Act]]*(CDTb+(CDTx0-CDTb)*(1-CDTa)^TModelo[[#This Row],[Period]]+CDTspread)</f>
        <v>0</v>
      </c>
      <c r="H326" s="40">
        <f>TModelo[[#This Row],[Act]]*((1+TModelo[[#This Row],[TasaCDT]])^(1/12)-1)*(1-Retencion)</f>
        <v>0</v>
      </c>
      <c r="I326" s="40">
        <f>TModelo[[#This Row],[Act]]*(EXP(MuCOLCAP+SigmaCOLCAP^2/2)-1)</f>
        <v>0</v>
      </c>
      <c r="J326" s="40">
        <f>TModelo[[#This Row],[Act]]*(EXP(MuTRM+SigmaTRM^2/2)-1)</f>
        <v>0</v>
      </c>
      <c r="K326" s="11">
        <f>TModelo[[#This Row],[Act]]*IF(Rebalanceo="Mensual",1,IF(Rebalanceo="Anual",IF(MOD(TModelo[[#This Row],[Period]]-1,12)=0,1,0),0))</f>
        <v>0</v>
      </c>
      <c r="L326" s="24">
        <f>TModelo[[#This Row],[Act]]*AporteMensual*IF(CrecimientoAporte="Con IPC",F325,1)</f>
        <v>0</v>
      </c>
      <c r="M326" s="24">
        <f>IF(TModelo[[#This Row],[Period]]=HorizonteMeses,TModelo[[#This Row],[TotalPreLiq]],0)</f>
        <v>0</v>
      </c>
      <c r="N326" s="24">
        <f>TModelo[[#This Row],[Inflow]]-TModelo[[#This Row],[Outflow]]</f>
        <v>0</v>
      </c>
      <c r="O326" s="24">
        <f t="shared" si="4"/>
        <v>0</v>
      </c>
      <c r="P326" s="24">
        <f>TModelo[[#This Row],[IntCDT]]+TModelo[[#This Row],[IntCOLCAP]]+TModelo[[#This Row],[IntUSD]]</f>
        <v>0</v>
      </c>
      <c r="Q326" s="24">
        <f>TModelo[[#This Row],[InitialBalance]]+TModelo[[#This Row],[Interest]]+TModelo[[#This Row],[Outflow]]-TModelo[[#This Row],[Inflow]]</f>
        <v>0</v>
      </c>
      <c r="R326" s="24">
        <f>TModelo[[#This Row],[Act]]*IF(TModelo[[#This Row],[Rebal]]=1,PesoCDT*(X325+Y325+Z325),X325)</f>
        <v>0</v>
      </c>
      <c r="S326" s="24">
        <f>TModelo[[#This Row],[Act]]*IF(TModelo[[#This Row],[Rebal]]=1,PesoCOLCAP*(X325+Y325+Z325),Y325)</f>
        <v>0</v>
      </c>
      <c r="T326" s="24">
        <f>TModelo[[#This Row],[Act]]*IF(TModelo[[#This Row],[Rebal]]=1,PesoUSD*(X325+Y325+Z325),Z325)</f>
        <v>0</v>
      </c>
      <c r="U326" s="24">
        <f>TModelo[[#This Row],[IniCDT]]*TModelo[[#This Row],[RetCDT]]</f>
        <v>0</v>
      </c>
      <c r="V326" s="24">
        <f>TModelo[[#This Row],[IniCOLCAP]]*TModelo[[#This Row],[RetCOLCAP]]</f>
        <v>0</v>
      </c>
      <c r="W326" s="24">
        <f>TModelo[[#This Row],[IniUSD]]*TModelo[[#This Row],[RetUSD]]</f>
        <v>0</v>
      </c>
      <c r="X326" s="24">
        <f>TModelo[[#This Row],[Act]]*(TModelo[[#This Row],[IniCDT]]+TModelo[[#This Row],[IntCDT]]+PesoCDT*TModelo[[#This Row],[Outflow]])</f>
        <v>0</v>
      </c>
      <c r="Y326" s="24">
        <f>TModelo[[#This Row],[Act]]*(TModelo[[#This Row],[IniCOLCAP]]+TModelo[[#This Row],[IntCOLCAP]]+PesoCOLCAP*TModelo[[#This Row],[Outflow]])</f>
        <v>0</v>
      </c>
      <c r="Z326" s="24">
        <f>TModelo[[#This Row],[Act]]*(TModelo[[#This Row],[IniUSD]]+TModelo[[#This Row],[IntUSD]]+PesoUSD*TModelo[[#This Row],[Outflow]])</f>
        <v>0</v>
      </c>
      <c r="AA326" s="24">
        <f>TModelo[[#This Row],[BalCDT]]+TModelo[[#This Row],[BalCOLCAP]]+TModelo[[#This Row],[BalUSD]]</f>
        <v>0</v>
      </c>
      <c r="AB326" s="24">
        <f>IF(TModelo[[#This Row],[CumInfl]]&gt;0,TModelo[[#This Row],[TotalPreLiq]]/TModelo[[#This Row],[CumInfl]],0)</f>
        <v>0</v>
      </c>
      <c r="AC326" s="41">
        <f>(1+PerRate)^(-TModelo[[#This Row],[Period]])</f>
        <v>9.7293728475254901E-2</v>
      </c>
      <c r="AD326" s="42">
        <f>TModelo[[#This Row],[NetCF]]*TModelo[[#This Row],[fd]]</f>
        <v>0</v>
      </c>
    </row>
    <row r="327" spans="2:30" ht="16.95" customHeight="1">
      <c r="B327" s="11">
        <v>300</v>
      </c>
      <c r="C327" s="25">
        <f>EDATE(FechaInicio,TModelo[[#This Row],[Period]])</f>
        <v>55425</v>
      </c>
      <c r="D327" s="11">
        <f>IF(AND(TModelo[[#This Row],[Period]]&gt;=1,TModelo[[#This Row],[Period]]&lt;=HorizonteMeses),1,0)</f>
        <v>0</v>
      </c>
      <c r="E327" s="40">
        <f>TModelo[[#This Row],[Act]]*(INFb+(INFpi0-INFb)*(1-INFa)^TModelo[[#This Row],[Period]])</f>
        <v>0</v>
      </c>
      <c r="F327" s="28">
        <f>IF(TModelo[[#This Row],[Period]]&lt;=HorizonteMeses,F326*(1+TModelo[[#This Row],[InflMes]]),0)</f>
        <v>0</v>
      </c>
      <c r="G327" s="21">
        <f>TModelo[[#This Row],[Act]]*(CDTb+(CDTx0-CDTb)*(1-CDTa)^TModelo[[#This Row],[Period]]+CDTspread)</f>
        <v>0</v>
      </c>
      <c r="H327" s="40">
        <f>TModelo[[#This Row],[Act]]*((1+TModelo[[#This Row],[TasaCDT]])^(1/12)-1)*(1-Retencion)</f>
        <v>0</v>
      </c>
      <c r="I327" s="40">
        <f>TModelo[[#This Row],[Act]]*(EXP(MuCOLCAP+SigmaCOLCAP^2/2)-1)</f>
        <v>0</v>
      </c>
      <c r="J327" s="40">
        <f>TModelo[[#This Row],[Act]]*(EXP(MuTRM+SigmaTRM^2/2)-1)</f>
        <v>0</v>
      </c>
      <c r="K327" s="11">
        <f>TModelo[[#This Row],[Act]]*IF(Rebalanceo="Mensual",1,IF(Rebalanceo="Anual",IF(MOD(TModelo[[#This Row],[Period]]-1,12)=0,1,0),0))</f>
        <v>0</v>
      </c>
      <c r="L327" s="24">
        <f>TModelo[[#This Row],[Act]]*AporteMensual*IF(CrecimientoAporte="Con IPC",F326,1)</f>
        <v>0</v>
      </c>
      <c r="M327" s="24">
        <f>IF(TModelo[[#This Row],[Period]]=HorizonteMeses,TModelo[[#This Row],[TotalPreLiq]],0)</f>
        <v>0</v>
      </c>
      <c r="N327" s="24">
        <f>TModelo[[#This Row],[Inflow]]-TModelo[[#This Row],[Outflow]]</f>
        <v>0</v>
      </c>
      <c r="O327" s="24">
        <f t="shared" si="4"/>
        <v>0</v>
      </c>
      <c r="P327" s="24">
        <f>TModelo[[#This Row],[IntCDT]]+TModelo[[#This Row],[IntCOLCAP]]+TModelo[[#This Row],[IntUSD]]</f>
        <v>0</v>
      </c>
      <c r="Q327" s="24">
        <f>TModelo[[#This Row],[InitialBalance]]+TModelo[[#This Row],[Interest]]+TModelo[[#This Row],[Outflow]]-TModelo[[#This Row],[Inflow]]</f>
        <v>0</v>
      </c>
      <c r="R327" s="24">
        <f>TModelo[[#This Row],[Act]]*IF(TModelo[[#This Row],[Rebal]]=1,PesoCDT*(X326+Y326+Z326),X326)</f>
        <v>0</v>
      </c>
      <c r="S327" s="24">
        <f>TModelo[[#This Row],[Act]]*IF(TModelo[[#This Row],[Rebal]]=1,PesoCOLCAP*(X326+Y326+Z326),Y326)</f>
        <v>0</v>
      </c>
      <c r="T327" s="24">
        <f>TModelo[[#This Row],[Act]]*IF(TModelo[[#This Row],[Rebal]]=1,PesoUSD*(X326+Y326+Z326),Z326)</f>
        <v>0</v>
      </c>
      <c r="U327" s="24">
        <f>TModelo[[#This Row],[IniCDT]]*TModelo[[#This Row],[RetCDT]]</f>
        <v>0</v>
      </c>
      <c r="V327" s="24">
        <f>TModelo[[#This Row],[IniCOLCAP]]*TModelo[[#This Row],[RetCOLCAP]]</f>
        <v>0</v>
      </c>
      <c r="W327" s="24">
        <f>TModelo[[#This Row],[IniUSD]]*TModelo[[#This Row],[RetUSD]]</f>
        <v>0</v>
      </c>
      <c r="X327" s="24">
        <f>TModelo[[#This Row],[Act]]*(TModelo[[#This Row],[IniCDT]]+TModelo[[#This Row],[IntCDT]]+PesoCDT*TModelo[[#This Row],[Outflow]])</f>
        <v>0</v>
      </c>
      <c r="Y327" s="24">
        <f>TModelo[[#This Row],[Act]]*(TModelo[[#This Row],[IniCOLCAP]]+TModelo[[#This Row],[IntCOLCAP]]+PesoCOLCAP*TModelo[[#This Row],[Outflow]])</f>
        <v>0</v>
      </c>
      <c r="Z327" s="24">
        <f>TModelo[[#This Row],[Act]]*(TModelo[[#This Row],[IniUSD]]+TModelo[[#This Row],[IntUSD]]+PesoUSD*TModelo[[#This Row],[Outflow]])</f>
        <v>0</v>
      </c>
      <c r="AA327" s="24">
        <f>TModelo[[#This Row],[BalCDT]]+TModelo[[#This Row],[BalCOLCAP]]+TModelo[[#This Row],[BalUSD]]</f>
        <v>0</v>
      </c>
      <c r="AB327" s="24">
        <f>IF(TModelo[[#This Row],[CumInfl]]&gt;0,TModelo[[#This Row],[TotalPreLiq]]/TModelo[[#This Row],[CumInfl]],0)</f>
        <v>0</v>
      </c>
      <c r="AC327" s="41">
        <f>(1+PerRate)^(-TModelo[[#This Row],[Period]])</f>
        <v>9.6538493003558531E-2</v>
      </c>
      <c r="AD327" s="42">
        <f>TModelo[[#This Row],[NetCF]]*TModelo[[#This Row],[fd]]</f>
        <v>0</v>
      </c>
    </row>
    <row r="328" spans="2:30" ht="16.95" customHeight="1">
      <c r="B328" s="11">
        <v>301</v>
      </c>
      <c r="C328" s="25">
        <f>EDATE(FechaInicio,TModelo[[#This Row],[Period]])</f>
        <v>55455</v>
      </c>
      <c r="D328" s="11">
        <f>IF(AND(TModelo[[#This Row],[Period]]&gt;=1,TModelo[[#This Row],[Period]]&lt;=HorizonteMeses),1,0)</f>
        <v>0</v>
      </c>
      <c r="E328" s="40">
        <f>TModelo[[#This Row],[Act]]*(INFb+(INFpi0-INFb)*(1-INFa)^TModelo[[#This Row],[Period]])</f>
        <v>0</v>
      </c>
      <c r="F328" s="28">
        <f>IF(TModelo[[#This Row],[Period]]&lt;=HorizonteMeses,F327*(1+TModelo[[#This Row],[InflMes]]),0)</f>
        <v>0</v>
      </c>
      <c r="G328" s="21">
        <f>TModelo[[#This Row],[Act]]*(CDTb+(CDTx0-CDTb)*(1-CDTa)^TModelo[[#This Row],[Period]]+CDTspread)</f>
        <v>0</v>
      </c>
      <c r="H328" s="40">
        <f>TModelo[[#This Row],[Act]]*((1+TModelo[[#This Row],[TasaCDT]])^(1/12)-1)*(1-Retencion)</f>
        <v>0</v>
      </c>
      <c r="I328" s="40">
        <f>TModelo[[#This Row],[Act]]*(EXP(MuCOLCAP+SigmaCOLCAP^2/2)-1)</f>
        <v>0</v>
      </c>
      <c r="J328" s="40">
        <f>TModelo[[#This Row],[Act]]*(EXP(MuTRM+SigmaTRM^2/2)-1)</f>
        <v>0</v>
      </c>
      <c r="K328" s="11">
        <f>TModelo[[#This Row],[Act]]*IF(Rebalanceo="Mensual",1,IF(Rebalanceo="Anual",IF(MOD(TModelo[[#This Row],[Period]]-1,12)=0,1,0),0))</f>
        <v>0</v>
      </c>
      <c r="L328" s="24">
        <f>TModelo[[#This Row],[Act]]*AporteMensual*IF(CrecimientoAporte="Con IPC",F327,1)</f>
        <v>0</v>
      </c>
      <c r="M328" s="24">
        <f>IF(TModelo[[#This Row],[Period]]=HorizonteMeses,TModelo[[#This Row],[TotalPreLiq]],0)</f>
        <v>0</v>
      </c>
      <c r="N328" s="24">
        <f>TModelo[[#This Row],[Inflow]]-TModelo[[#This Row],[Outflow]]</f>
        <v>0</v>
      </c>
      <c r="O328" s="24">
        <f t="shared" si="4"/>
        <v>0</v>
      </c>
      <c r="P328" s="24">
        <f>TModelo[[#This Row],[IntCDT]]+TModelo[[#This Row],[IntCOLCAP]]+TModelo[[#This Row],[IntUSD]]</f>
        <v>0</v>
      </c>
      <c r="Q328" s="24">
        <f>TModelo[[#This Row],[InitialBalance]]+TModelo[[#This Row],[Interest]]+TModelo[[#This Row],[Outflow]]-TModelo[[#This Row],[Inflow]]</f>
        <v>0</v>
      </c>
      <c r="R328" s="24">
        <f>TModelo[[#This Row],[Act]]*IF(TModelo[[#This Row],[Rebal]]=1,PesoCDT*(X327+Y327+Z327),X327)</f>
        <v>0</v>
      </c>
      <c r="S328" s="24">
        <f>TModelo[[#This Row],[Act]]*IF(TModelo[[#This Row],[Rebal]]=1,PesoCOLCAP*(X327+Y327+Z327),Y327)</f>
        <v>0</v>
      </c>
      <c r="T328" s="24">
        <f>TModelo[[#This Row],[Act]]*IF(TModelo[[#This Row],[Rebal]]=1,PesoUSD*(X327+Y327+Z327),Z327)</f>
        <v>0</v>
      </c>
      <c r="U328" s="24">
        <f>TModelo[[#This Row],[IniCDT]]*TModelo[[#This Row],[RetCDT]]</f>
        <v>0</v>
      </c>
      <c r="V328" s="24">
        <f>TModelo[[#This Row],[IniCOLCAP]]*TModelo[[#This Row],[RetCOLCAP]]</f>
        <v>0</v>
      </c>
      <c r="W328" s="24">
        <f>TModelo[[#This Row],[IniUSD]]*TModelo[[#This Row],[RetUSD]]</f>
        <v>0</v>
      </c>
      <c r="X328" s="24">
        <f>TModelo[[#This Row],[Act]]*(TModelo[[#This Row],[IniCDT]]+TModelo[[#This Row],[IntCDT]]+PesoCDT*TModelo[[#This Row],[Outflow]])</f>
        <v>0</v>
      </c>
      <c r="Y328" s="24">
        <f>TModelo[[#This Row],[Act]]*(TModelo[[#This Row],[IniCOLCAP]]+TModelo[[#This Row],[IntCOLCAP]]+PesoCOLCAP*TModelo[[#This Row],[Outflow]])</f>
        <v>0</v>
      </c>
      <c r="Z328" s="24">
        <f>TModelo[[#This Row],[Act]]*(TModelo[[#This Row],[IniUSD]]+TModelo[[#This Row],[IntUSD]]+PesoUSD*TModelo[[#This Row],[Outflow]])</f>
        <v>0</v>
      </c>
      <c r="AA328" s="24">
        <f>TModelo[[#This Row],[BalCDT]]+TModelo[[#This Row],[BalCOLCAP]]+TModelo[[#This Row],[BalUSD]]</f>
        <v>0</v>
      </c>
      <c r="AB328" s="24">
        <f>IF(TModelo[[#This Row],[CumInfl]]&gt;0,TModelo[[#This Row],[TotalPreLiq]]/TModelo[[#This Row],[CumInfl]],0)</f>
        <v>0</v>
      </c>
      <c r="AC328" s="41">
        <f>(1+PerRate)^(-TModelo[[#This Row],[Period]])</f>
        <v>9.5789119992132188E-2</v>
      </c>
      <c r="AD328" s="42">
        <f>TModelo[[#This Row],[NetCF]]*TModelo[[#This Row],[fd]]</f>
        <v>0</v>
      </c>
    </row>
    <row r="329" spans="2:30" ht="16.95" customHeight="1">
      <c r="B329" s="11">
        <v>302</v>
      </c>
      <c r="C329" s="25">
        <f>EDATE(FechaInicio,TModelo[[#This Row],[Period]])</f>
        <v>55486</v>
      </c>
      <c r="D329" s="11">
        <f>IF(AND(TModelo[[#This Row],[Period]]&gt;=1,TModelo[[#This Row],[Period]]&lt;=HorizonteMeses),1,0)</f>
        <v>0</v>
      </c>
      <c r="E329" s="40">
        <f>TModelo[[#This Row],[Act]]*(INFb+(INFpi0-INFb)*(1-INFa)^TModelo[[#This Row],[Period]])</f>
        <v>0</v>
      </c>
      <c r="F329" s="28">
        <f>IF(TModelo[[#This Row],[Period]]&lt;=HorizonteMeses,F328*(1+TModelo[[#This Row],[InflMes]]),0)</f>
        <v>0</v>
      </c>
      <c r="G329" s="21">
        <f>TModelo[[#This Row],[Act]]*(CDTb+(CDTx0-CDTb)*(1-CDTa)^TModelo[[#This Row],[Period]]+CDTspread)</f>
        <v>0</v>
      </c>
      <c r="H329" s="40">
        <f>TModelo[[#This Row],[Act]]*((1+TModelo[[#This Row],[TasaCDT]])^(1/12)-1)*(1-Retencion)</f>
        <v>0</v>
      </c>
      <c r="I329" s="40">
        <f>TModelo[[#This Row],[Act]]*(EXP(MuCOLCAP+SigmaCOLCAP^2/2)-1)</f>
        <v>0</v>
      </c>
      <c r="J329" s="40">
        <f>TModelo[[#This Row],[Act]]*(EXP(MuTRM+SigmaTRM^2/2)-1)</f>
        <v>0</v>
      </c>
      <c r="K329" s="11">
        <f>TModelo[[#This Row],[Act]]*IF(Rebalanceo="Mensual",1,IF(Rebalanceo="Anual",IF(MOD(TModelo[[#This Row],[Period]]-1,12)=0,1,0),0))</f>
        <v>0</v>
      </c>
      <c r="L329" s="24">
        <f>TModelo[[#This Row],[Act]]*AporteMensual*IF(CrecimientoAporte="Con IPC",F328,1)</f>
        <v>0</v>
      </c>
      <c r="M329" s="24">
        <f>IF(TModelo[[#This Row],[Period]]=HorizonteMeses,TModelo[[#This Row],[TotalPreLiq]],0)</f>
        <v>0</v>
      </c>
      <c r="N329" s="24">
        <f>TModelo[[#This Row],[Inflow]]-TModelo[[#This Row],[Outflow]]</f>
        <v>0</v>
      </c>
      <c r="O329" s="24">
        <f t="shared" si="4"/>
        <v>0</v>
      </c>
      <c r="P329" s="24">
        <f>TModelo[[#This Row],[IntCDT]]+TModelo[[#This Row],[IntCOLCAP]]+TModelo[[#This Row],[IntUSD]]</f>
        <v>0</v>
      </c>
      <c r="Q329" s="24">
        <f>TModelo[[#This Row],[InitialBalance]]+TModelo[[#This Row],[Interest]]+TModelo[[#This Row],[Outflow]]-TModelo[[#This Row],[Inflow]]</f>
        <v>0</v>
      </c>
      <c r="R329" s="24">
        <f>TModelo[[#This Row],[Act]]*IF(TModelo[[#This Row],[Rebal]]=1,PesoCDT*(X328+Y328+Z328),X328)</f>
        <v>0</v>
      </c>
      <c r="S329" s="24">
        <f>TModelo[[#This Row],[Act]]*IF(TModelo[[#This Row],[Rebal]]=1,PesoCOLCAP*(X328+Y328+Z328),Y328)</f>
        <v>0</v>
      </c>
      <c r="T329" s="24">
        <f>TModelo[[#This Row],[Act]]*IF(TModelo[[#This Row],[Rebal]]=1,PesoUSD*(X328+Y328+Z328),Z328)</f>
        <v>0</v>
      </c>
      <c r="U329" s="24">
        <f>TModelo[[#This Row],[IniCDT]]*TModelo[[#This Row],[RetCDT]]</f>
        <v>0</v>
      </c>
      <c r="V329" s="24">
        <f>TModelo[[#This Row],[IniCOLCAP]]*TModelo[[#This Row],[RetCOLCAP]]</f>
        <v>0</v>
      </c>
      <c r="W329" s="24">
        <f>TModelo[[#This Row],[IniUSD]]*TModelo[[#This Row],[RetUSD]]</f>
        <v>0</v>
      </c>
      <c r="X329" s="24">
        <f>TModelo[[#This Row],[Act]]*(TModelo[[#This Row],[IniCDT]]+TModelo[[#This Row],[IntCDT]]+PesoCDT*TModelo[[#This Row],[Outflow]])</f>
        <v>0</v>
      </c>
      <c r="Y329" s="24">
        <f>TModelo[[#This Row],[Act]]*(TModelo[[#This Row],[IniCOLCAP]]+TModelo[[#This Row],[IntCOLCAP]]+PesoCOLCAP*TModelo[[#This Row],[Outflow]])</f>
        <v>0</v>
      </c>
      <c r="Z329" s="24">
        <f>TModelo[[#This Row],[Act]]*(TModelo[[#This Row],[IniUSD]]+TModelo[[#This Row],[IntUSD]]+PesoUSD*TModelo[[#This Row],[Outflow]])</f>
        <v>0</v>
      </c>
      <c r="AA329" s="24">
        <f>TModelo[[#This Row],[BalCDT]]+TModelo[[#This Row],[BalCOLCAP]]+TModelo[[#This Row],[BalUSD]]</f>
        <v>0</v>
      </c>
      <c r="AB329" s="24">
        <f>IF(TModelo[[#This Row],[CumInfl]]&gt;0,TModelo[[#This Row],[TotalPreLiq]]/TModelo[[#This Row],[CumInfl]],0)</f>
        <v>0</v>
      </c>
      <c r="AC329" s="41">
        <f>(1+PerRate)^(-TModelo[[#This Row],[Period]])</f>
        <v>9.5045563934055555E-2</v>
      </c>
      <c r="AD329" s="42">
        <f>TModelo[[#This Row],[NetCF]]*TModelo[[#This Row],[fd]]</f>
        <v>0</v>
      </c>
    </row>
    <row r="330" spans="2:30" ht="16.95" customHeight="1">
      <c r="B330" s="11">
        <v>303</v>
      </c>
      <c r="C330" s="25">
        <f>EDATE(FechaInicio,TModelo[[#This Row],[Period]])</f>
        <v>55516</v>
      </c>
      <c r="D330" s="11">
        <f>IF(AND(TModelo[[#This Row],[Period]]&gt;=1,TModelo[[#This Row],[Period]]&lt;=HorizonteMeses),1,0)</f>
        <v>0</v>
      </c>
      <c r="E330" s="40">
        <f>TModelo[[#This Row],[Act]]*(INFb+(INFpi0-INFb)*(1-INFa)^TModelo[[#This Row],[Period]])</f>
        <v>0</v>
      </c>
      <c r="F330" s="28">
        <f>IF(TModelo[[#This Row],[Period]]&lt;=HorizonteMeses,F329*(1+TModelo[[#This Row],[InflMes]]),0)</f>
        <v>0</v>
      </c>
      <c r="G330" s="21">
        <f>TModelo[[#This Row],[Act]]*(CDTb+(CDTx0-CDTb)*(1-CDTa)^TModelo[[#This Row],[Period]]+CDTspread)</f>
        <v>0</v>
      </c>
      <c r="H330" s="40">
        <f>TModelo[[#This Row],[Act]]*((1+TModelo[[#This Row],[TasaCDT]])^(1/12)-1)*(1-Retencion)</f>
        <v>0</v>
      </c>
      <c r="I330" s="40">
        <f>TModelo[[#This Row],[Act]]*(EXP(MuCOLCAP+SigmaCOLCAP^2/2)-1)</f>
        <v>0</v>
      </c>
      <c r="J330" s="40">
        <f>TModelo[[#This Row],[Act]]*(EXP(MuTRM+SigmaTRM^2/2)-1)</f>
        <v>0</v>
      </c>
      <c r="K330" s="11">
        <f>TModelo[[#This Row],[Act]]*IF(Rebalanceo="Mensual",1,IF(Rebalanceo="Anual",IF(MOD(TModelo[[#This Row],[Period]]-1,12)=0,1,0),0))</f>
        <v>0</v>
      </c>
      <c r="L330" s="24">
        <f>TModelo[[#This Row],[Act]]*AporteMensual*IF(CrecimientoAporte="Con IPC",F329,1)</f>
        <v>0</v>
      </c>
      <c r="M330" s="24">
        <f>IF(TModelo[[#This Row],[Period]]=HorizonteMeses,TModelo[[#This Row],[TotalPreLiq]],0)</f>
        <v>0</v>
      </c>
      <c r="N330" s="24">
        <f>TModelo[[#This Row],[Inflow]]-TModelo[[#This Row],[Outflow]]</f>
        <v>0</v>
      </c>
      <c r="O330" s="24">
        <f t="shared" si="4"/>
        <v>0</v>
      </c>
      <c r="P330" s="24">
        <f>TModelo[[#This Row],[IntCDT]]+TModelo[[#This Row],[IntCOLCAP]]+TModelo[[#This Row],[IntUSD]]</f>
        <v>0</v>
      </c>
      <c r="Q330" s="24">
        <f>TModelo[[#This Row],[InitialBalance]]+TModelo[[#This Row],[Interest]]+TModelo[[#This Row],[Outflow]]-TModelo[[#This Row],[Inflow]]</f>
        <v>0</v>
      </c>
      <c r="R330" s="24">
        <f>TModelo[[#This Row],[Act]]*IF(TModelo[[#This Row],[Rebal]]=1,PesoCDT*(X329+Y329+Z329),X329)</f>
        <v>0</v>
      </c>
      <c r="S330" s="24">
        <f>TModelo[[#This Row],[Act]]*IF(TModelo[[#This Row],[Rebal]]=1,PesoCOLCAP*(X329+Y329+Z329),Y329)</f>
        <v>0</v>
      </c>
      <c r="T330" s="24">
        <f>TModelo[[#This Row],[Act]]*IF(TModelo[[#This Row],[Rebal]]=1,PesoUSD*(X329+Y329+Z329),Z329)</f>
        <v>0</v>
      </c>
      <c r="U330" s="24">
        <f>TModelo[[#This Row],[IniCDT]]*TModelo[[#This Row],[RetCDT]]</f>
        <v>0</v>
      </c>
      <c r="V330" s="24">
        <f>TModelo[[#This Row],[IniCOLCAP]]*TModelo[[#This Row],[RetCOLCAP]]</f>
        <v>0</v>
      </c>
      <c r="W330" s="24">
        <f>TModelo[[#This Row],[IniUSD]]*TModelo[[#This Row],[RetUSD]]</f>
        <v>0</v>
      </c>
      <c r="X330" s="24">
        <f>TModelo[[#This Row],[Act]]*(TModelo[[#This Row],[IniCDT]]+TModelo[[#This Row],[IntCDT]]+PesoCDT*TModelo[[#This Row],[Outflow]])</f>
        <v>0</v>
      </c>
      <c r="Y330" s="24">
        <f>TModelo[[#This Row],[Act]]*(TModelo[[#This Row],[IniCOLCAP]]+TModelo[[#This Row],[IntCOLCAP]]+PesoCOLCAP*TModelo[[#This Row],[Outflow]])</f>
        <v>0</v>
      </c>
      <c r="Z330" s="24">
        <f>TModelo[[#This Row],[Act]]*(TModelo[[#This Row],[IniUSD]]+TModelo[[#This Row],[IntUSD]]+PesoUSD*TModelo[[#This Row],[Outflow]])</f>
        <v>0</v>
      </c>
      <c r="AA330" s="24">
        <f>TModelo[[#This Row],[BalCDT]]+TModelo[[#This Row],[BalCOLCAP]]+TModelo[[#This Row],[BalUSD]]</f>
        <v>0</v>
      </c>
      <c r="AB330" s="24">
        <f>IF(TModelo[[#This Row],[CumInfl]]&gt;0,TModelo[[#This Row],[TotalPreLiq]]/TModelo[[#This Row],[CumInfl]],0)</f>
        <v>0</v>
      </c>
      <c r="AC330" s="41">
        <f>(1+PerRate)^(-TModelo[[#This Row],[Period]])</f>
        <v>9.4307779675652501E-2</v>
      </c>
      <c r="AD330" s="42">
        <f>TModelo[[#This Row],[NetCF]]*TModelo[[#This Row],[fd]]</f>
        <v>0</v>
      </c>
    </row>
    <row r="331" spans="2:30" ht="16.95" customHeight="1">
      <c r="B331" s="11">
        <v>304</v>
      </c>
      <c r="C331" s="25">
        <f>EDATE(FechaInicio,TModelo[[#This Row],[Period]])</f>
        <v>55547</v>
      </c>
      <c r="D331" s="11">
        <f>IF(AND(TModelo[[#This Row],[Period]]&gt;=1,TModelo[[#This Row],[Period]]&lt;=HorizonteMeses),1,0)</f>
        <v>0</v>
      </c>
      <c r="E331" s="40">
        <f>TModelo[[#This Row],[Act]]*(INFb+(INFpi0-INFb)*(1-INFa)^TModelo[[#This Row],[Period]])</f>
        <v>0</v>
      </c>
      <c r="F331" s="28">
        <f>IF(TModelo[[#This Row],[Period]]&lt;=HorizonteMeses,F330*(1+TModelo[[#This Row],[InflMes]]),0)</f>
        <v>0</v>
      </c>
      <c r="G331" s="21">
        <f>TModelo[[#This Row],[Act]]*(CDTb+(CDTx0-CDTb)*(1-CDTa)^TModelo[[#This Row],[Period]]+CDTspread)</f>
        <v>0</v>
      </c>
      <c r="H331" s="40">
        <f>TModelo[[#This Row],[Act]]*((1+TModelo[[#This Row],[TasaCDT]])^(1/12)-1)*(1-Retencion)</f>
        <v>0</v>
      </c>
      <c r="I331" s="40">
        <f>TModelo[[#This Row],[Act]]*(EXP(MuCOLCAP+SigmaCOLCAP^2/2)-1)</f>
        <v>0</v>
      </c>
      <c r="J331" s="40">
        <f>TModelo[[#This Row],[Act]]*(EXP(MuTRM+SigmaTRM^2/2)-1)</f>
        <v>0</v>
      </c>
      <c r="K331" s="11">
        <f>TModelo[[#This Row],[Act]]*IF(Rebalanceo="Mensual",1,IF(Rebalanceo="Anual",IF(MOD(TModelo[[#This Row],[Period]]-1,12)=0,1,0),0))</f>
        <v>0</v>
      </c>
      <c r="L331" s="24">
        <f>TModelo[[#This Row],[Act]]*AporteMensual*IF(CrecimientoAporte="Con IPC",F330,1)</f>
        <v>0</v>
      </c>
      <c r="M331" s="24">
        <f>IF(TModelo[[#This Row],[Period]]=HorizonteMeses,TModelo[[#This Row],[TotalPreLiq]],0)</f>
        <v>0</v>
      </c>
      <c r="N331" s="24">
        <f>TModelo[[#This Row],[Inflow]]-TModelo[[#This Row],[Outflow]]</f>
        <v>0</v>
      </c>
      <c r="O331" s="24">
        <f t="shared" si="4"/>
        <v>0</v>
      </c>
      <c r="P331" s="24">
        <f>TModelo[[#This Row],[IntCDT]]+TModelo[[#This Row],[IntCOLCAP]]+TModelo[[#This Row],[IntUSD]]</f>
        <v>0</v>
      </c>
      <c r="Q331" s="24">
        <f>TModelo[[#This Row],[InitialBalance]]+TModelo[[#This Row],[Interest]]+TModelo[[#This Row],[Outflow]]-TModelo[[#This Row],[Inflow]]</f>
        <v>0</v>
      </c>
      <c r="R331" s="24">
        <f>TModelo[[#This Row],[Act]]*IF(TModelo[[#This Row],[Rebal]]=1,PesoCDT*(X330+Y330+Z330),X330)</f>
        <v>0</v>
      </c>
      <c r="S331" s="24">
        <f>TModelo[[#This Row],[Act]]*IF(TModelo[[#This Row],[Rebal]]=1,PesoCOLCAP*(X330+Y330+Z330),Y330)</f>
        <v>0</v>
      </c>
      <c r="T331" s="24">
        <f>TModelo[[#This Row],[Act]]*IF(TModelo[[#This Row],[Rebal]]=1,PesoUSD*(X330+Y330+Z330),Z330)</f>
        <v>0</v>
      </c>
      <c r="U331" s="24">
        <f>TModelo[[#This Row],[IniCDT]]*TModelo[[#This Row],[RetCDT]]</f>
        <v>0</v>
      </c>
      <c r="V331" s="24">
        <f>TModelo[[#This Row],[IniCOLCAP]]*TModelo[[#This Row],[RetCOLCAP]]</f>
        <v>0</v>
      </c>
      <c r="W331" s="24">
        <f>TModelo[[#This Row],[IniUSD]]*TModelo[[#This Row],[RetUSD]]</f>
        <v>0</v>
      </c>
      <c r="X331" s="24">
        <f>TModelo[[#This Row],[Act]]*(TModelo[[#This Row],[IniCDT]]+TModelo[[#This Row],[IntCDT]]+PesoCDT*TModelo[[#This Row],[Outflow]])</f>
        <v>0</v>
      </c>
      <c r="Y331" s="24">
        <f>TModelo[[#This Row],[Act]]*(TModelo[[#This Row],[IniCOLCAP]]+TModelo[[#This Row],[IntCOLCAP]]+PesoCOLCAP*TModelo[[#This Row],[Outflow]])</f>
        <v>0</v>
      </c>
      <c r="Z331" s="24">
        <f>TModelo[[#This Row],[Act]]*(TModelo[[#This Row],[IniUSD]]+TModelo[[#This Row],[IntUSD]]+PesoUSD*TModelo[[#This Row],[Outflow]])</f>
        <v>0</v>
      </c>
      <c r="AA331" s="24">
        <f>TModelo[[#This Row],[BalCDT]]+TModelo[[#This Row],[BalCOLCAP]]+TModelo[[#This Row],[BalUSD]]</f>
        <v>0</v>
      </c>
      <c r="AB331" s="24">
        <f>IF(TModelo[[#This Row],[CumInfl]]&gt;0,TModelo[[#This Row],[TotalPreLiq]]/TModelo[[#This Row],[CumInfl]],0)</f>
        <v>0</v>
      </c>
      <c r="AC331" s="41">
        <f>(1+PerRate)^(-TModelo[[#This Row],[Period]])</f>
        <v>9.357572241374898E-2</v>
      </c>
      <c r="AD331" s="42">
        <f>TModelo[[#This Row],[NetCF]]*TModelo[[#This Row],[fd]]</f>
        <v>0</v>
      </c>
    </row>
    <row r="332" spans="2:30" ht="16.95" customHeight="1">
      <c r="B332" s="11">
        <v>305</v>
      </c>
      <c r="C332" s="25">
        <f>EDATE(FechaInicio,TModelo[[#This Row],[Period]])</f>
        <v>55578</v>
      </c>
      <c r="D332" s="11">
        <f>IF(AND(TModelo[[#This Row],[Period]]&gt;=1,TModelo[[#This Row],[Period]]&lt;=HorizonteMeses),1,0)</f>
        <v>0</v>
      </c>
      <c r="E332" s="40">
        <f>TModelo[[#This Row],[Act]]*(INFb+(INFpi0-INFb)*(1-INFa)^TModelo[[#This Row],[Period]])</f>
        <v>0</v>
      </c>
      <c r="F332" s="28">
        <f>IF(TModelo[[#This Row],[Period]]&lt;=HorizonteMeses,F331*(1+TModelo[[#This Row],[InflMes]]),0)</f>
        <v>0</v>
      </c>
      <c r="G332" s="21">
        <f>TModelo[[#This Row],[Act]]*(CDTb+(CDTx0-CDTb)*(1-CDTa)^TModelo[[#This Row],[Period]]+CDTspread)</f>
        <v>0</v>
      </c>
      <c r="H332" s="40">
        <f>TModelo[[#This Row],[Act]]*((1+TModelo[[#This Row],[TasaCDT]])^(1/12)-1)*(1-Retencion)</f>
        <v>0</v>
      </c>
      <c r="I332" s="40">
        <f>TModelo[[#This Row],[Act]]*(EXP(MuCOLCAP+SigmaCOLCAP^2/2)-1)</f>
        <v>0</v>
      </c>
      <c r="J332" s="40">
        <f>TModelo[[#This Row],[Act]]*(EXP(MuTRM+SigmaTRM^2/2)-1)</f>
        <v>0</v>
      </c>
      <c r="K332" s="11">
        <f>TModelo[[#This Row],[Act]]*IF(Rebalanceo="Mensual",1,IF(Rebalanceo="Anual",IF(MOD(TModelo[[#This Row],[Period]]-1,12)=0,1,0),0))</f>
        <v>0</v>
      </c>
      <c r="L332" s="24">
        <f>TModelo[[#This Row],[Act]]*AporteMensual*IF(CrecimientoAporte="Con IPC",F331,1)</f>
        <v>0</v>
      </c>
      <c r="M332" s="24">
        <f>IF(TModelo[[#This Row],[Period]]=HorizonteMeses,TModelo[[#This Row],[TotalPreLiq]],0)</f>
        <v>0</v>
      </c>
      <c r="N332" s="24">
        <f>TModelo[[#This Row],[Inflow]]-TModelo[[#This Row],[Outflow]]</f>
        <v>0</v>
      </c>
      <c r="O332" s="24">
        <f t="shared" si="4"/>
        <v>0</v>
      </c>
      <c r="P332" s="24">
        <f>TModelo[[#This Row],[IntCDT]]+TModelo[[#This Row],[IntCOLCAP]]+TModelo[[#This Row],[IntUSD]]</f>
        <v>0</v>
      </c>
      <c r="Q332" s="24">
        <f>TModelo[[#This Row],[InitialBalance]]+TModelo[[#This Row],[Interest]]+TModelo[[#This Row],[Outflow]]-TModelo[[#This Row],[Inflow]]</f>
        <v>0</v>
      </c>
      <c r="R332" s="24">
        <f>TModelo[[#This Row],[Act]]*IF(TModelo[[#This Row],[Rebal]]=1,PesoCDT*(X331+Y331+Z331),X331)</f>
        <v>0</v>
      </c>
      <c r="S332" s="24">
        <f>TModelo[[#This Row],[Act]]*IF(TModelo[[#This Row],[Rebal]]=1,PesoCOLCAP*(X331+Y331+Z331),Y331)</f>
        <v>0</v>
      </c>
      <c r="T332" s="24">
        <f>TModelo[[#This Row],[Act]]*IF(TModelo[[#This Row],[Rebal]]=1,PesoUSD*(X331+Y331+Z331),Z331)</f>
        <v>0</v>
      </c>
      <c r="U332" s="24">
        <f>TModelo[[#This Row],[IniCDT]]*TModelo[[#This Row],[RetCDT]]</f>
        <v>0</v>
      </c>
      <c r="V332" s="24">
        <f>TModelo[[#This Row],[IniCOLCAP]]*TModelo[[#This Row],[RetCOLCAP]]</f>
        <v>0</v>
      </c>
      <c r="W332" s="24">
        <f>TModelo[[#This Row],[IniUSD]]*TModelo[[#This Row],[RetUSD]]</f>
        <v>0</v>
      </c>
      <c r="X332" s="24">
        <f>TModelo[[#This Row],[Act]]*(TModelo[[#This Row],[IniCDT]]+TModelo[[#This Row],[IntCDT]]+PesoCDT*TModelo[[#This Row],[Outflow]])</f>
        <v>0</v>
      </c>
      <c r="Y332" s="24">
        <f>TModelo[[#This Row],[Act]]*(TModelo[[#This Row],[IniCOLCAP]]+TModelo[[#This Row],[IntCOLCAP]]+PesoCOLCAP*TModelo[[#This Row],[Outflow]])</f>
        <v>0</v>
      </c>
      <c r="Z332" s="24">
        <f>TModelo[[#This Row],[Act]]*(TModelo[[#This Row],[IniUSD]]+TModelo[[#This Row],[IntUSD]]+PesoUSD*TModelo[[#This Row],[Outflow]])</f>
        <v>0</v>
      </c>
      <c r="AA332" s="24">
        <f>TModelo[[#This Row],[BalCDT]]+TModelo[[#This Row],[BalCOLCAP]]+TModelo[[#This Row],[BalUSD]]</f>
        <v>0</v>
      </c>
      <c r="AB332" s="24">
        <f>IF(TModelo[[#This Row],[CumInfl]]&gt;0,TModelo[[#This Row],[TotalPreLiq]]/TModelo[[#This Row],[CumInfl]],0)</f>
        <v>0</v>
      </c>
      <c r="AC332" s="41">
        <f>(1+PerRate)^(-TModelo[[#This Row],[Period]])</f>
        <v>9.2849347692952347E-2</v>
      </c>
      <c r="AD332" s="42">
        <f>TModelo[[#This Row],[NetCF]]*TModelo[[#This Row],[fd]]</f>
        <v>0</v>
      </c>
    </row>
    <row r="333" spans="2:30" ht="16.95" customHeight="1">
      <c r="B333" s="11">
        <v>306</v>
      </c>
      <c r="C333" s="25">
        <f>EDATE(FechaInicio,TModelo[[#This Row],[Period]])</f>
        <v>55607</v>
      </c>
      <c r="D333" s="11">
        <f>IF(AND(TModelo[[#This Row],[Period]]&gt;=1,TModelo[[#This Row],[Period]]&lt;=HorizonteMeses),1,0)</f>
        <v>0</v>
      </c>
      <c r="E333" s="40">
        <f>TModelo[[#This Row],[Act]]*(INFb+(INFpi0-INFb)*(1-INFa)^TModelo[[#This Row],[Period]])</f>
        <v>0</v>
      </c>
      <c r="F333" s="28">
        <f>IF(TModelo[[#This Row],[Period]]&lt;=HorizonteMeses,F332*(1+TModelo[[#This Row],[InflMes]]),0)</f>
        <v>0</v>
      </c>
      <c r="G333" s="21">
        <f>TModelo[[#This Row],[Act]]*(CDTb+(CDTx0-CDTb)*(1-CDTa)^TModelo[[#This Row],[Period]]+CDTspread)</f>
        <v>0</v>
      </c>
      <c r="H333" s="40">
        <f>TModelo[[#This Row],[Act]]*((1+TModelo[[#This Row],[TasaCDT]])^(1/12)-1)*(1-Retencion)</f>
        <v>0</v>
      </c>
      <c r="I333" s="40">
        <f>TModelo[[#This Row],[Act]]*(EXP(MuCOLCAP+SigmaCOLCAP^2/2)-1)</f>
        <v>0</v>
      </c>
      <c r="J333" s="40">
        <f>TModelo[[#This Row],[Act]]*(EXP(MuTRM+SigmaTRM^2/2)-1)</f>
        <v>0</v>
      </c>
      <c r="K333" s="11">
        <f>TModelo[[#This Row],[Act]]*IF(Rebalanceo="Mensual",1,IF(Rebalanceo="Anual",IF(MOD(TModelo[[#This Row],[Period]]-1,12)=0,1,0),0))</f>
        <v>0</v>
      </c>
      <c r="L333" s="24">
        <f>TModelo[[#This Row],[Act]]*AporteMensual*IF(CrecimientoAporte="Con IPC",F332,1)</f>
        <v>0</v>
      </c>
      <c r="M333" s="24">
        <f>IF(TModelo[[#This Row],[Period]]=HorizonteMeses,TModelo[[#This Row],[TotalPreLiq]],0)</f>
        <v>0</v>
      </c>
      <c r="N333" s="24">
        <f>TModelo[[#This Row],[Inflow]]-TModelo[[#This Row],[Outflow]]</f>
        <v>0</v>
      </c>
      <c r="O333" s="24">
        <f t="shared" si="4"/>
        <v>0</v>
      </c>
      <c r="P333" s="24">
        <f>TModelo[[#This Row],[IntCDT]]+TModelo[[#This Row],[IntCOLCAP]]+TModelo[[#This Row],[IntUSD]]</f>
        <v>0</v>
      </c>
      <c r="Q333" s="24">
        <f>TModelo[[#This Row],[InitialBalance]]+TModelo[[#This Row],[Interest]]+TModelo[[#This Row],[Outflow]]-TModelo[[#This Row],[Inflow]]</f>
        <v>0</v>
      </c>
      <c r="R333" s="24">
        <f>TModelo[[#This Row],[Act]]*IF(TModelo[[#This Row],[Rebal]]=1,PesoCDT*(X332+Y332+Z332),X332)</f>
        <v>0</v>
      </c>
      <c r="S333" s="24">
        <f>TModelo[[#This Row],[Act]]*IF(TModelo[[#This Row],[Rebal]]=1,PesoCOLCAP*(X332+Y332+Z332),Y332)</f>
        <v>0</v>
      </c>
      <c r="T333" s="24">
        <f>TModelo[[#This Row],[Act]]*IF(TModelo[[#This Row],[Rebal]]=1,PesoUSD*(X332+Y332+Z332),Z332)</f>
        <v>0</v>
      </c>
      <c r="U333" s="24">
        <f>TModelo[[#This Row],[IniCDT]]*TModelo[[#This Row],[RetCDT]]</f>
        <v>0</v>
      </c>
      <c r="V333" s="24">
        <f>TModelo[[#This Row],[IniCOLCAP]]*TModelo[[#This Row],[RetCOLCAP]]</f>
        <v>0</v>
      </c>
      <c r="W333" s="24">
        <f>TModelo[[#This Row],[IniUSD]]*TModelo[[#This Row],[RetUSD]]</f>
        <v>0</v>
      </c>
      <c r="X333" s="24">
        <f>TModelo[[#This Row],[Act]]*(TModelo[[#This Row],[IniCDT]]+TModelo[[#This Row],[IntCDT]]+PesoCDT*TModelo[[#This Row],[Outflow]])</f>
        <v>0</v>
      </c>
      <c r="Y333" s="24">
        <f>TModelo[[#This Row],[Act]]*(TModelo[[#This Row],[IniCOLCAP]]+TModelo[[#This Row],[IntCOLCAP]]+PesoCOLCAP*TModelo[[#This Row],[Outflow]])</f>
        <v>0</v>
      </c>
      <c r="Z333" s="24">
        <f>TModelo[[#This Row],[Act]]*(TModelo[[#This Row],[IniUSD]]+TModelo[[#This Row],[IntUSD]]+PesoUSD*TModelo[[#This Row],[Outflow]])</f>
        <v>0</v>
      </c>
      <c r="AA333" s="24">
        <f>TModelo[[#This Row],[BalCDT]]+TModelo[[#This Row],[BalCOLCAP]]+TModelo[[#This Row],[BalUSD]]</f>
        <v>0</v>
      </c>
      <c r="AB333" s="24">
        <f>IF(TModelo[[#This Row],[CumInfl]]&gt;0,TModelo[[#This Row],[TotalPreLiq]]/TModelo[[#This Row],[CumInfl]],0)</f>
        <v>0</v>
      </c>
      <c r="AC333" s="41">
        <f>(1+PerRate)^(-TModelo[[#This Row],[Period]])</f>
        <v>9.2128611402951685E-2</v>
      </c>
      <c r="AD333" s="42">
        <f>TModelo[[#This Row],[NetCF]]*TModelo[[#This Row],[fd]]</f>
        <v>0</v>
      </c>
    </row>
    <row r="334" spans="2:30" ht="16.95" customHeight="1">
      <c r="B334" s="11">
        <v>307</v>
      </c>
      <c r="C334" s="25">
        <f>EDATE(FechaInicio,TModelo[[#This Row],[Period]])</f>
        <v>55638</v>
      </c>
      <c r="D334" s="11">
        <f>IF(AND(TModelo[[#This Row],[Period]]&gt;=1,TModelo[[#This Row],[Period]]&lt;=HorizonteMeses),1,0)</f>
        <v>0</v>
      </c>
      <c r="E334" s="40">
        <f>TModelo[[#This Row],[Act]]*(INFb+(INFpi0-INFb)*(1-INFa)^TModelo[[#This Row],[Period]])</f>
        <v>0</v>
      </c>
      <c r="F334" s="28">
        <f>IF(TModelo[[#This Row],[Period]]&lt;=HorizonteMeses,F333*(1+TModelo[[#This Row],[InflMes]]),0)</f>
        <v>0</v>
      </c>
      <c r="G334" s="21">
        <f>TModelo[[#This Row],[Act]]*(CDTb+(CDTx0-CDTb)*(1-CDTa)^TModelo[[#This Row],[Period]]+CDTspread)</f>
        <v>0</v>
      </c>
      <c r="H334" s="40">
        <f>TModelo[[#This Row],[Act]]*((1+TModelo[[#This Row],[TasaCDT]])^(1/12)-1)*(1-Retencion)</f>
        <v>0</v>
      </c>
      <c r="I334" s="40">
        <f>TModelo[[#This Row],[Act]]*(EXP(MuCOLCAP+SigmaCOLCAP^2/2)-1)</f>
        <v>0</v>
      </c>
      <c r="J334" s="40">
        <f>TModelo[[#This Row],[Act]]*(EXP(MuTRM+SigmaTRM^2/2)-1)</f>
        <v>0</v>
      </c>
      <c r="K334" s="11">
        <f>TModelo[[#This Row],[Act]]*IF(Rebalanceo="Mensual",1,IF(Rebalanceo="Anual",IF(MOD(TModelo[[#This Row],[Period]]-1,12)=0,1,0),0))</f>
        <v>0</v>
      </c>
      <c r="L334" s="24">
        <f>TModelo[[#This Row],[Act]]*AporteMensual*IF(CrecimientoAporte="Con IPC",F333,1)</f>
        <v>0</v>
      </c>
      <c r="M334" s="24">
        <f>IF(TModelo[[#This Row],[Period]]=HorizonteMeses,TModelo[[#This Row],[TotalPreLiq]],0)</f>
        <v>0</v>
      </c>
      <c r="N334" s="24">
        <f>TModelo[[#This Row],[Inflow]]-TModelo[[#This Row],[Outflow]]</f>
        <v>0</v>
      </c>
      <c r="O334" s="24">
        <f t="shared" si="4"/>
        <v>0</v>
      </c>
      <c r="P334" s="24">
        <f>TModelo[[#This Row],[IntCDT]]+TModelo[[#This Row],[IntCOLCAP]]+TModelo[[#This Row],[IntUSD]]</f>
        <v>0</v>
      </c>
      <c r="Q334" s="24">
        <f>TModelo[[#This Row],[InitialBalance]]+TModelo[[#This Row],[Interest]]+TModelo[[#This Row],[Outflow]]-TModelo[[#This Row],[Inflow]]</f>
        <v>0</v>
      </c>
      <c r="R334" s="24">
        <f>TModelo[[#This Row],[Act]]*IF(TModelo[[#This Row],[Rebal]]=1,PesoCDT*(X333+Y333+Z333),X333)</f>
        <v>0</v>
      </c>
      <c r="S334" s="24">
        <f>TModelo[[#This Row],[Act]]*IF(TModelo[[#This Row],[Rebal]]=1,PesoCOLCAP*(X333+Y333+Z333),Y333)</f>
        <v>0</v>
      </c>
      <c r="T334" s="24">
        <f>TModelo[[#This Row],[Act]]*IF(TModelo[[#This Row],[Rebal]]=1,PesoUSD*(X333+Y333+Z333),Z333)</f>
        <v>0</v>
      </c>
      <c r="U334" s="24">
        <f>TModelo[[#This Row],[IniCDT]]*TModelo[[#This Row],[RetCDT]]</f>
        <v>0</v>
      </c>
      <c r="V334" s="24">
        <f>TModelo[[#This Row],[IniCOLCAP]]*TModelo[[#This Row],[RetCOLCAP]]</f>
        <v>0</v>
      </c>
      <c r="W334" s="24">
        <f>TModelo[[#This Row],[IniUSD]]*TModelo[[#This Row],[RetUSD]]</f>
        <v>0</v>
      </c>
      <c r="X334" s="24">
        <f>TModelo[[#This Row],[Act]]*(TModelo[[#This Row],[IniCDT]]+TModelo[[#This Row],[IntCDT]]+PesoCDT*TModelo[[#This Row],[Outflow]])</f>
        <v>0</v>
      </c>
      <c r="Y334" s="24">
        <f>TModelo[[#This Row],[Act]]*(TModelo[[#This Row],[IniCOLCAP]]+TModelo[[#This Row],[IntCOLCAP]]+PesoCOLCAP*TModelo[[#This Row],[Outflow]])</f>
        <v>0</v>
      </c>
      <c r="Z334" s="24">
        <f>TModelo[[#This Row],[Act]]*(TModelo[[#This Row],[IniUSD]]+TModelo[[#This Row],[IntUSD]]+PesoUSD*TModelo[[#This Row],[Outflow]])</f>
        <v>0</v>
      </c>
      <c r="AA334" s="24">
        <f>TModelo[[#This Row],[BalCDT]]+TModelo[[#This Row],[BalCOLCAP]]+TModelo[[#This Row],[BalUSD]]</f>
        <v>0</v>
      </c>
      <c r="AB334" s="24">
        <f>IF(TModelo[[#This Row],[CumInfl]]&gt;0,TModelo[[#This Row],[TotalPreLiq]]/TModelo[[#This Row],[CumInfl]],0)</f>
        <v>0</v>
      </c>
      <c r="AC334" s="41">
        <f>(1+PerRate)^(-TModelo[[#This Row],[Period]])</f>
        <v>9.1413469775839126E-2</v>
      </c>
      <c r="AD334" s="42">
        <f>TModelo[[#This Row],[NetCF]]*TModelo[[#This Row],[fd]]</f>
        <v>0</v>
      </c>
    </row>
    <row r="335" spans="2:30" ht="16.95" customHeight="1">
      <c r="B335" s="11">
        <v>308</v>
      </c>
      <c r="C335" s="25">
        <f>EDATE(FechaInicio,TModelo[[#This Row],[Period]])</f>
        <v>55668</v>
      </c>
      <c r="D335" s="11">
        <f>IF(AND(TModelo[[#This Row],[Period]]&gt;=1,TModelo[[#This Row],[Period]]&lt;=HorizonteMeses),1,0)</f>
        <v>0</v>
      </c>
      <c r="E335" s="40">
        <f>TModelo[[#This Row],[Act]]*(INFb+(INFpi0-INFb)*(1-INFa)^TModelo[[#This Row],[Period]])</f>
        <v>0</v>
      </c>
      <c r="F335" s="28">
        <f>IF(TModelo[[#This Row],[Period]]&lt;=HorizonteMeses,F334*(1+TModelo[[#This Row],[InflMes]]),0)</f>
        <v>0</v>
      </c>
      <c r="G335" s="21">
        <f>TModelo[[#This Row],[Act]]*(CDTb+(CDTx0-CDTb)*(1-CDTa)^TModelo[[#This Row],[Period]]+CDTspread)</f>
        <v>0</v>
      </c>
      <c r="H335" s="40">
        <f>TModelo[[#This Row],[Act]]*((1+TModelo[[#This Row],[TasaCDT]])^(1/12)-1)*(1-Retencion)</f>
        <v>0</v>
      </c>
      <c r="I335" s="40">
        <f>TModelo[[#This Row],[Act]]*(EXP(MuCOLCAP+SigmaCOLCAP^2/2)-1)</f>
        <v>0</v>
      </c>
      <c r="J335" s="40">
        <f>TModelo[[#This Row],[Act]]*(EXP(MuTRM+SigmaTRM^2/2)-1)</f>
        <v>0</v>
      </c>
      <c r="K335" s="11">
        <f>TModelo[[#This Row],[Act]]*IF(Rebalanceo="Mensual",1,IF(Rebalanceo="Anual",IF(MOD(TModelo[[#This Row],[Period]]-1,12)=0,1,0),0))</f>
        <v>0</v>
      </c>
      <c r="L335" s="24">
        <f>TModelo[[#This Row],[Act]]*AporteMensual*IF(CrecimientoAporte="Con IPC",F334,1)</f>
        <v>0</v>
      </c>
      <c r="M335" s="24">
        <f>IF(TModelo[[#This Row],[Period]]=HorizonteMeses,TModelo[[#This Row],[TotalPreLiq]],0)</f>
        <v>0</v>
      </c>
      <c r="N335" s="24">
        <f>TModelo[[#This Row],[Inflow]]-TModelo[[#This Row],[Outflow]]</f>
        <v>0</v>
      </c>
      <c r="O335" s="24">
        <f t="shared" si="4"/>
        <v>0</v>
      </c>
      <c r="P335" s="24">
        <f>TModelo[[#This Row],[IntCDT]]+TModelo[[#This Row],[IntCOLCAP]]+TModelo[[#This Row],[IntUSD]]</f>
        <v>0</v>
      </c>
      <c r="Q335" s="24">
        <f>TModelo[[#This Row],[InitialBalance]]+TModelo[[#This Row],[Interest]]+TModelo[[#This Row],[Outflow]]-TModelo[[#This Row],[Inflow]]</f>
        <v>0</v>
      </c>
      <c r="R335" s="24">
        <f>TModelo[[#This Row],[Act]]*IF(TModelo[[#This Row],[Rebal]]=1,PesoCDT*(X334+Y334+Z334),X334)</f>
        <v>0</v>
      </c>
      <c r="S335" s="24">
        <f>TModelo[[#This Row],[Act]]*IF(TModelo[[#This Row],[Rebal]]=1,PesoCOLCAP*(X334+Y334+Z334),Y334)</f>
        <v>0</v>
      </c>
      <c r="T335" s="24">
        <f>TModelo[[#This Row],[Act]]*IF(TModelo[[#This Row],[Rebal]]=1,PesoUSD*(X334+Y334+Z334),Z334)</f>
        <v>0</v>
      </c>
      <c r="U335" s="24">
        <f>TModelo[[#This Row],[IniCDT]]*TModelo[[#This Row],[RetCDT]]</f>
        <v>0</v>
      </c>
      <c r="V335" s="24">
        <f>TModelo[[#This Row],[IniCOLCAP]]*TModelo[[#This Row],[RetCOLCAP]]</f>
        <v>0</v>
      </c>
      <c r="W335" s="24">
        <f>TModelo[[#This Row],[IniUSD]]*TModelo[[#This Row],[RetUSD]]</f>
        <v>0</v>
      </c>
      <c r="X335" s="24">
        <f>TModelo[[#This Row],[Act]]*(TModelo[[#This Row],[IniCDT]]+TModelo[[#This Row],[IntCDT]]+PesoCDT*TModelo[[#This Row],[Outflow]])</f>
        <v>0</v>
      </c>
      <c r="Y335" s="24">
        <f>TModelo[[#This Row],[Act]]*(TModelo[[#This Row],[IniCOLCAP]]+TModelo[[#This Row],[IntCOLCAP]]+PesoCOLCAP*TModelo[[#This Row],[Outflow]])</f>
        <v>0</v>
      </c>
      <c r="Z335" s="24">
        <f>TModelo[[#This Row],[Act]]*(TModelo[[#This Row],[IniUSD]]+TModelo[[#This Row],[IntUSD]]+PesoUSD*TModelo[[#This Row],[Outflow]])</f>
        <v>0</v>
      </c>
      <c r="AA335" s="24">
        <f>TModelo[[#This Row],[BalCDT]]+TModelo[[#This Row],[BalCOLCAP]]+TModelo[[#This Row],[BalUSD]]</f>
        <v>0</v>
      </c>
      <c r="AB335" s="24">
        <f>IF(TModelo[[#This Row],[CumInfl]]&gt;0,TModelo[[#This Row],[TotalPreLiq]]/TModelo[[#This Row],[CumInfl]],0)</f>
        <v>0</v>
      </c>
      <c r="AC335" s="41">
        <f>(1+PerRate)^(-TModelo[[#This Row],[Period]])</f>
        <v>9.0703879383452049E-2</v>
      </c>
      <c r="AD335" s="42">
        <f>TModelo[[#This Row],[NetCF]]*TModelo[[#This Row],[fd]]</f>
        <v>0</v>
      </c>
    </row>
    <row r="336" spans="2:30" ht="16.95" customHeight="1">
      <c r="B336" s="11">
        <v>309</v>
      </c>
      <c r="C336" s="25">
        <f>EDATE(FechaInicio,TModelo[[#This Row],[Period]])</f>
        <v>55699</v>
      </c>
      <c r="D336" s="11">
        <f>IF(AND(TModelo[[#This Row],[Period]]&gt;=1,TModelo[[#This Row],[Period]]&lt;=HorizonteMeses),1,0)</f>
        <v>0</v>
      </c>
      <c r="E336" s="40">
        <f>TModelo[[#This Row],[Act]]*(INFb+(INFpi0-INFb)*(1-INFa)^TModelo[[#This Row],[Period]])</f>
        <v>0</v>
      </c>
      <c r="F336" s="28">
        <f>IF(TModelo[[#This Row],[Period]]&lt;=HorizonteMeses,F335*(1+TModelo[[#This Row],[InflMes]]),0)</f>
        <v>0</v>
      </c>
      <c r="G336" s="21">
        <f>TModelo[[#This Row],[Act]]*(CDTb+(CDTx0-CDTb)*(1-CDTa)^TModelo[[#This Row],[Period]]+CDTspread)</f>
        <v>0</v>
      </c>
      <c r="H336" s="40">
        <f>TModelo[[#This Row],[Act]]*((1+TModelo[[#This Row],[TasaCDT]])^(1/12)-1)*(1-Retencion)</f>
        <v>0</v>
      </c>
      <c r="I336" s="40">
        <f>TModelo[[#This Row],[Act]]*(EXP(MuCOLCAP+SigmaCOLCAP^2/2)-1)</f>
        <v>0</v>
      </c>
      <c r="J336" s="40">
        <f>TModelo[[#This Row],[Act]]*(EXP(MuTRM+SigmaTRM^2/2)-1)</f>
        <v>0</v>
      </c>
      <c r="K336" s="11">
        <f>TModelo[[#This Row],[Act]]*IF(Rebalanceo="Mensual",1,IF(Rebalanceo="Anual",IF(MOD(TModelo[[#This Row],[Period]]-1,12)=0,1,0),0))</f>
        <v>0</v>
      </c>
      <c r="L336" s="24">
        <f>TModelo[[#This Row],[Act]]*AporteMensual*IF(CrecimientoAporte="Con IPC",F335,1)</f>
        <v>0</v>
      </c>
      <c r="M336" s="24">
        <f>IF(TModelo[[#This Row],[Period]]=HorizonteMeses,TModelo[[#This Row],[TotalPreLiq]],0)</f>
        <v>0</v>
      </c>
      <c r="N336" s="24">
        <f>TModelo[[#This Row],[Inflow]]-TModelo[[#This Row],[Outflow]]</f>
        <v>0</v>
      </c>
      <c r="O336" s="24">
        <f t="shared" si="4"/>
        <v>0</v>
      </c>
      <c r="P336" s="24">
        <f>TModelo[[#This Row],[IntCDT]]+TModelo[[#This Row],[IntCOLCAP]]+TModelo[[#This Row],[IntUSD]]</f>
        <v>0</v>
      </c>
      <c r="Q336" s="24">
        <f>TModelo[[#This Row],[InitialBalance]]+TModelo[[#This Row],[Interest]]+TModelo[[#This Row],[Outflow]]-TModelo[[#This Row],[Inflow]]</f>
        <v>0</v>
      </c>
      <c r="R336" s="24">
        <f>TModelo[[#This Row],[Act]]*IF(TModelo[[#This Row],[Rebal]]=1,PesoCDT*(X335+Y335+Z335),X335)</f>
        <v>0</v>
      </c>
      <c r="S336" s="24">
        <f>TModelo[[#This Row],[Act]]*IF(TModelo[[#This Row],[Rebal]]=1,PesoCOLCAP*(X335+Y335+Z335),Y335)</f>
        <v>0</v>
      </c>
      <c r="T336" s="24">
        <f>TModelo[[#This Row],[Act]]*IF(TModelo[[#This Row],[Rebal]]=1,PesoUSD*(X335+Y335+Z335),Z335)</f>
        <v>0</v>
      </c>
      <c r="U336" s="24">
        <f>TModelo[[#This Row],[IniCDT]]*TModelo[[#This Row],[RetCDT]]</f>
        <v>0</v>
      </c>
      <c r="V336" s="24">
        <f>TModelo[[#This Row],[IniCOLCAP]]*TModelo[[#This Row],[RetCOLCAP]]</f>
        <v>0</v>
      </c>
      <c r="W336" s="24">
        <f>TModelo[[#This Row],[IniUSD]]*TModelo[[#This Row],[RetUSD]]</f>
        <v>0</v>
      </c>
      <c r="X336" s="24">
        <f>TModelo[[#This Row],[Act]]*(TModelo[[#This Row],[IniCDT]]+TModelo[[#This Row],[IntCDT]]+PesoCDT*TModelo[[#This Row],[Outflow]])</f>
        <v>0</v>
      </c>
      <c r="Y336" s="24">
        <f>TModelo[[#This Row],[Act]]*(TModelo[[#This Row],[IniCOLCAP]]+TModelo[[#This Row],[IntCOLCAP]]+PesoCOLCAP*TModelo[[#This Row],[Outflow]])</f>
        <v>0</v>
      </c>
      <c r="Z336" s="24">
        <f>TModelo[[#This Row],[Act]]*(TModelo[[#This Row],[IniUSD]]+TModelo[[#This Row],[IntUSD]]+PesoUSD*TModelo[[#This Row],[Outflow]])</f>
        <v>0</v>
      </c>
      <c r="AA336" s="24">
        <f>TModelo[[#This Row],[BalCDT]]+TModelo[[#This Row],[BalCOLCAP]]+TModelo[[#This Row],[BalUSD]]</f>
        <v>0</v>
      </c>
      <c r="AB336" s="24">
        <f>IF(TModelo[[#This Row],[CumInfl]]&gt;0,TModelo[[#This Row],[TotalPreLiq]]/TModelo[[#This Row],[CumInfl]],0)</f>
        <v>0</v>
      </c>
      <c r="AC336" s="41">
        <f>(1+PerRate)^(-TModelo[[#This Row],[Period]])</f>
        <v>8.9999797134735743E-2</v>
      </c>
      <c r="AD336" s="42">
        <f>TModelo[[#This Row],[NetCF]]*TModelo[[#This Row],[fd]]</f>
        <v>0</v>
      </c>
    </row>
    <row r="337" spans="2:30" ht="16.95" customHeight="1">
      <c r="B337" s="11">
        <v>310</v>
      </c>
      <c r="C337" s="25">
        <f>EDATE(FechaInicio,TModelo[[#This Row],[Period]])</f>
        <v>55729</v>
      </c>
      <c r="D337" s="11">
        <f>IF(AND(TModelo[[#This Row],[Period]]&gt;=1,TModelo[[#This Row],[Period]]&lt;=HorizonteMeses),1,0)</f>
        <v>0</v>
      </c>
      <c r="E337" s="40">
        <f>TModelo[[#This Row],[Act]]*(INFb+(INFpi0-INFb)*(1-INFa)^TModelo[[#This Row],[Period]])</f>
        <v>0</v>
      </c>
      <c r="F337" s="28">
        <f>IF(TModelo[[#This Row],[Period]]&lt;=HorizonteMeses,F336*(1+TModelo[[#This Row],[InflMes]]),0)</f>
        <v>0</v>
      </c>
      <c r="G337" s="21">
        <f>TModelo[[#This Row],[Act]]*(CDTb+(CDTx0-CDTb)*(1-CDTa)^TModelo[[#This Row],[Period]]+CDTspread)</f>
        <v>0</v>
      </c>
      <c r="H337" s="40">
        <f>TModelo[[#This Row],[Act]]*((1+TModelo[[#This Row],[TasaCDT]])^(1/12)-1)*(1-Retencion)</f>
        <v>0</v>
      </c>
      <c r="I337" s="40">
        <f>TModelo[[#This Row],[Act]]*(EXP(MuCOLCAP+SigmaCOLCAP^2/2)-1)</f>
        <v>0</v>
      </c>
      <c r="J337" s="40">
        <f>TModelo[[#This Row],[Act]]*(EXP(MuTRM+SigmaTRM^2/2)-1)</f>
        <v>0</v>
      </c>
      <c r="K337" s="11">
        <f>TModelo[[#This Row],[Act]]*IF(Rebalanceo="Mensual",1,IF(Rebalanceo="Anual",IF(MOD(TModelo[[#This Row],[Period]]-1,12)=0,1,0),0))</f>
        <v>0</v>
      </c>
      <c r="L337" s="24">
        <f>TModelo[[#This Row],[Act]]*AporteMensual*IF(CrecimientoAporte="Con IPC",F336,1)</f>
        <v>0</v>
      </c>
      <c r="M337" s="24">
        <f>IF(TModelo[[#This Row],[Period]]=HorizonteMeses,TModelo[[#This Row],[TotalPreLiq]],0)</f>
        <v>0</v>
      </c>
      <c r="N337" s="24">
        <f>TModelo[[#This Row],[Inflow]]-TModelo[[#This Row],[Outflow]]</f>
        <v>0</v>
      </c>
      <c r="O337" s="24">
        <f t="shared" si="4"/>
        <v>0</v>
      </c>
      <c r="P337" s="24">
        <f>TModelo[[#This Row],[IntCDT]]+TModelo[[#This Row],[IntCOLCAP]]+TModelo[[#This Row],[IntUSD]]</f>
        <v>0</v>
      </c>
      <c r="Q337" s="24">
        <f>TModelo[[#This Row],[InitialBalance]]+TModelo[[#This Row],[Interest]]+TModelo[[#This Row],[Outflow]]-TModelo[[#This Row],[Inflow]]</f>
        <v>0</v>
      </c>
      <c r="R337" s="24">
        <f>TModelo[[#This Row],[Act]]*IF(TModelo[[#This Row],[Rebal]]=1,PesoCDT*(X336+Y336+Z336),X336)</f>
        <v>0</v>
      </c>
      <c r="S337" s="24">
        <f>TModelo[[#This Row],[Act]]*IF(TModelo[[#This Row],[Rebal]]=1,PesoCOLCAP*(X336+Y336+Z336),Y336)</f>
        <v>0</v>
      </c>
      <c r="T337" s="24">
        <f>TModelo[[#This Row],[Act]]*IF(TModelo[[#This Row],[Rebal]]=1,PesoUSD*(X336+Y336+Z336),Z336)</f>
        <v>0</v>
      </c>
      <c r="U337" s="24">
        <f>TModelo[[#This Row],[IniCDT]]*TModelo[[#This Row],[RetCDT]]</f>
        <v>0</v>
      </c>
      <c r="V337" s="24">
        <f>TModelo[[#This Row],[IniCOLCAP]]*TModelo[[#This Row],[RetCOLCAP]]</f>
        <v>0</v>
      </c>
      <c r="W337" s="24">
        <f>TModelo[[#This Row],[IniUSD]]*TModelo[[#This Row],[RetUSD]]</f>
        <v>0</v>
      </c>
      <c r="X337" s="24">
        <f>TModelo[[#This Row],[Act]]*(TModelo[[#This Row],[IniCDT]]+TModelo[[#This Row],[IntCDT]]+PesoCDT*TModelo[[#This Row],[Outflow]])</f>
        <v>0</v>
      </c>
      <c r="Y337" s="24">
        <f>TModelo[[#This Row],[Act]]*(TModelo[[#This Row],[IniCOLCAP]]+TModelo[[#This Row],[IntCOLCAP]]+PesoCOLCAP*TModelo[[#This Row],[Outflow]])</f>
        <v>0</v>
      </c>
      <c r="Z337" s="24">
        <f>TModelo[[#This Row],[Act]]*(TModelo[[#This Row],[IniUSD]]+TModelo[[#This Row],[IntUSD]]+PesoUSD*TModelo[[#This Row],[Outflow]])</f>
        <v>0</v>
      </c>
      <c r="AA337" s="24">
        <f>TModelo[[#This Row],[BalCDT]]+TModelo[[#This Row],[BalCOLCAP]]+TModelo[[#This Row],[BalUSD]]</f>
        <v>0</v>
      </c>
      <c r="AB337" s="24">
        <f>IF(TModelo[[#This Row],[CumInfl]]&gt;0,TModelo[[#This Row],[TotalPreLiq]]/TModelo[[#This Row],[CumInfl]],0)</f>
        <v>0</v>
      </c>
      <c r="AC337" s="41">
        <f>(1+PerRate)^(-TModelo[[#This Row],[Period]])</f>
        <v>8.9301180273126654E-2</v>
      </c>
      <c r="AD337" s="42">
        <f>TModelo[[#This Row],[NetCF]]*TModelo[[#This Row],[fd]]</f>
        <v>0</v>
      </c>
    </row>
    <row r="338" spans="2:30" ht="16.95" customHeight="1">
      <c r="B338" s="11">
        <v>311</v>
      </c>
      <c r="C338" s="25">
        <f>EDATE(FechaInicio,TModelo[[#This Row],[Period]])</f>
        <v>55760</v>
      </c>
      <c r="D338" s="11">
        <f>IF(AND(TModelo[[#This Row],[Period]]&gt;=1,TModelo[[#This Row],[Period]]&lt;=HorizonteMeses),1,0)</f>
        <v>0</v>
      </c>
      <c r="E338" s="40">
        <f>TModelo[[#This Row],[Act]]*(INFb+(INFpi0-INFb)*(1-INFa)^TModelo[[#This Row],[Period]])</f>
        <v>0</v>
      </c>
      <c r="F338" s="28">
        <f>IF(TModelo[[#This Row],[Period]]&lt;=HorizonteMeses,F337*(1+TModelo[[#This Row],[InflMes]]),0)</f>
        <v>0</v>
      </c>
      <c r="G338" s="21">
        <f>TModelo[[#This Row],[Act]]*(CDTb+(CDTx0-CDTb)*(1-CDTa)^TModelo[[#This Row],[Period]]+CDTspread)</f>
        <v>0</v>
      </c>
      <c r="H338" s="40">
        <f>TModelo[[#This Row],[Act]]*((1+TModelo[[#This Row],[TasaCDT]])^(1/12)-1)*(1-Retencion)</f>
        <v>0</v>
      </c>
      <c r="I338" s="40">
        <f>TModelo[[#This Row],[Act]]*(EXP(MuCOLCAP+SigmaCOLCAP^2/2)-1)</f>
        <v>0</v>
      </c>
      <c r="J338" s="40">
        <f>TModelo[[#This Row],[Act]]*(EXP(MuTRM+SigmaTRM^2/2)-1)</f>
        <v>0</v>
      </c>
      <c r="K338" s="11">
        <f>TModelo[[#This Row],[Act]]*IF(Rebalanceo="Mensual",1,IF(Rebalanceo="Anual",IF(MOD(TModelo[[#This Row],[Period]]-1,12)=0,1,0),0))</f>
        <v>0</v>
      </c>
      <c r="L338" s="24">
        <f>TModelo[[#This Row],[Act]]*AporteMensual*IF(CrecimientoAporte="Con IPC",F337,1)</f>
        <v>0</v>
      </c>
      <c r="M338" s="24">
        <f>IF(TModelo[[#This Row],[Period]]=HorizonteMeses,TModelo[[#This Row],[TotalPreLiq]],0)</f>
        <v>0</v>
      </c>
      <c r="N338" s="24">
        <f>TModelo[[#This Row],[Inflow]]-TModelo[[#This Row],[Outflow]]</f>
        <v>0</v>
      </c>
      <c r="O338" s="24">
        <f t="shared" si="4"/>
        <v>0</v>
      </c>
      <c r="P338" s="24">
        <f>TModelo[[#This Row],[IntCDT]]+TModelo[[#This Row],[IntCOLCAP]]+TModelo[[#This Row],[IntUSD]]</f>
        <v>0</v>
      </c>
      <c r="Q338" s="24">
        <f>TModelo[[#This Row],[InitialBalance]]+TModelo[[#This Row],[Interest]]+TModelo[[#This Row],[Outflow]]-TModelo[[#This Row],[Inflow]]</f>
        <v>0</v>
      </c>
      <c r="R338" s="24">
        <f>TModelo[[#This Row],[Act]]*IF(TModelo[[#This Row],[Rebal]]=1,PesoCDT*(X337+Y337+Z337),X337)</f>
        <v>0</v>
      </c>
      <c r="S338" s="24">
        <f>TModelo[[#This Row],[Act]]*IF(TModelo[[#This Row],[Rebal]]=1,PesoCOLCAP*(X337+Y337+Z337),Y337)</f>
        <v>0</v>
      </c>
      <c r="T338" s="24">
        <f>TModelo[[#This Row],[Act]]*IF(TModelo[[#This Row],[Rebal]]=1,PesoUSD*(X337+Y337+Z337),Z337)</f>
        <v>0</v>
      </c>
      <c r="U338" s="24">
        <f>TModelo[[#This Row],[IniCDT]]*TModelo[[#This Row],[RetCDT]]</f>
        <v>0</v>
      </c>
      <c r="V338" s="24">
        <f>TModelo[[#This Row],[IniCOLCAP]]*TModelo[[#This Row],[RetCOLCAP]]</f>
        <v>0</v>
      </c>
      <c r="W338" s="24">
        <f>TModelo[[#This Row],[IniUSD]]*TModelo[[#This Row],[RetUSD]]</f>
        <v>0</v>
      </c>
      <c r="X338" s="24">
        <f>TModelo[[#This Row],[Act]]*(TModelo[[#This Row],[IniCDT]]+TModelo[[#This Row],[IntCDT]]+PesoCDT*TModelo[[#This Row],[Outflow]])</f>
        <v>0</v>
      </c>
      <c r="Y338" s="24">
        <f>TModelo[[#This Row],[Act]]*(TModelo[[#This Row],[IniCOLCAP]]+TModelo[[#This Row],[IntCOLCAP]]+PesoCOLCAP*TModelo[[#This Row],[Outflow]])</f>
        <v>0</v>
      </c>
      <c r="Z338" s="24">
        <f>TModelo[[#This Row],[Act]]*(TModelo[[#This Row],[IniUSD]]+TModelo[[#This Row],[IntUSD]]+PesoUSD*TModelo[[#This Row],[Outflow]])</f>
        <v>0</v>
      </c>
      <c r="AA338" s="24">
        <f>TModelo[[#This Row],[BalCDT]]+TModelo[[#This Row],[BalCOLCAP]]+TModelo[[#This Row],[BalUSD]]</f>
        <v>0</v>
      </c>
      <c r="AB338" s="24">
        <f>IF(TModelo[[#This Row],[CumInfl]]&gt;0,TModelo[[#This Row],[TotalPreLiq]]/TModelo[[#This Row],[CumInfl]],0)</f>
        <v>0</v>
      </c>
      <c r="AC338" s="41">
        <f>(1+PerRate)^(-TModelo[[#This Row],[Period]])</f>
        <v>8.8607986373955935E-2</v>
      </c>
      <c r="AD338" s="42">
        <f>TModelo[[#This Row],[NetCF]]*TModelo[[#This Row],[fd]]</f>
        <v>0</v>
      </c>
    </row>
    <row r="339" spans="2:30" ht="16.95" customHeight="1">
      <c r="B339" s="11">
        <v>312</v>
      </c>
      <c r="C339" s="25">
        <f>EDATE(FechaInicio,TModelo[[#This Row],[Period]])</f>
        <v>55791</v>
      </c>
      <c r="D339" s="11">
        <f>IF(AND(TModelo[[#This Row],[Period]]&gt;=1,TModelo[[#This Row],[Period]]&lt;=HorizonteMeses),1,0)</f>
        <v>0</v>
      </c>
      <c r="E339" s="40">
        <f>TModelo[[#This Row],[Act]]*(INFb+(INFpi0-INFb)*(1-INFa)^TModelo[[#This Row],[Period]])</f>
        <v>0</v>
      </c>
      <c r="F339" s="28">
        <f>IF(TModelo[[#This Row],[Period]]&lt;=HorizonteMeses,F338*(1+TModelo[[#This Row],[InflMes]]),0)</f>
        <v>0</v>
      </c>
      <c r="G339" s="21">
        <f>TModelo[[#This Row],[Act]]*(CDTb+(CDTx0-CDTb)*(1-CDTa)^TModelo[[#This Row],[Period]]+CDTspread)</f>
        <v>0</v>
      </c>
      <c r="H339" s="40">
        <f>TModelo[[#This Row],[Act]]*((1+TModelo[[#This Row],[TasaCDT]])^(1/12)-1)*(1-Retencion)</f>
        <v>0</v>
      </c>
      <c r="I339" s="40">
        <f>TModelo[[#This Row],[Act]]*(EXP(MuCOLCAP+SigmaCOLCAP^2/2)-1)</f>
        <v>0</v>
      </c>
      <c r="J339" s="40">
        <f>TModelo[[#This Row],[Act]]*(EXP(MuTRM+SigmaTRM^2/2)-1)</f>
        <v>0</v>
      </c>
      <c r="K339" s="11">
        <f>TModelo[[#This Row],[Act]]*IF(Rebalanceo="Mensual",1,IF(Rebalanceo="Anual",IF(MOD(TModelo[[#This Row],[Period]]-1,12)=0,1,0),0))</f>
        <v>0</v>
      </c>
      <c r="L339" s="24">
        <f>TModelo[[#This Row],[Act]]*AporteMensual*IF(CrecimientoAporte="Con IPC",F338,1)</f>
        <v>0</v>
      </c>
      <c r="M339" s="24">
        <f>IF(TModelo[[#This Row],[Period]]=HorizonteMeses,TModelo[[#This Row],[TotalPreLiq]],0)</f>
        <v>0</v>
      </c>
      <c r="N339" s="24">
        <f>TModelo[[#This Row],[Inflow]]-TModelo[[#This Row],[Outflow]]</f>
        <v>0</v>
      </c>
      <c r="O339" s="24">
        <f t="shared" si="4"/>
        <v>0</v>
      </c>
      <c r="P339" s="24">
        <f>TModelo[[#This Row],[IntCDT]]+TModelo[[#This Row],[IntCOLCAP]]+TModelo[[#This Row],[IntUSD]]</f>
        <v>0</v>
      </c>
      <c r="Q339" s="24">
        <f>TModelo[[#This Row],[InitialBalance]]+TModelo[[#This Row],[Interest]]+TModelo[[#This Row],[Outflow]]-TModelo[[#This Row],[Inflow]]</f>
        <v>0</v>
      </c>
      <c r="R339" s="24">
        <f>TModelo[[#This Row],[Act]]*IF(TModelo[[#This Row],[Rebal]]=1,PesoCDT*(X338+Y338+Z338),X338)</f>
        <v>0</v>
      </c>
      <c r="S339" s="24">
        <f>TModelo[[#This Row],[Act]]*IF(TModelo[[#This Row],[Rebal]]=1,PesoCOLCAP*(X338+Y338+Z338),Y338)</f>
        <v>0</v>
      </c>
      <c r="T339" s="24">
        <f>TModelo[[#This Row],[Act]]*IF(TModelo[[#This Row],[Rebal]]=1,PesoUSD*(X338+Y338+Z338),Z338)</f>
        <v>0</v>
      </c>
      <c r="U339" s="24">
        <f>TModelo[[#This Row],[IniCDT]]*TModelo[[#This Row],[RetCDT]]</f>
        <v>0</v>
      </c>
      <c r="V339" s="24">
        <f>TModelo[[#This Row],[IniCOLCAP]]*TModelo[[#This Row],[RetCOLCAP]]</f>
        <v>0</v>
      </c>
      <c r="W339" s="24">
        <f>TModelo[[#This Row],[IniUSD]]*TModelo[[#This Row],[RetUSD]]</f>
        <v>0</v>
      </c>
      <c r="X339" s="24">
        <f>TModelo[[#This Row],[Act]]*(TModelo[[#This Row],[IniCDT]]+TModelo[[#This Row],[IntCDT]]+PesoCDT*TModelo[[#This Row],[Outflow]])</f>
        <v>0</v>
      </c>
      <c r="Y339" s="24">
        <f>TModelo[[#This Row],[Act]]*(TModelo[[#This Row],[IniCOLCAP]]+TModelo[[#This Row],[IntCOLCAP]]+PesoCOLCAP*TModelo[[#This Row],[Outflow]])</f>
        <v>0</v>
      </c>
      <c r="Z339" s="24">
        <f>TModelo[[#This Row],[Act]]*(TModelo[[#This Row],[IniUSD]]+TModelo[[#This Row],[IntUSD]]+PesoUSD*TModelo[[#This Row],[Outflow]])</f>
        <v>0</v>
      </c>
      <c r="AA339" s="24">
        <f>TModelo[[#This Row],[BalCDT]]+TModelo[[#This Row],[BalCOLCAP]]+TModelo[[#This Row],[BalUSD]]</f>
        <v>0</v>
      </c>
      <c r="AB339" s="24">
        <f>IF(TModelo[[#This Row],[CumInfl]]&gt;0,TModelo[[#This Row],[TotalPreLiq]]/TModelo[[#This Row],[CumInfl]],0)</f>
        <v>0</v>
      </c>
      <c r="AC339" s="41">
        <f>(1+PerRate)^(-TModelo[[#This Row],[Period]])</f>
        <v>8.7920173341873215E-2</v>
      </c>
      <c r="AD339" s="42">
        <f>TModelo[[#This Row],[NetCF]]*TModelo[[#This Row],[fd]]</f>
        <v>0</v>
      </c>
    </row>
    <row r="340" spans="2:30" ht="16.95" customHeight="1">
      <c r="B340" s="11">
        <v>313</v>
      </c>
      <c r="C340" s="25">
        <f>EDATE(FechaInicio,TModelo[[#This Row],[Period]])</f>
        <v>55821</v>
      </c>
      <c r="D340" s="11">
        <f>IF(AND(TModelo[[#This Row],[Period]]&gt;=1,TModelo[[#This Row],[Period]]&lt;=HorizonteMeses),1,0)</f>
        <v>0</v>
      </c>
      <c r="E340" s="40">
        <f>TModelo[[#This Row],[Act]]*(INFb+(INFpi0-INFb)*(1-INFa)^TModelo[[#This Row],[Period]])</f>
        <v>0</v>
      </c>
      <c r="F340" s="28">
        <f>IF(TModelo[[#This Row],[Period]]&lt;=HorizonteMeses,F339*(1+TModelo[[#This Row],[InflMes]]),0)</f>
        <v>0</v>
      </c>
      <c r="G340" s="21">
        <f>TModelo[[#This Row],[Act]]*(CDTb+(CDTx0-CDTb)*(1-CDTa)^TModelo[[#This Row],[Period]]+CDTspread)</f>
        <v>0</v>
      </c>
      <c r="H340" s="40">
        <f>TModelo[[#This Row],[Act]]*((1+TModelo[[#This Row],[TasaCDT]])^(1/12)-1)*(1-Retencion)</f>
        <v>0</v>
      </c>
      <c r="I340" s="40">
        <f>TModelo[[#This Row],[Act]]*(EXP(MuCOLCAP+SigmaCOLCAP^2/2)-1)</f>
        <v>0</v>
      </c>
      <c r="J340" s="40">
        <f>TModelo[[#This Row],[Act]]*(EXP(MuTRM+SigmaTRM^2/2)-1)</f>
        <v>0</v>
      </c>
      <c r="K340" s="11">
        <f>TModelo[[#This Row],[Act]]*IF(Rebalanceo="Mensual",1,IF(Rebalanceo="Anual",IF(MOD(TModelo[[#This Row],[Period]]-1,12)=0,1,0),0))</f>
        <v>0</v>
      </c>
      <c r="L340" s="24">
        <f>TModelo[[#This Row],[Act]]*AporteMensual*IF(CrecimientoAporte="Con IPC",F339,1)</f>
        <v>0</v>
      </c>
      <c r="M340" s="24">
        <f>IF(TModelo[[#This Row],[Period]]=HorizonteMeses,TModelo[[#This Row],[TotalPreLiq]],0)</f>
        <v>0</v>
      </c>
      <c r="N340" s="24">
        <f>TModelo[[#This Row],[Inflow]]-TModelo[[#This Row],[Outflow]]</f>
        <v>0</v>
      </c>
      <c r="O340" s="24">
        <f t="shared" si="4"/>
        <v>0</v>
      </c>
      <c r="P340" s="24">
        <f>TModelo[[#This Row],[IntCDT]]+TModelo[[#This Row],[IntCOLCAP]]+TModelo[[#This Row],[IntUSD]]</f>
        <v>0</v>
      </c>
      <c r="Q340" s="24">
        <f>TModelo[[#This Row],[InitialBalance]]+TModelo[[#This Row],[Interest]]+TModelo[[#This Row],[Outflow]]-TModelo[[#This Row],[Inflow]]</f>
        <v>0</v>
      </c>
      <c r="R340" s="24">
        <f>TModelo[[#This Row],[Act]]*IF(TModelo[[#This Row],[Rebal]]=1,PesoCDT*(X339+Y339+Z339),X339)</f>
        <v>0</v>
      </c>
      <c r="S340" s="24">
        <f>TModelo[[#This Row],[Act]]*IF(TModelo[[#This Row],[Rebal]]=1,PesoCOLCAP*(X339+Y339+Z339),Y339)</f>
        <v>0</v>
      </c>
      <c r="T340" s="24">
        <f>TModelo[[#This Row],[Act]]*IF(TModelo[[#This Row],[Rebal]]=1,PesoUSD*(X339+Y339+Z339),Z339)</f>
        <v>0</v>
      </c>
      <c r="U340" s="24">
        <f>TModelo[[#This Row],[IniCDT]]*TModelo[[#This Row],[RetCDT]]</f>
        <v>0</v>
      </c>
      <c r="V340" s="24">
        <f>TModelo[[#This Row],[IniCOLCAP]]*TModelo[[#This Row],[RetCOLCAP]]</f>
        <v>0</v>
      </c>
      <c r="W340" s="24">
        <f>TModelo[[#This Row],[IniUSD]]*TModelo[[#This Row],[RetUSD]]</f>
        <v>0</v>
      </c>
      <c r="X340" s="24">
        <f>TModelo[[#This Row],[Act]]*(TModelo[[#This Row],[IniCDT]]+TModelo[[#This Row],[IntCDT]]+PesoCDT*TModelo[[#This Row],[Outflow]])</f>
        <v>0</v>
      </c>
      <c r="Y340" s="24">
        <f>TModelo[[#This Row],[Act]]*(TModelo[[#This Row],[IniCOLCAP]]+TModelo[[#This Row],[IntCOLCAP]]+PesoCOLCAP*TModelo[[#This Row],[Outflow]])</f>
        <v>0</v>
      </c>
      <c r="Z340" s="24">
        <f>TModelo[[#This Row],[Act]]*(TModelo[[#This Row],[IniUSD]]+TModelo[[#This Row],[IntUSD]]+PesoUSD*TModelo[[#This Row],[Outflow]])</f>
        <v>0</v>
      </c>
      <c r="AA340" s="24">
        <f>TModelo[[#This Row],[BalCDT]]+TModelo[[#This Row],[BalCOLCAP]]+TModelo[[#This Row],[BalUSD]]</f>
        <v>0</v>
      </c>
      <c r="AB340" s="24">
        <f>IF(TModelo[[#This Row],[CumInfl]]&gt;0,TModelo[[#This Row],[TotalPreLiq]]/TModelo[[#This Row],[CumInfl]],0)</f>
        <v>0</v>
      </c>
      <c r="AC340" s="41">
        <f>(1+PerRate)^(-TModelo[[#This Row],[Period]])</f>
        <v>8.7237699408290084E-2</v>
      </c>
      <c r="AD340" s="42">
        <f>TModelo[[#This Row],[NetCF]]*TModelo[[#This Row],[fd]]</f>
        <v>0</v>
      </c>
    </row>
    <row r="341" spans="2:30" ht="16.95" customHeight="1">
      <c r="B341" s="11">
        <v>314</v>
      </c>
      <c r="C341" s="25">
        <f>EDATE(FechaInicio,TModelo[[#This Row],[Period]])</f>
        <v>55852</v>
      </c>
      <c r="D341" s="11">
        <f>IF(AND(TModelo[[#This Row],[Period]]&gt;=1,TModelo[[#This Row],[Period]]&lt;=HorizonteMeses),1,0)</f>
        <v>0</v>
      </c>
      <c r="E341" s="40">
        <f>TModelo[[#This Row],[Act]]*(INFb+(INFpi0-INFb)*(1-INFa)^TModelo[[#This Row],[Period]])</f>
        <v>0</v>
      </c>
      <c r="F341" s="28">
        <f>IF(TModelo[[#This Row],[Period]]&lt;=HorizonteMeses,F340*(1+TModelo[[#This Row],[InflMes]]),0)</f>
        <v>0</v>
      </c>
      <c r="G341" s="21">
        <f>TModelo[[#This Row],[Act]]*(CDTb+(CDTx0-CDTb)*(1-CDTa)^TModelo[[#This Row],[Period]]+CDTspread)</f>
        <v>0</v>
      </c>
      <c r="H341" s="40">
        <f>TModelo[[#This Row],[Act]]*((1+TModelo[[#This Row],[TasaCDT]])^(1/12)-1)*(1-Retencion)</f>
        <v>0</v>
      </c>
      <c r="I341" s="40">
        <f>TModelo[[#This Row],[Act]]*(EXP(MuCOLCAP+SigmaCOLCAP^2/2)-1)</f>
        <v>0</v>
      </c>
      <c r="J341" s="40">
        <f>TModelo[[#This Row],[Act]]*(EXP(MuTRM+SigmaTRM^2/2)-1)</f>
        <v>0</v>
      </c>
      <c r="K341" s="11">
        <f>TModelo[[#This Row],[Act]]*IF(Rebalanceo="Mensual",1,IF(Rebalanceo="Anual",IF(MOD(TModelo[[#This Row],[Period]]-1,12)=0,1,0),0))</f>
        <v>0</v>
      </c>
      <c r="L341" s="24">
        <f>TModelo[[#This Row],[Act]]*AporteMensual*IF(CrecimientoAporte="Con IPC",F340,1)</f>
        <v>0</v>
      </c>
      <c r="M341" s="24">
        <f>IF(TModelo[[#This Row],[Period]]=HorizonteMeses,TModelo[[#This Row],[TotalPreLiq]],0)</f>
        <v>0</v>
      </c>
      <c r="N341" s="24">
        <f>TModelo[[#This Row],[Inflow]]-TModelo[[#This Row],[Outflow]]</f>
        <v>0</v>
      </c>
      <c r="O341" s="24">
        <f t="shared" si="4"/>
        <v>0</v>
      </c>
      <c r="P341" s="24">
        <f>TModelo[[#This Row],[IntCDT]]+TModelo[[#This Row],[IntCOLCAP]]+TModelo[[#This Row],[IntUSD]]</f>
        <v>0</v>
      </c>
      <c r="Q341" s="24">
        <f>TModelo[[#This Row],[InitialBalance]]+TModelo[[#This Row],[Interest]]+TModelo[[#This Row],[Outflow]]-TModelo[[#This Row],[Inflow]]</f>
        <v>0</v>
      </c>
      <c r="R341" s="24">
        <f>TModelo[[#This Row],[Act]]*IF(TModelo[[#This Row],[Rebal]]=1,PesoCDT*(X340+Y340+Z340),X340)</f>
        <v>0</v>
      </c>
      <c r="S341" s="24">
        <f>TModelo[[#This Row],[Act]]*IF(TModelo[[#This Row],[Rebal]]=1,PesoCOLCAP*(X340+Y340+Z340),Y340)</f>
        <v>0</v>
      </c>
      <c r="T341" s="24">
        <f>TModelo[[#This Row],[Act]]*IF(TModelo[[#This Row],[Rebal]]=1,PesoUSD*(X340+Y340+Z340),Z340)</f>
        <v>0</v>
      </c>
      <c r="U341" s="24">
        <f>TModelo[[#This Row],[IniCDT]]*TModelo[[#This Row],[RetCDT]]</f>
        <v>0</v>
      </c>
      <c r="V341" s="24">
        <f>TModelo[[#This Row],[IniCOLCAP]]*TModelo[[#This Row],[RetCOLCAP]]</f>
        <v>0</v>
      </c>
      <c r="W341" s="24">
        <f>TModelo[[#This Row],[IniUSD]]*TModelo[[#This Row],[RetUSD]]</f>
        <v>0</v>
      </c>
      <c r="X341" s="24">
        <f>TModelo[[#This Row],[Act]]*(TModelo[[#This Row],[IniCDT]]+TModelo[[#This Row],[IntCDT]]+PesoCDT*TModelo[[#This Row],[Outflow]])</f>
        <v>0</v>
      </c>
      <c r="Y341" s="24">
        <f>TModelo[[#This Row],[Act]]*(TModelo[[#This Row],[IniCOLCAP]]+TModelo[[#This Row],[IntCOLCAP]]+PesoCOLCAP*TModelo[[#This Row],[Outflow]])</f>
        <v>0</v>
      </c>
      <c r="Z341" s="24">
        <f>TModelo[[#This Row],[Act]]*(TModelo[[#This Row],[IniUSD]]+TModelo[[#This Row],[IntUSD]]+PesoUSD*TModelo[[#This Row],[Outflow]])</f>
        <v>0</v>
      </c>
      <c r="AA341" s="24">
        <f>TModelo[[#This Row],[BalCDT]]+TModelo[[#This Row],[BalCOLCAP]]+TModelo[[#This Row],[BalUSD]]</f>
        <v>0</v>
      </c>
      <c r="AB341" s="24">
        <f>IF(TModelo[[#This Row],[CumInfl]]&gt;0,TModelo[[#This Row],[TotalPreLiq]]/TModelo[[#This Row],[CumInfl]],0)</f>
        <v>0</v>
      </c>
      <c r="AC341" s="41">
        <f>(1+PerRate)^(-TModelo[[#This Row],[Period]])</f>
        <v>8.6560523128843825E-2</v>
      </c>
      <c r="AD341" s="42">
        <f>TModelo[[#This Row],[NetCF]]*TModelo[[#This Row],[fd]]</f>
        <v>0</v>
      </c>
    </row>
    <row r="342" spans="2:30" ht="16.95" customHeight="1">
      <c r="B342" s="11">
        <v>315</v>
      </c>
      <c r="C342" s="25">
        <f>EDATE(FechaInicio,TModelo[[#This Row],[Period]])</f>
        <v>55882</v>
      </c>
      <c r="D342" s="11">
        <f>IF(AND(TModelo[[#This Row],[Period]]&gt;=1,TModelo[[#This Row],[Period]]&lt;=HorizonteMeses),1,0)</f>
        <v>0</v>
      </c>
      <c r="E342" s="40">
        <f>TModelo[[#This Row],[Act]]*(INFb+(INFpi0-INFb)*(1-INFa)^TModelo[[#This Row],[Period]])</f>
        <v>0</v>
      </c>
      <c r="F342" s="28">
        <f>IF(TModelo[[#This Row],[Period]]&lt;=HorizonteMeses,F341*(1+TModelo[[#This Row],[InflMes]]),0)</f>
        <v>0</v>
      </c>
      <c r="G342" s="21">
        <f>TModelo[[#This Row],[Act]]*(CDTb+(CDTx0-CDTb)*(1-CDTa)^TModelo[[#This Row],[Period]]+CDTspread)</f>
        <v>0</v>
      </c>
      <c r="H342" s="40">
        <f>TModelo[[#This Row],[Act]]*((1+TModelo[[#This Row],[TasaCDT]])^(1/12)-1)*(1-Retencion)</f>
        <v>0</v>
      </c>
      <c r="I342" s="40">
        <f>TModelo[[#This Row],[Act]]*(EXP(MuCOLCAP+SigmaCOLCAP^2/2)-1)</f>
        <v>0</v>
      </c>
      <c r="J342" s="40">
        <f>TModelo[[#This Row],[Act]]*(EXP(MuTRM+SigmaTRM^2/2)-1)</f>
        <v>0</v>
      </c>
      <c r="K342" s="11">
        <f>TModelo[[#This Row],[Act]]*IF(Rebalanceo="Mensual",1,IF(Rebalanceo="Anual",IF(MOD(TModelo[[#This Row],[Period]]-1,12)=0,1,0),0))</f>
        <v>0</v>
      </c>
      <c r="L342" s="24">
        <f>TModelo[[#This Row],[Act]]*AporteMensual*IF(CrecimientoAporte="Con IPC",F341,1)</f>
        <v>0</v>
      </c>
      <c r="M342" s="24">
        <f>IF(TModelo[[#This Row],[Period]]=HorizonteMeses,TModelo[[#This Row],[TotalPreLiq]],0)</f>
        <v>0</v>
      </c>
      <c r="N342" s="24">
        <f>TModelo[[#This Row],[Inflow]]-TModelo[[#This Row],[Outflow]]</f>
        <v>0</v>
      </c>
      <c r="O342" s="24">
        <f t="shared" si="4"/>
        <v>0</v>
      </c>
      <c r="P342" s="24">
        <f>TModelo[[#This Row],[IntCDT]]+TModelo[[#This Row],[IntCOLCAP]]+TModelo[[#This Row],[IntUSD]]</f>
        <v>0</v>
      </c>
      <c r="Q342" s="24">
        <f>TModelo[[#This Row],[InitialBalance]]+TModelo[[#This Row],[Interest]]+TModelo[[#This Row],[Outflow]]-TModelo[[#This Row],[Inflow]]</f>
        <v>0</v>
      </c>
      <c r="R342" s="24">
        <f>TModelo[[#This Row],[Act]]*IF(TModelo[[#This Row],[Rebal]]=1,PesoCDT*(X341+Y341+Z341),X341)</f>
        <v>0</v>
      </c>
      <c r="S342" s="24">
        <f>TModelo[[#This Row],[Act]]*IF(TModelo[[#This Row],[Rebal]]=1,PesoCOLCAP*(X341+Y341+Z341),Y341)</f>
        <v>0</v>
      </c>
      <c r="T342" s="24">
        <f>TModelo[[#This Row],[Act]]*IF(TModelo[[#This Row],[Rebal]]=1,PesoUSD*(X341+Y341+Z341),Z341)</f>
        <v>0</v>
      </c>
      <c r="U342" s="24">
        <f>TModelo[[#This Row],[IniCDT]]*TModelo[[#This Row],[RetCDT]]</f>
        <v>0</v>
      </c>
      <c r="V342" s="24">
        <f>TModelo[[#This Row],[IniCOLCAP]]*TModelo[[#This Row],[RetCOLCAP]]</f>
        <v>0</v>
      </c>
      <c r="W342" s="24">
        <f>TModelo[[#This Row],[IniUSD]]*TModelo[[#This Row],[RetUSD]]</f>
        <v>0</v>
      </c>
      <c r="X342" s="24">
        <f>TModelo[[#This Row],[Act]]*(TModelo[[#This Row],[IniCDT]]+TModelo[[#This Row],[IntCDT]]+PesoCDT*TModelo[[#This Row],[Outflow]])</f>
        <v>0</v>
      </c>
      <c r="Y342" s="24">
        <f>TModelo[[#This Row],[Act]]*(TModelo[[#This Row],[IniCOLCAP]]+TModelo[[#This Row],[IntCOLCAP]]+PesoCOLCAP*TModelo[[#This Row],[Outflow]])</f>
        <v>0</v>
      </c>
      <c r="Z342" s="24">
        <f>TModelo[[#This Row],[Act]]*(TModelo[[#This Row],[IniUSD]]+TModelo[[#This Row],[IntUSD]]+PesoUSD*TModelo[[#This Row],[Outflow]])</f>
        <v>0</v>
      </c>
      <c r="AA342" s="24">
        <f>TModelo[[#This Row],[BalCDT]]+TModelo[[#This Row],[BalCOLCAP]]+TModelo[[#This Row],[BalUSD]]</f>
        <v>0</v>
      </c>
      <c r="AB342" s="24">
        <f>IF(TModelo[[#This Row],[CumInfl]]&gt;0,TModelo[[#This Row],[TotalPreLiq]]/TModelo[[#This Row],[CumInfl]],0)</f>
        <v>0</v>
      </c>
      <c r="AC342" s="41">
        <f>(1+PerRate)^(-TModelo[[#This Row],[Period]])</f>
        <v>8.5888603380880571E-2</v>
      </c>
      <c r="AD342" s="42">
        <f>TModelo[[#This Row],[NetCF]]*TModelo[[#This Row],[fd]]</f>
        <v>0</v>
      </c>
    </row>
    <row r="343" spans="2:30" ht="16.95" customHeight="1">
      <c r="B343" s="11">
        <v>316</v>
      </c>
      <c r="C343" s="25">
        <f>EDATE(FechaInicio,TModelo[[#This Row],[Period]])</f>
        <v>55913</v>
      </c>
      <c r="D343" s="11">
        <f>IF(AND(TModelo[[#This Row],[Period]]&gt;=1,TModelo[[#This Row],[Period]]&lt;=HorizonteMeses),1,0)</f>
        <v>0</v>
      </c>
      <c r="E343" s="40">
        <f>TModelo[[#This Row],[Act]]*(INFb+(INFpi0-INFb)*(1-INFa)^TModelo[[#This Row],[Period]])</f>
        <v>0</v>
      </c>
      <c r="F343" s="28">
        <f>IF(TModelo[[#This Row],[Period]]&lt;=HorizonteMeses,F342*(1+TModelo[[#This Row],[InflMes]]),0)</f>
        <v>0</v>
      </c>
      <c r="G343" s="21">
        <f>TModelo[[#This Row],[Act]]*(CDTb+(CDTx0-CDTb)*(1-CDTa)^TModelo[[#This Row],[Period]]+CDTspread)</f>
        <v>0</v>
      </c>
      <c r="H343" s="40">
        <f>TModelo[[#This Row],[Act]]*((1+TModelo[[#This Row],[TasaCDT]])^(1/12)-1)*(1-Retencion)</f>
        <v>0</v>
      </c>
      <c r="I343" s="40">
        <f>TModelo[[#This Row],[Act]]*(EXP(MuCOLCAP+SigmaCOLCAP^2/2)-1)</f>
        <v>0</v>
      </c>
      <c r="J343" s="40">
        <f>TModelo[[#This Row],[Act]]*(EXP(MuTRM+SigmaTRM^2/2)-1)</f>
        <v>0</v>
      </c>
      <c r="K343" s="11">
        <f>TModelo[[#This Row],[Act]]*IF(Rebalanceo="Mensual",1,IF(Rebalanceo="Anual",IF(MOD(TModelo[[#This Row],[Period]]-1,12)=0,1,0),0))</f>
        <v>0</v>
      </c>
      <c r="L343" s="24">
        <f>TModelo[[#This Row],[Act]]*AporteMensual*IF(CrecimientoAporte="Con IPC",F342,1)</f>
        <v>0</v>
      </c>
      <c r="M343" s="24">
        <f>IF(TModelo[[#This Row],[Period]]=HorizonteMeses,TModelo[[#This Row],[TotalPreLiq]],0)</f>
        <v>0</v>
      </c>
      <c r="N343" s="24">
        <f>TModelo[[#This Row],[Inflow]]-TModelo[[#This Row],[Outflow]]</f>
        <v>0</v>
      </c>
      <c r="O343" s="24">
        <f t="shared" si="4"/>
        <v>0</v>
      </c>
      <c r="P343" s="24">
        <f>TModelo[[#This Row],[IntCDT]]+TModelo[[#This Row],[IntCOLCAP]]+TModelo[[#This Row],[IntUSD]]</f>
        <v>0</v>
      </c>
      <c r="Q343" s="24">
        <f>TModelo[[#This Row],[InitialBalance]]+TModelo[[#This Row],[Interest]]+TModelo[[#This Row],[Outflow]]-TModelo[[#This Row],[Inflow]]</f>
        <v>0</v>
      </c>
      <c r="R343" s="24">
        <f>TModelo[[#This Row],[Act]]*IF(TModelo[[#This Row],[Rebal]]=1,PesoCDT*(X342+Y342+Z342),X342)</f>
        <v>0</v>
      </c>
      <c r="S343" s="24">
        <f>TModelo[[#This Row],[Act]]*IF(TModelo[[#This Row],[Rebal]]=1,PesoCOLCAP*(X342+Y342+Z342),Y342)</f>
        <v>0</v>
      </c>
      <c r="T343" s="24">
        <f>TModelo[[#This Row],[Act]]*IF(TModelo[[#This Row],[Rebal]]=1,PesoUSD*(X342+Y342+Z342),Z342)</f>
        <v>0</v>
      </c>
      <c r="U343" s="24">
        <f>TModelo[[#This Row],[IniCDT]]*TModelo[[#This Row],[RetCDT]]</f>
        <v>0</v>
      </c>
      <c r="V343" s="24">
        <f>TModelo[[#This Row],[IniCOLCAP]]*TModelo[[#This Row],[RetCOLCAP]]</f>
        <v>0</v>
      </c>
      <c r="W343" s="24">
        <f>TModelo[[#This Row],[IniUSD]]*TModelo[[#This Row],[RetUSD]]</f>
        <v>0</v>
      </c>
      <c r="X343" s="24">
        <f>TModelo[[#This Row],[Act]]*(TModelo[[#This Row],[IniCDT]]+TModelo[[#This Row],[IntCDT]]+PesoCDT*TModelo[[#This Row],[Outflow]])</f>
        <v>0</v>
      </c>
      <c r="Y343" s="24">
        <f>TModelo[[#This Row],[Act]]*(TModelo[[#This Row],[IniCOLCAP]]+TModelo[[#This Row],[IntCOLCAP]]+PesoCOLCAP*TModelo[[#This Row],[Outflow]])</f>
        <v>0</v>
      </c>
      <c r="Z343" s="24">
        <f>TModelo[[#This Row],[Act]]*(TModelo[[#This Row],[IniUSD]]+TModelo[[#This Row],[IntUSD]]+PesoUSD*TModelo[[#This Row],[Outflow]])</f>
        <v>0</v>
      </c>
      <c r="AA343" s="24">
        <f>TModelo[[#This Row],[BalCDT]]+TModelo[[#This Row],[BalCOLCAP]]+TModelo[[#This Row],[BalUSD]]</f>
        <v>0</v>
      </c>
      <c r="AB343" s="24">
        <f>IF(TModelo[[#This Row],[CumInfl]]&gt;0,TModelo[[#This Row],[TotalPreLiq]]/TModelo[[#This Row],[CumInfl]],0)</f>
        <v>0</v>
      </c>
      <c r="AC343" s="41">
        <f>(1+PerRate)^(-TModelo[[#This Row],[Period]])</f>
        <v>8.5221899360958087E-2</v>
      </c>
      <c r="AD343" s="42">
        <f>TModelo[[#This Row],[NetCF]]*TModelo[[#This Row],[fd]]</f>
        <v>0</v>
      </c>
    </row>
    <row r="344" spans="2:30" ht="16.95" customHeight="1">
      <c r="B344" s="11">
        <v>317</v>
      </c>
      <c r="C344" s="25">
        <f>EDATE(FechaInicio,TModelo[[#This Row],[Period]])</f>
        <v>55943</v>
      </c>
      <c r="D344" s="11">
        <f>IF(AND(TModelo[[#This Row],[Period]]&gt;=1,TModelo[[#This Row],[Period]]&lt;=HorizonteMeses),1,0)</f>
        <v>0</v>
      </c>
      <c r="E344" s="40">
        <f>TModelo[[#This Row],[Act]]*(INFb+(INFpi0-INFb)*(1-INFa)^TModelo[[#This Row],[Period]])</f>
        <v>0</v>
      </c>
      <c r="F344" s="28">
        <f>IF(TModelo[[#This Row],[Period]]&lt;=HorizonteMeses,F343*(1+TModelo[[#This Row],[InflMes]]),0)</f>
        <v>0</v>
      </c>
      <c r="G344" s="21">
        <f>TModelo[[#This Row],[Act]]*(CDTb+(CDTx0-CDTb)*(1-CDTa)^TModelo[[#This Row],[Period]]+CDTspread)</f>
        <v>0</v>
      </c>
      <c r="H344" s="40">
        <f>TModelo[[#This Row],[Act]]*((1+TModelo[[#This Row],[TasaCDT]])^(1/12)-1)*(1-Retencion)</f>
        <v>0</v>
      </c>
      <c r="I344" s="40">
        <f>TModelo[[#This Row],[Act]]*(EXP(MuCOLCAP+SigmaCOLCAP^2/2)-1)</f>
        <v>0</v>
      </c>
      <c r="J344" s="40">
        <f>TModelo[[#This Row],[Act]]*(EXP(MuTRM+SigmaTRM^2/2)-1)</f>
        <v>0</v>
      </c>
      <c r="K344" s="11">
        <f>TModelo[[#This Row],[Act]]*IF(Rebalanceo="Mensual",1,IF(Rebalanceo="Anual",IF(MOD(TModelo[[#This Row],[Period]]-1,12)=0,1,0),0))</f>
        <v>0</v>
      </c>
      <c r="L344" s="24">
        <f>TModelo[[#This Row],[Act]]*AporteMensual*IF(CrecimientoAporte="Con IPC",F343,1)</f>
        <v>0</v>
      </c>
      <c r="M344" s="24">
        <f>IF(TModelo[[#This Row],[Period]]=HorizonteMeses,TModelo[[#This Row],[TotalPreLiq]],0)</f>
        <v>0</v>
      </c>
      <c r="N344" s="24">
        <f>TModelo[[#This Row],[Inflow]]-TModelo[[#This Row],[Outflow]]</f>
        <v>0</v>
      </c>
      <c r="O344" s="24">
        <f t="shared" si="4"/>
        <v>0</v>
      </c>
      <c r="P344" s="24">
        <f>TModelo[[#This Row],[IntCDT]]+TModelo[[#This Row],[IntCOLCAP]]+TModelo[[#This Row],[IntUSD]]</f>
        <v>0</v>
      </c>
      <c r="Q344" s="24">
        <f>TModelo[[#This Row],[InitialBalance]]+TModelo[[#This Row],[Interest]]+TModelo[[#This Row],[Outflow]]-TModelo[[#This Row],[Inflow]]</f>
        <v>0</v>
      </c>
      <c r="R344" s="24">
        <f>TModelo[[#This Row],[Act]]*IF(TModelo[[#This Row],[Rebal]]=1,PesoCDT*(X343+Y343+Z343),X343)</f>
        <v>0</v>
      </c>
      <c r="S344" s="24">
        <f>TModelo[[#This Row],[Act]]*IF(TModelo[[#This Row],[Rebal]]=1,PesoCOLCAP*(X343+Y343+Z343),Y343)</f>
        <v>0</v>
      </c>
      <c r="T344" s="24">
        <f>TModelo[[#This Row],[Act]]*IF(TModelo[[#This Row],[Rebal]]=1,PesoUSD*(X343+Y343+Z343),Z343)</f>
        <v>0</v>
      </c>
      <c r="U344" s="24">
        <f>TModelo[[#This Row],[IniCDT]]*TModelo[[#This Row],[RetCDT]]</f>
        <v>0</v>
      </c>
      <c r="V344" s="24">
        <f>TModelo[[#This Row],[IniCOLCAP]]*TModelo[[#This Row],[RetCOLCAP]]</f>
        <v>0</v>
      </c>
      <c r="W344" s="24">
        <f>TModelo[[#This Row],[IniUSD]]*TModelo[[#This Row],[RetUSD]]</f>
        <v>0</v>
      </c>
      <c r="X344" s="24">
        <f>TModelo[[#This Row],[Act]]*(TModelo[[#This Row],[IniCDT]]+TModelo[[#This Row],[IntCDT]]+PesoCDT*TModelo[[#This Row],[Outflow]])</f>
        <v>0</v>
      </c>
      <c r="Y344" s="24">
        <f>TModelo[[#This Row],[Act]]*(TModelo[[#This Row],[IniCOLCAP]]+TModelo[[#This Row],[IntCOLCAP]]+PesoCOLCAP*TModelo[[#This Row],[Outflow]])</f>
        <v>0</v>
      </c>
      <c r="Z344" s="24">
        <f>TModelo[[#This Row],[Act]]*(TModelo[[#This Row],[IniUSD]]+TModelo[[#This Row],[IntUSD]]+PesoUSD*TModelo[[#This Row],[Outflow]])</f>
        <v>0</v>
      </c>
      <c r="AA344" s="24">
        <f>TModelo[[#This Row],[BalCDT]]+TModelo[[#This Row],[BalCOLCAP]]+TModelo[[#This Row],[BalUSD]]</f>
        <v>0</v>
      </c>
      <c r="AB344" s="24">
        <f>IF(TModelo[[#This Row],[CumInfl]]&gt;0,TModelo[[#This Row],[TotalPreLiq]]/TModelo[[#This Row],[CumInfl]],0)</f>
        <v>0</v>
      </c>
      <c r="AC344" s="41">
        <f>(1+PerRate)^(-TModelo[[#This Row],[Period]])</f>
        <v>8.4560370582367775E-2</v>
      </c>
      <c r="AD344" s="42">
        <f>TModelo[[#This Row],[NetCF]]*TModelo[[#This Row],[fd]]</f>
        <v>0</v>
      </c>
    </row>
    <row r="345" spans="2:30" ht="16.95" customHeight="1">
      <c r="B345" s="11">
        <v>318</v>
      </c>
      <c r="C345" s="25">
        <f>EDATE(FechaInicio,TModelo[[#This Row],[Period]])</f>
        <v>55972</v>
      </c>
      <c r="D345" s="11">
        <f>IF(AND(TModelo[[#This Row],[Period]]&gt;=1,TModelo[[#This Row],[Period]]&lt;=HorizonteMeses),1,0)</f>
        <v>0</v>
      </c>
      <c r="E345" s="40">
        <f>TModelo[[#This Row],[Act]]*(INFb+(INFpi0-INFb)*(1-INFa)^TModelo[[#This Row],[Period]])</f>
        <v>0</v>
      </c>
      <c r="F345" s="28">
        <f>IF(TModelo[[#This Row],[Period]]&lt;=HorizonteMeses,F344*(1+TModelo[[#This Row],[InflMes]]),0)</f>
        <v>0</v>
      </c>
      <c r="G345" s="21">
        <f>TModelo[[#This Row],[Act]]*(CDTb+(CDTx0-CDTb)*(1-CDTa)^TModelo[[#This Row],[Period]]+CDTspread)</f>
        <v>0</v>
      </c>
      <c r="H345" s="40">
        <f>TModelo[[#This Row],[Act]]*((1+TModelo[[#This Row],[TasaCDT]])^(1/12)-1)*(1-Retencion)</f>
        <v>0</v>
      </c>
      <c r="I345" s="40">
        <f>TModelo[[#This Row],[Act]]*(EXP(MuCOLCAP+SigmaCOLCAP^2/2)-1)</f>
        <v>0</v>
      </c>
      <c r="J345" s="40">
        <f>TModelo[[#This Row],[Act]]*(EXP(MuTRM+SigmaTRM^2/2)-1)</f>
        <v>0</v>
      </c>
      <c r="K345" s="11">
        <f>TModelo[[#This Row],[Act]]*IF(Rebalanceo="Mensual",1,IF(Rebalanceo="Anual",IF(MOD(TModelo[[#This Row],[Period]]-1,12)=0,1,0),0))</f>
        <v>0</v>
      </c>
      <c r="L345" s="24">
        <f>TModelo[[#This Row],[Act]]*AporteMensual*IF(CrecimientoAporte="Con IPC",F344,1)</f>
        <v>0</v>
      </c>
      <c r="M345" s="24">
        <f>IF(TModelo[[#This Row],[Period]]=HorizonteMeses,TModelo[[#This Row],[TotalPreLiq]],0)</f>
        <v>0</v>
      </c>
      <c r="N345" s="24">
        <f>TModelo[[#This Row],[Inflow]]-TModelo[[#This Row],[Outflow]]</f>
        <v>0</v>
      </c>
      <c r="O345" s="24">
        <f t="shared" si="4"/>
        <v>0</v>
      </c>
      <c r="P345" s="24">
        <f>TModelo[[#This Row],[IntCDT]]+TModelo[[#This Row],[IntCOLCAP]]+TModelo[[#This Row],[IntUSD]]</f>
        <v>0</v>
      </c>
      <c r="Q345" s="24">
        <f>TModelo[[#This Row],[InitialBalance]]+TModelo[[#This Row],[Interest]]+TModelo[[#This Row],[Outflow]]-TModelo[[#This Row],[Inflow]]</f>
        <v>0</v>
      </c>
      <c r="R345" s="24">
        <f>TModelo[[#This Row],[Act]]*IF(TModelo[[#This Row],[Rebal]]=1,PesoCDT*(X344+Y344+Z344),X344)</f>
        <v>0</v>
      </c>
      <c r="S345" s="24">
        <f>TModelo[[#This Row],[Act]]*IF(TModelo[[#This Row],[Rebal]]=1,PesoCOLCAP*(X344+Y344+Z344),Y344)</f>
        <v>0</v>
      </c>
      <c r="T345" s="24">
        <f>TModelo[[#This Row],[Act]]*IF(TModelo[[#This Row],[Rebal]]=1,PesoUSD*(X344+Y344+Z344),Z344)</f>
        <v>0</v>
      </c>
      <c r="U345" s="24">
        <f>TModelo[[#This Row],[IniCDT]]*TModelo[[#This Row],[RetCDT]]</f>
        <v>0</v>
      </c>
      <c r="V345" s="24">
        <f>TModelo[[#This Row],[IniCOLCAP]]*TModelo[[#This Row],[RetCOLCAP]]</f>
        <v>0</v>
      </c>
      <c r="W345" s="24">
        <f>TModelo[[#This Row],[IniUSD]]*TModelo[[#This Row],[RetUSD]]</f>
        <v>0</v>
      </c>
      <c r="X345" s="24">
        <f>TModelo[[#This Row],[Act]]*(TModelo[[#This Row],[IniCDT]]+TModelo[[#This Row],[IntCDT]]+PesoCDT*TModelo[[#This Row],[Outflow]])</f>
        <v>0</v>
      </c>
      <c r="Y345" s="24">
        <f>TModelo[[#This Row],[Act]]*(TModelo[[#This Row],[IniCOLCAP]]+TModelo[[#This Row],[IntCOLCAP]]+PesoCOLCAP*TModelo[[#This Row],[Outflow]])</f>
        <v>0</v>
      </c>
      <c r="Z345" s="24">
        <f>TModelo[[#This Row],[Act]]*(TModelo[[#This Row],[IniUSD]]+TModelo[[#This Row],[IntUSD]]+PesoUSD*TModelo[[#This Row],[Outflow]])</f>
        <v>0</v>
      </c>
      <c r="AA345" s="24">
        <f>TModelo[[#This Row],[BalCDT]]+TModelo[[#This Row],[BalCOLCAP]]+TModelo[[#This Row],[BalUSD]]</f>
        <v>0</v>
      </c>
      <c r="AB345" s="24">
        <f>IF(TModelo[[#This Row],[CumInfl]]&gt;0,TModelo[[#This Row],[TotalPreLiq]]/TModelo[[#This Row],[CumInfl]],0)</f>
        <v>0</v>
      </c>
      <c r="AC345" s="41">
        <f>(1+PerRate)^(-TModelo[[#This Row],[Period]])</f>
        <v>8.3903976872676214E-2</v>
      </c>
      <c r="AD345" s="42">
        <f>TModelo[[#This Row],[NetCF]]*TModelo[[#This Row],[fd]]</f>
        <v>0</v>
      </c>
    </row>
    <row r="346" spans="2:30" ht="16.95" customHeight="1">
      <c r="B346" s="11">
        <v>319</v>
      </c>
      <c r="C346" s="25">
        <f>EDATE(FechaInicio,TModelo[[#This Row],[Period]])</f>
        <v>56003</v>
      </c>
      <c r="D346" s="11">
        <f>IF(AND(TModelo[[#This Row],[Period]]&gt;=1,TModelo[[#This Row],[Period]]&lt;=HorizonteMeses),1,0)</f>
        <v>0</v>
      </c>
      <c r="E346" s="40">
        <f>TModelo[[#This Row],[Act]]*(INFb+(INFpi0-INFb)*(1-INFa)^TModelo[[#This Row],[Period]])</f>
        <v>0</v>
      </c>
      <c r="F346" s="28">
        <f>IF(TModelo[[#This Row],[Period]]&lt;=HorizonteMeses,F345*(1+TModelo[[#This Row],[InflMes]]),0)</f>
        <v>0</v>
      </c>
      <c r="G346" s="21">
        <f>TModelo[[#This Row],[Act]]*(CDTb+(CDTx0-CDTb)*(1-CDTa)^TModelo[[#This Row],[Period]]+CDTspread)</f>
        <v>0</v>
      </c>
      <c r="H346" s="40">
        <f>TModelo[[#This Row],[Act]]*((1+TModelo[[#This Row],[TasaCDT]])^(1/12)-1)*(1-Retencion)</f>
        <v>0</v>
      </c>
      <c r="I346" s="40">
        <f>TModelo[[#This Row],[Act]]*(EXP(MuCOLCAP+SigmaCOLCAP^2/2)-1)</f>
        <v>0</v>
      </c>
      <c r="J346" s="40">
        <f>TModelo[[#This Row],[Act]]*(EXP(MuTRM+SigmaTRM^2/2)-1)</f>
        <v>0</v>
      </c>
      <c r="K346" s="11">
        <f>TModelo[[#This Row],[Act]]*IF(Rebalanceo="Mensual",1,IF(Rebalanceo="Anual",IF(MOD(TModelo[[#This Row],[Period]]-1,12)=0,1,0),0))</f>
        <v>0</v>
      </c>
      <c r="L346" s="24">
        <f>TModelo[[#This Row],[Act]]*AporteMensual*IF(CrecimientoAporte="Con IPC",F345,1)</f>
        <v>0</v>
      </c>
      <c r="M346" s="24">
        <f>IF(TModelo[[#This Row],[Period]]=HorizonteMeses,TModelo[[#This Row],[TotalPreLiq]],0)</f>
        <v>0</v>
      </c>
      <c r="N346" s="24">
        <f>TModelo[[#This Row],[Inflow]]-TModelo[[#This Row],[Outflow]]</f>
        <v>0</v>
      </c>
      <c r="O346" s="24">
        <f t="shared" si="4"/>
        <v>0</v>
      </c>
      <c r="P346" s="24">
        <f>TModelo[[#This Row],[IntCDT]]+TModelo[[#This Row],[IntCOLCAP]]+TModelo[[#This Row],[IntUSD]]</f>
        <v>0</v>
      </c>
      <c r="Q346" s="24">
        <f>TModelo[[#This Row],[InitialBalance]]+TModelo[[#This Row],[Interest]]+TModelo[[#This Row],[Outflow]]-TModelo[[#This Row],[Inflow]]</f>
        <v>0</v>
      </c>
      <c r="R346" s="24">
        <f>TModelo[[#This Row],[Act]]*IF(TModelo[[#This Row],[Rebal]]=1,PesoCDT*(X345+Y345+Z345),X345)</f>
        <v>0</v>
      </c>
      <c r="S346" s="24">
        <f>TModelo[[#This Row],[Act]]*IF(TModelo[[#This Row],[Rebal]]=1,PesoCOLCAP*(X345+Y345+Z345),Y345)</f>
        <v>0</v>
      </c>
      <c r="T346" s="24">
        <f>TModelo[[#This Row],[Act]]*IF(TModelo[[#This Row],[Rebal]]=1,PesoUSD*(X345+Y345+Z345),Z345)</f>
        <v>0</v>
      </c>
      <c r="U346" s="24">
        <f>TModelo[[#This Row],[IniCDT]]*TModelo[[#This Row],[RetCDT]]</f>
        <v>0</v>
      </c>
      <c r="V346" s="24">
        <f>TModelo[[#This Row],[IniCOLCAP]]*TModelo[[#This Row],[RetCOLCAP]]</f>
        <v>0</v>
      </c>
      <c r="W346" s="24">
        <f>TModelo[[#This Row],[IniUSD]]*TModelo[[#This Row],[RetUSD]]</f>
        <v>0</v>
      </c>
      <c r="X346" s="24">
        <f>TModelo[[#This Row],[Act]]*(TModelo[[#This Row],[IniCDT]]+TModelo[[#This Row],[IntCDT]]+PesoCDT*TModelo[[#This Row],[Outflow]])</f>
        <v>0</v>
      </c>
      <c r="Y346" s="24">
        <f>TModelo[[#This Row],[Act]]*(TModelo[[#This Row],[IniCOLCAP]]+TModelo[[#This Row],[IntCOLCAP]]+PesoCOLCAP*TModelo[[#This Row],[Outflow]])</f>
        <v>0</v>
      </c>
      <c r="Z346" s="24">
        <f>TModelo[[#This Row],[Act]]*(TModelo[[#This Row],[IniUSD]]+TModelo[[#This Row],[IntUSD]]+PesoUSD*TModelo[[#This Row],[Outflow]])</f>
        <v>0</v>
      </c>
      <c r="AA346" s="24">
        <f>TModelo[[#This Row],[BalCDT]]+TModelo[[#This Row],[BalCOLCAP]]+TModelo[[#This Row],[BalUSD]]</f>
        <v>0</v>
      </c>
      <c r="AB346" s="24">
        <f>IF(TModelo[[#This Row],[CumInfl]]&gt;0,TModelo[[#This Row],[TotalPreLiq]]/TModelo[[#This Row],[CumInfl]],0)</f>
        <v>0</v>
      </c>
      <c r="AC346" s="41">
        <f>(1+PerRate)^(-TModelo[[#This Row],[Period]])</f>
        <v>8.325267837128561E-2</v>
      </c>
      <c r="AD346" s="42">
        <f>TModelo[[#This Row],[NetCF]]*TModelo[[#This Row],[fd]]</f>
        <v>0</v>
      </c>
    </row>
    <row r="347" spans="2:30" ht="16.95" customHeight="1">
      <c r="B347" s="11">
        <v>320</v>
      </c>
      <c r="C347" s="25">
        <f>EDATE(FechaInicio,TModelo[[#This Row],[Period]])</f>
        <v>56033</v>
      </c>
      <c r="D347" s="11">
        <f>IF(AND(TModelo[[#This Row],[Period]]&gt;=1,TModelo[[#This Row],[Period]]&lt;=HorizonteMeses),1,0)</f>
        <v>0</v>
      </c>
      <c r="E347" s="40">
        <f>TModelo[[#This Row],[Act]]*(INFb+(INFpi0-INFb)*(1-INFa)^TModelo[[#This Row],[Period]])</f>
        <v>0</v>
      </c>
      <c r="F347" s="28">
        <f>IF(TModelo[[#This Row],[Period]]&lt;=HorizonteMeses,F346*(1+TModelo[[#This Row],[InflMes]]),0)</f>
        <v>0</v>
      </c>
      <c r="G347" s="21">
        <f>TModelo[[#This Row],[Act]]*(CDTb+(CDTx0-CDTb)*(1-CDTa)^TModelo[[#This Row],[Period]]+CDTspread)</f>
        <v>0</v>
      </c>
      <c r="H347" s="40">
        <f>TModelo[[#This Row],[Act]]*((1+TModelo[[#This Row],[TasaCDT]])^(1/12)-1)*(1-Retencion)</f>
        <v>0</v>
      </c>
      <c r="I347" s="40">
        <f>TModelo[[#This Row],[Act]]*(EXP(MuCOLCAP+SigmaCOLCAP^2/2)-1)</f>
        <v>0</v>
      </c>
      <c r="J347" s="40">
        <f>TModelo[[#This Row],[Act]]*(EXP(MuTRM+SigmaTRM^2/2)-1)</f>
        <v>0</v>
      </c>
      <c r="K347" s="11">
        <f>TModelo[[#This Row],[Act]]*IF(Rebalanceo="Mensual",1,IF(Rebalanceo="Anual",IF(MOD(TModelo[[#This Row],[Period]]-1,12)=0,1,0),0))</f>
        <v>0</v>
      </c>
      <c r="L347" s="24">
        <f>TModelo[[#This Row],[Act]]*AporteMensual*IF(CrecimientoAporte="Con IPC",F346,1)</f>
        <v>0</v>
      </c>
      <c r="M347" s="24">
        <f>IF(TModelo[[#This Row],[Period]]=HorizonteMeses,TModelo[[#This Row],[TotalPreLiq]],0)</f>
        <v>0</v>
      </c>
      <c r="N347" s="24">
        <f>TModelo[[#This Row],[Inflow]]-TModelo[[#This Row],[Outflow]]</f>
        <v>0</v>
      </c>
      <c r="O347" s="24">
        <f t="shared" si="4"/>
        <v>0</v>
      </c>
      <c r="P347" s="24">
        <f>TModelo[[#This Row],[IntCDT]]+TModelo[[#This Row],[IntCOLCAP]]+TModelo[[#This Row],[IntUSD]]</f>
        <v>0</v>
      </c>
      <c r="Q347" s="24">
        <f>TModelo[[#This Row],[InitialBalance]]+TModelo[[#This Row],[Interest]]+TModelo[[#This Row],[Outflow]]-TModelo[[#This Row],[Inflow]]</f>
        <v>0</v>
      </c>
      <c r="R347" s="24">
        <f>TModelo[[#This Row],[Act]]*IF(TModelo[[#This Row],[Rebal]]=1,PesoCDT*(X346+Y346+Z346),X346)</f>
        <v>0</v>
      </c>
      <c r="S347" s="24">
        <f>TModelo[[#This Row],[Act]]*IF(TModelo[[#This Row],[Rebal]]=1,PesoCOLCAP*(X346+Y346+Z346),Y346)</f>
        <v>0</v>
      </c>
      <c r="T347" s="24">
        <f>TModelo[[#This Row],[Act]]*IF(TModelo[[#This Row],[Rebal]]=1,PesoUSD*(X346+Y346+Z346),Z346)</f>
        <v>0</v>
      </c>
      <c r="U347" s="24">
        <f>TModelo[[#This Row],[IniCDT]]*TModelo[[#This Row],[RetCDT]]</f>
        <v>0</v>
      </c>
      <c r="V347" s="24">
        <f>TModelo[[#This Row],[IniCOLCAP]]*TModelo[[#This Row],[RetCOLCAP]]</f>
        <v>0</v>
      </c>
      <c r="W347" s="24">
        <f>TModelo[[#This Row],[IniUSD]]*TModelo[[#This Row],[RetUSD]]</f>
        <v>0</v>
      </c>
      <c r="X347" s="24">
        <f>TModelo[[#This Row],[Act]]*(TModelo[[#This Row],[IniCDT]]+TModelo[[#This Row],[IntCDT]]+PesoCDT*TModelo[[#This Row],[Outflow]])</f>
        <v>0</v>
      </c>
      <c r="Y347" s="24">
        <f>TModelo[[#This Row],[Act]]*(TModelo[[#This Row],[IniCOLCAP]]+TModelo[[#This Row],[IntCOLCAP]]+PesoCOLCAP*TModelo[[#This Row],[Outflow]])</f>
        <v>0</v>
      </c>
      <c r="Z347" s="24">
        <f>TModelo[[#This Row],[Act]]*(TModelo[[#This Row],[IniUSD]]+TModelo[[#This Row],[IntUSD]]+PesoUSD*TModelo[[#This Row],[Outflow]])</f>
        <v>0</v>
      </c>
      <c r="AA347" s="24">
        <f>TModelo[[#This Row],[BalCDT]]+TModelo[[#This Row],[BalCOLCAP]]+TModelo[[#This Row],[BalUSD]]</f>
        <v>0</v>
      </c>
      <c r="AB347" s="24">
        <f>IF(TModelo[[#This Row],[CumInfl]]&gt;0,TModelo[[#This Row],[TotalPreLiq]]/TModelo[[#This Row],[CumInfl]],0)</f>
        <v>0</v>
      </c>
      <c r="AC347" s="41">
        <f>(1+PerRate)^(-TModelo[[#This Row],[Period]])</f>
        <v>8.260643552701312E-2</v>
      </c>
      <c r="AD347" s="42">
        <f>TModelo[[#This Row],[NetCF]]*TModelo[[#This Row],[fd]]</f>
        <v>0</v>
      </c>
    </row>
    <row r="348" spans="2:30" ht="16.95" customHeight="1">
      <c r="B348" s="11">
        <v>321</v>
      </c>
      <c r="C348" s="25">
        <f>EDATE(FechaInicio,TModelo[[#This Row],[Period]])</f>
        <v>56064</v>
      </c>
      <c r="D348" s="11">
        <f>IF(AND(TModelo[[#This Row],[Period]]&gt;=1,TModelo[[#This Row],[Period]]&lt;=HorizonteMeses),1,0)</f>
        <v>0</v>
      </c>
      <c r="E348" s="40">
        <f>TModelo[[#This Row],[Act]]*(INFb+(INFpi0-INFb)*(1-INFa)^TModelo[[#This Row],[Period]])</f>
        <v>0</v>
      </c>
      <c r="F348" s="28">
        <f>IF(TModelo[[#This Row],[Period]]&lt;=HorizonteMeses,F347*(1+TModelo[[#This Row],[InflMes]]),0)</f>
        <v>0</v>
      </c>
      <c r="G348" s="21">
        <f>TModelo[[#This Row],[Act]]*(CDTb+(CDTx0-CDTb)*(1-CDTa)^TModelo[[#This Row],[Period]]+CDTspread)</f>
        <v>0</v>
      </c>
      <c r="H348" s="40">
        <f>TModelo[[#This Row],[Act]]*((1+TModelo[[#This Row],[TasaCDT]])^(1/12)-1)*(1-Retencion)</f>
        <v>0</v>
      </c>
      <c r="I348" s="40">
        <f>TModelo[[#This Row],[Act]]*(EXP(MuCOLCAP+SigmaCOLCAP^2/2)-1)</f>
        <v>0</v>
      </c>
      <c r="J348" s="40">
        <f>TModelo[[#This Row],[Act]]*(EXP(MuTRM+SigmaTRM^2/2)-1)</f>
        <v>0</v>
      </c>
      <c r="K348" s="11">
        <f>TModelo[[#This Row],[Act]]*IF(Rebalanceo="Mensual",1,IF(Rebalanceo="Anual",IF(MOD(TModelo[[#This Row],[Period]]-1,12)=0,1,0),0))</f>
        <v>0</v>
      </c>
      <c r="L348" s="24">
        <f>TModelo[[#This Row],[Act]]*AporteMensual*IF(CrecimientoAporte="Con IPC",F347,1)</f>
        <v>0</v>
      </c>
      <c r="M348" s="24">
        <f>IF(TModelo[[#This Row],[Period]]=HorizonteMeses,TModelo[[#This Row],[TotalPreLiq]],0)</f>
        <v>0</v>
      </c>
      <c r="N348" s="24">
        <f>TModelo[[#This Row],[Inflow]]-TModelo[[#This Row],[Outflow]]</f>
        <v>0</v>
      </c>
      <c r="O348" s="24">
        <f t="shared" ref="O348:O387" si="5">Q347</f>
        <v>0</v>
      </c>
      <c r="P348" s="24">
        <f>TModelo[[#This Row],[IntCDT]]+TModelo[[#This Row],[IntCOLCAP]]+TModelo[[#This Row],[IntUSD]]</f>
        <v>0</v>
      </c>
      <c r="Q348" s="24">
        <f>TModelo[[#This Row],[InitialBalance]]+TModelo[[#This Row],[Interest]]+TModelo[[#This Row],[Outflow]]-TModelo[[#This Row],[Inflow]]</f>
        <v>0</v>
      </c>
      <c r="R348" s="24">
        <f>TModelo[[#This Row],[Act]]*IF(TModelo[[#This Row],[Rebal]]=1,PesoCDT*(X347+Y347+Z347),X347)</f>
        <v>0</v>
      </c>
      <c r="S348" s="24">
        <f>TModelo[[#This Row],[Act]]*IF(TModelo[[#This Row],[Rebal]]=1,PesoCOLCAP*(X347+Y347+Z347),Y347)</f>
        <v>0</v>
      </c>
      <c r="T348" s="24">
        <f>TModelo[[#This Row],[Act]]*IF(TModelo[[#This Row],[Rebal]]=1,PesoUSD*(X347+Y347+Z347),Z347)</f>
        <v>0</v>
      </c>
      <c r="U348" s="24">
        <f>TModelo[[#This Row],[IniCDT]]*TModelo[[#This Row],[RetCDT]]</f>
        <v>0</v>
      </c>
      <c r="V348" s="24">
        <f>TModelo[[#This Row],[IniCOLCAP]]*TModelo[[#This Row],[RetCOLCAP]]</f>
        <v>0</v>
      </c>
      <c r="W348" s="24">
        <f>TModelo[[#This Row],[IniUSD]]*TModelo[[#This Row],[RetUSD]]</f>
        <v>0</v>
      </c>
      <c r="X348" s="24">
        <f>TModelo[[#This Row],[Act]]*(TModelo[[#This Row],[IniCDT]]+TModelo[[#This Row],[IntCDT]]+PesoCDT*TModelo[[#This Row],[Outflow]])</f>
        <v>0</v>
      </c>
      <c r="Y348" s="24">
        <f>TModelo[[#This Row],[Act]]*(TModelo[[#This Row],[IniCOLCAP]]+TModelo[[#This Row],[IntCOLCAP]]+PesoCOLCAP*TModelo[[#This Row],[Outflow]])</f>
        <v>0</v>
      </c>
      <c r="Z348" s="24">
        <f>TModelo[[#This Row],[Act]]*(TModelo[[#This Row],[IniUSD]]+TModelo[[#This Row],[IntUSD]]+PesoUSD*TModelo[[#This Row],[Outflow]])</f>
        <v>0</v>
      </c>
      <c r="AA348" s="24">
        <f>TModelo[[#This Row],[BalCDT]]+TModelo[[#This Row],[BalCOLCAP]]+TModelo[[#This Row],[BalUSD]]</f>
        <v>0</v>
      </c>
      <c r="AB348" s="24">
        <f>IF(TModelo[[#This Row],[CumInfl]]&gt;0,TModelo[[#This Row],[TotalPreLiq]]/TModelo[[#This Row],[CumInfl]],0)</f>
        <v>0</v>
      </c>
      <c r="AC348" s="41">
        <f>(1+PerRate)^(-TModelo[[#This Row],[Period]])</f>
        <v>8.1965209095689065E-2</v>
      </c>
      <c r="AD348" s="42">
        <f>TModelo[[#This Row],[NetCF]]*TModelo[[#This Row],[fd]]</f>
        <v>0</v>
      </c>
    </row>
    <row r="349" spans="2:30" ht="16.95" customHeight="1">
      <c r="B349" s="11">
        <v>322</v>
      </c>
      <c r="C349" s="25">
        <f>EDATE(FechaInicio,TModelo[[#This Row],[Period]])</f>
        <v>56094</v>
      </c>
      <c r="D349" s="11">
        <f>IF(AND(TModelo[[#This Row],[Period]]&gt;=1,TModelo[[#This Row],[Period]]&lt;=HorizonteMeses),1,0)</f>
        <v>0</v>
      </c>
      <c r="E349" s="40">
        <f>TModelo[[#This Row],[Act]]*(INFb+(INFpi0-INFb)*(1-INFa)^TModelo[[#This Row],[Period]])</f>
        <v>0</v>
      </c>
      <c r="F349" s="28">
        <f>IF(TModelo[[#This Row],[Period]]&lt;=HorizonteMeses,F348*(1+TModelo[[#This Row],[InflMes]]),0)</f>
        <v>0</v>
      </c>
      <c r="G349" s="21">
        <f>TModelo[[#This Row],[Act]]*(CDTb+(CDTx0-CDTb)*(1-CDTa)^TModelo[[#This Row],[Period]]+CDTspread)</f>
        <v>0</v>
      </c>
      <c r="H349" s="40">
        <f>TModelo[[#This Row],[Act]]*((1+TModelo[[#This Row],[TasaCDT]])^(1/12)-1)*(1-Retencion)</f>
        <v>0</v>
      </c>
      <c r="I349" s="40">
        <f>TModelo[[#This Row],[Act]]*(EXP(MuCOLCAP+SigmaCOLCAP^2/2)-1)</f>
        <v>0</v>
      </c>
      <c r="J349" s="40">
        <f>TModelo[[#This Row],[Act]]*(EXP(MuTRM+SigmaTRM^2/2)-1)</f>
        <v>0</v>
      </c>
      <c r="K349" s="11">
        <f>TModelo[[#This Row],[Act]]*IF(Rebalanceo="Mensual",1,IF(Rebalanceo="Anual",IF(MOD(TModelo[[#This Row],[Period]]-1,12)=0,1,0),0))</f>
        <v>0</v>
      </c>
      <c r="L349" s="24">
        <f>TModelo[[#This Row],[Act]]*AporteMensual*IF(CrecimientoAporte="Con IPC",F348,1)</f>
        <v>0</v>
      </c>
      <c r="M349" s="24">
        <f>IF(TModelo[[#This Row],[Period]]=HorizonteMeses,TModelo[[#This Row],[TotalPreLiq]],0)</f>
        <v>0</v>
      </c>
      <c r="N349" s="24">
        <f>TModelo[[#This Row],[Inflow]]-TModelo[[#This Row],[Outflow]]</f>
        <v>0</v>
      </c>
      <c r="O349" s="24">
        <f t="shared" si="5"/>
        <v>0</v>
      </c>
      <c r="P349" s="24">
        <f>TModelo[[#This Row],[IntCDT]]+TModelo[[#This Row],[IntCOLCAP]]+TModelo[[#This Row],[IntUSD]]</f>
        <v>0</v>
      </c>
      <c r="Q349" s="24">
        <f>TModelo[[#This Row],[InitialBalance]]+TModelo[[#This Row],[Interest]]+TModelo[[#This Row],[Outflow]]-TModelo[[#This Row],[Inflow]]</f>
        <v>0</v>
      </c>
      <c r="R349" s="24">
        <f>TModelo[[#This Row],[Act]]*IF(TModelo[[#This Row],[Rebal]]=1,PesoCDT*(X348+Y348+Z348),X348)</f>
        <v>0</v>
      </c>
      <c r="S349" s="24">
        <f>TModelo[[#This Row],[Act]]*IF(TModelo[[#This Row],[Rebal]]=1,PesoCOLCAP*(X348+Y348+Z348),Y348)</f>
        <v>0</v>
      </c>
      <c r="T349" s="24">
        <f>TModelo[[#This Row],[Act]]*IF(TModelo[[#This Row],[Rebal]]=1,PesoUSD*(X348+Y348+Z348),Z348)</f>
        <v>0</v>
      </c>
      <c r="U349" s="24">
        <f>TModelo[[#This Row],[IniCDT]]*TModelo[[#This Row],[RetCDT]]</f>
        <v>0</v>
      </c>
      <c r="V349" s="24">
        <f>TModelo[[#This Row],[IniCOLCAP]]*TModelo[[#This Row],[RetCOLCAP]]</f>
        <v>0</v>
      </c>
      <c r="W349" s="24">
        <f>TModelo[[#This Row],[IniUSD]]*TModelo[[#This Row],[RetUSD]]</f>
        <v>0</v>
      </c>
      <c r="X349" s="24">
        <f>TModelo[[#This Row],[Act]]*(TModelo[[#This Row],[IniCDT]]+TModelo[[#This Row],[IntCDT]]+PesoCDT*TModelo[[#This Row],[Outflow]])</f>
        <v>0</v>
      </c>
      <c r="Y349" s="24">
        <f>TModelo[[#This Row],[Act]]*(TModelo[[#This Row],[IniCOLCAP]]+TModelo[[#This Row],[IntCOLCAP]]+PesoCOLCAP*TModelo[[#This Row],[Outflow]])</f>
        <v>0</v>
      </c>
      <c r="Z349" s="24">
        <f>TModelo[[#This Row],[Act]]*(TModelo[[#This Row],[IniUSD]]+TModelo[[#This Row],[IntUSD]]+PesoUSD*TModelo[[#This Row],[Outflow]])</f>
        <v>0</v>
      </c>
      <c r="AA349" s="24">
        <f>TModelo[[#This Row],[BalCDT]]+TModelo[[#This Row],[BalCOLCAP]]+TModelo[[#This Row],[BalUSD]]</f>
        <v>0</v>
      </c>
      <c r="AB349" s="24">
        <f>IF(TModelo[[#This Row],[CumInfl]]&gt;0,TModelo[[#This Row],[TotalPreLiq]]/TModelo[[#This Row],[CumInfl]],0)</f>
        <v>0</v>
      </c>
      <c r="AC349" s="41">
        <f>(1+PerRate)^(-TModelo[[#This Row],[Period]])</f>
        <v>8.132896013777377E-2</v>
      </c>
      <c r="AD349" s="42">
        <f>TModelo[[#This Row],[NetCF]]*TModelo[[#This Row],[fd]]</f>
        <v>0</v>
      </c>
    </row>
    <row r="350" spans="2:30" ht="16.95" customHeight="1">
      <c r="B350" s="11">
        <v>323</v>
      </c>
      <c r="C350" s="25">
        <f>EDATE(FechaInicio,TModelo[[#This Row],[Period]])</f>
        <v>56125</v>
      </c>
      <c r="D350" s="11">
        <f>IF(AND(TModelo[[#This Row],[Period]]&gt;=1,TModelo[[#This Row],[Period]]&lt;=HorizonteMeses),1,0)</f>
        <v>0</v>
      </c>
      <c r="E350" s="40">
        <f>TModelo[[#This Row],[Act]]*(INFb+(INFpi0-INFb)*(1-INFa)^TModelo[[#This Row],[Period]])</f>
        <v>0</v>
      </c>
      <c r="F350" s="28">
        <f>IF(TModelo[[#This Row],[Period]]&lt;=HorizonteMeses,F349*(1+TModelo[[#This Row],[InflMes]]),0)</f>
        <v>0</v>
      </c>
      <c r="G350" s="21">
        <f>TModelo[[#This Row],[Act]]*(CDTb+(CDTx0-CDTb)*(1-CDTa)^TModelo[[#This Row],[Period]]+CDTspread)</f>
        <v>0</v>
      </c>
      <c r="H350" s="40">
        <f>TModelo[[#This Row],[Act]]*((1+TModelo[[#This Row],[TasaCDT]])^(1/12)-1)*(1-Retencion)</f>
        <v>0</v>
      </c>
      <c r="I350" s="40">
        <f>TModelo[[#This Row],[Act]]*(EXP(MuCOLCAP+SigmaCOLCAP^2/2)-1)</f>
        <v>0</v>
      </c>
      <c r="J350" s="40">
        <f>TModelo[[#This Row],[Act]]*(EXP(MuTRM+SigmaTRM^2/2)-1)</f>
        <v>0</v>
      </c>
      <c r="K350" s="11">
        <f>TModelo[[#This Row],[Act]]*IF(Rebalanceo="Mensual",1,IF(Rebalanceo="Anual",IF(MOD(TModelo[[#This Row],[Period]]-1,12)=0,1,0),0))</f>
        <v>0</v>
      </c>
      <c r="L350" s="24">
        <f>TModelo[[#This Row],[Act]]*AporteMensual*IF(CrecimientoAporte="Con IPC",F349,1)</f>
        <v>0</v>
      </c>
      <c r="M350" s="24">
        <f>IF(TModelo[[#This Row],[Period]]=HorizonteMeses,TModelo[[#This Row],[TotalPreLiq]],0)</f>
        <v>0</v>
      </c>
      <c r="N350" s="24">
        <f>TModelo[[#This Row],[Inflow]]-TModelo[[#This Row],[Outflow]]</f>
        <v>0</v>
      </c>
      <c r="O350" s="24">
        <f t="shared" si="5"/>
        <v>0</v>
      </c>
      <c r="P350" s="24">
        <f>TModelo[[#This Row],[IntCDT]]+TModelo[[#This Row],[IntCOLCAP]]+TModelo[[#This Row],[IntUSD]]</f>
        <v>0</v>
      </c>
      <c r="Q350" s="24">
        <f>TModelo[[#This Row],[InitialBalance]]+TModelo[[#This Row],[Interest]]+TModelo[[#This Row],[Outflow]]-TModelo[[#This Row],[Inflow]]</f>
        <v>0</v>
      </c>
      <c r="R350" s="24">
        <f>TModelo[[#This Row],[Act]]*IF(TModelo[[#This Row],[Rebal]]=1,PesoCDT*(X349+Y349+Z349),X349)</f>
        <v>0</v>
      </c>
      <c r="S350" s="24">
        <f>TModelo[[#This Row],[Act]]*IF(TModelo[[#This Row],[Rebal]]=1,PesoCOLCAP*(X349+Y349+Z349),Y349)</f>
        <v>0</v>
      </c>
      <c r="T350" s="24">
        <f>TModelo[[#This Row],[Act]]*IF(TModelo[[#This Row],[Rebal]]=1,PesoUSD*(X349+Y349+Z349),Z349)</f>
        <v>0</v>
      </c>
      <c r="U350" s="24">
        <f>TModelo[[#This Row],[IniCDT]]*TModelo[[#This Row],[RetCDT]]</f>
        <v>0</v>
      </c>
      <c r="V350" s="24">
        <f>TModelo[[#This Row],[IniCOLCAP]]*TModelo[[#This Row],[RetCOLCAP]]</f>
        <v>0</v>
      </c>
      <c r="W350" s="24">
        <f>TModelo[[#This Row],[IniUSD]]*TModelo[[#This Row],[RetUSD]]</f>
        <v>0</v>
      </c>
      <c r="X350" s="24">
        <f>TModelo[[#This Row],[Act]]*(TModelo[[#This Row],[IniCDT]]+TModelo[[#This Row],[IntCDT]]+PesoCDT*TModelo[[#This Row],[Outflow]])</f>
        <v>0</v>
      </c>
      <c r="Y350" s="24">
        <f>TModelo[[#This Row],[Act]]*(TModelo[[#This Row],[IniCOLCAP]]+TModelo[[#This Row],[IntCOLCAP]]+PesoCOLCAP*TModelo[[#This Row],[Outflow]])</f>
        <v>0</v>
      </c>
      <c r="Z350" s="24">
        <f>TModelo[[#This Row],[Act]]*(TModelo[[#This Row],[IniUSD]]+TModelo[[#This Row],[IntUSD]]+PesoUSD*TModelo[[#This Row],[Outflow]])</f>
        <v>0</v>
      </c>
      <c r="AA350" s="24">
        <f>TModelo[[#This Row],[BalCDT]]+TModelo[[#This Row],[BalCOLCAP]]+TModelo[[#This Row],[BalUSD]]</f>
        <v>0</v>
      </c>
      <c r="AB350" s="24">
        <f>IF(TModelo[[#This Row],[CumInfl]]&gt;0,TModelo[[#This Row],[TotalPreLiq]]/TModelo[[#This Row],[CumInfl]],0)</f>
        <v>0</v>
      </c>
      <c r="AC350" s="41">
        <f>(1+PerRate)^(-TModelo[[#This Row],[Period]])</f>
        <v>8.0697650015992897E-2</v>
      </c>
      <c r="AD350" s="42">
        <f>TModelo[[#This Row],[NetCF]]*TModelo[[#This Row],[fd]]</f>
        <v>0</v>
      </c>
    </row>
    <row r="351" spans="2:30" ht="16.95" customHeight="1">
      <c r="B351" s="11">
        <v>324</v>
      </c>
      <c r="C351" s="25">
        <f>EDATE(FechaInicio,TModelo[[#This Row],[Period]])</f>
        <v>56156</v>
      </c>
      <c r="D351" s="11">
        <f>IF(AND(TModelo[[#This Row],[Period]]&gt;=1,TModelo[[#This Row],[Period]]&lt;=HorizonteMeses),1,0)</f>
        <v>0</v>
      </c>
      <c r="E351" s="40">
        <f>TModelo[[#This Row],[Act]]*(INFb+(INFpi0-INFb)*(1-INFa)^TModelo[[#This Row],[Period]])</f>
        <v>0</v>
      </c>
      <c r="F351" s="28">
        <f>IF(TModelo[[#This Row],[Period]]&lt;=HorizonteMeses,F350*(1+TModelo[[#This Row],[InflMes]]),0)</f>
        <v>0</v>
      </c>
      <c r="G351" s="21">
        <f>TModelo[[#This Row],[Act]]*(CDTb+(CDTx0-CDTb)*(1-CDTa)^TModelo[[#This Row],[Period]]+CDTspread)</f>
        <v>0</v>
      </c>
      <c r="H351" s="40">
        <f>TModelo[[#This Row],[Act]]*((1+TModelo[[#This Row],[TasaCDT]])^(1/12)-1)*(1-Retencion)</f>
        <v>0</v>
      </c>
      <c r="I351" s="40">
        <f>TModelo[[#This Row],[Act]]*(EXP(MuCOLCAP+SigmaCOLCAP^2/2)-1)</f>
        <v>0</v>
      </c>
      <c r="J351" s="40">
        <f>TModelo[[#This Row],[Act]]*(EXP(MuTRM+SigmaTRM^2/2)-1)</f>
        <v>0</v>
      </c>
      <c r="K351" s="11">
        <f>TModelo[[#This Row],[Act]]*IF(Rebalanceo="Mensual",1,IF(Rebalanceo="Anual",IF(MOD(TModelo[[#This Row],[Period]]-1,12)=0,1,0),0))</f>
        <v>0</v>
      </c>
      <c r="L351" s="24">
        <f>TModelo[[#This Row],[Act]]*AporteMensual*IF(CrecimientoAporte="Con IPC",F350,1)</f>
        <v>0</v>
      </c>
      <c r="M351" s="24">
        <f>IF(TModelo[[#This Row],[Period]]=HorizonteMeses,TModelo[[#This Row],[TotalPreLiq]],0)</f>
        <v>0</v>
      </c>
      <c r="N351" s="24">
        <f>TModelo[[#This Row],[Inflow]]-TModelo[[#This Row],[Outflow]]</f>
        <v>0</v>
      </c>
      <c r="O351" s="24">
        <f t="shared" si="5"/>
        <v>0</v>
      </c>
      <c r="P351" s="24">
        <f>TModelo[[#This Row],[IntCDT]]+TModelo[[#This Row],[IntCOLCAP]]+TModelo[[#This Row],[IntUSD]]</f>
        <v>0</v>
      </c>
      <c r="Q351" s="24">
        <f>TModelo[[#This Row],[InitialBalance]]+TModelo[[#This Row],[Interest]]+TModelo[[#This Row],[Outflow]]-TModelo[[#This Row],[Inflow]]</f>
        <v>0</v>
      </c>
      <c r="R351" s="24">
        <f>TModelo[[#This Row],[Act]]*IF(TModelo[[#This Row],[Rebal]]=1,PesoCDT*(X350+Y350+Z350),X350)</f>
        <v>0</v>
      </c>
      <c r="S351" s="24">
        <f>TModelo[[#This Row],[Act]]*IF(TModelo[[#This Row],[Rebal]]=1,PesoCOLCAP*(X350+Y350+Z350),Y350)</f>
        <v>0</v>
      </c>
      <c r="T351" s="24">
        <f>TModelo[[#This Row],[Act]]*IF(TModelo[[#This Row],[Rebal]]=1,PesoUSD*(X350+Y350+Z350),Z350)</f>
        <v>0</v>
      </c>
      <c r="U351" s="24">
        <f>TModelo[[#This Row],[IniCDT]]*TModelo[[#This Row],[RetCDT]]</f>
        <v>0</v>
      </c>
      <c r="V351" s="24">
        <f>TModelo[[#This Row],[IniCOLCAP]]*TModelo[[#This Row],[RetCOLCAP]]</f>
        <v>0</v>
      </c>
      <c r="W351" s="24">
        <f>TModelo[[#This Row],[IniUSD]]*TModelo[[#This Row],[RetUSD]]</f>
        <v>0</v>
      </c>
      <c r="X351" s="24">
        <f>TModelo[[#This Row],[Act]]*(TModelo[[#This Row],[IniCDT]]+TModelo[[#This Row],[IntCDT]]+PesoCDT*TModelo[[#This Row],[Outflow]])</f>
        <v>0</v>
      </c>
      <c r="Y351" s="24">
        <f>TModelo[[#This Row],[Act]]*(TModelo[[#This Row],[IniCOLCAP]]+TModelo[[#This Row],[IntCOLCAP]]+PesoCOLCAP*TModelo[[#This Row],[Outflow]])</f>
        <v>0</v>
      </c>
      <c r="Z351" s="24">
        <f>TModelo[[#This Row],[Act]]*(TModelo[[#This Row],[IniUSD]]+TModelo[[#This Row],[IntUSD]]+PesoUSD*TModelo[[#This Row],[Outflow]])</f>
        <v>0</v>
      </c>
      <c r="AA351" s="24">
        <f>TModelo[[#This Row],[BalCDT]]+TModelo[[#This Row],[BalCOLCAP]]+TModelo[[#This Row],[BalUSD]]</f>
        <v>0</v>
      </c>
      <c r="AB351" s="24">
        <f>IF(TModelo[[#This Row],[CumInfl]]&gt;0,TModelo[[#This Row],[TotalPreLiq]]/TModelo[[#This Row],[CumInfl]],0)</f>
        <v>0</v>
      </c>
      <c r="AC351" s="41">
        <f>(1+PerRate)^(-TModelo[[#This Row],[Period]])</f>
        <v>8.0071240392991169E-2</v>
      </c>
      <c r="AD351" s="42">
        <f>TModelo[[#This Row],[NetCF]]*TModelo[[#This Row],[fd]]</f>
        <v>0</v>
      </c>
    </row>
    <row r="352" spans="2:30" ht="16.95" customHeight="1">
      <c r="B352" s="11">
        <v>325</v>
      </c>
      <c r="C352" s="25">
        <f>EDATE(FechaInicio,TModelo[[#This Row],[Period]])</f>
        <v>56186</v>
      </c>
      <c r="D352" s="11">
        <f>IF(AND(TModelo[[#This Row],[Period]]&gt;=1,TModelo[[#This Row],[Period]]&lt;=HorizonteMeses),1,0)</f>
        <v>0</v>
      </c>
      <c r="E352" s="40">
        <f>TModelo[[#This Row],[Act]]*(INFb+(INFpi0-INFb)*(1-INFa)^TModelo[[#This Row],[Period]])</f>
        <v>0</v>
      </c>
      <c r="F352" s="28">
        <f>IF(TModelo[[#This Row],[Period]]&lt;=HorizonteMeses,F351*(1+TModelo[[#This Row],[InflMes]]),0)</f>
        <v>0</v>
      </c>
      <c r="G352" s="21">
        <f>TModelo[[#This Row],[Act]]*(CDTb+(CDTx0-CDTb)*(1-CDTa)^TModelo[[#This Row],[Period]]+CDTspread)</f>
        <v>0</v>
      </c>
      <c r="H352" s="40">
        <f>TModelo[[#This Row],[Act]]*((1+TModelo[[#This Row],[TasaCDT]])^(1/12)-1)*(1-Retencion)</f>
        <v>0</v>
      </c>
      <c r="I352" s="40">
        <f>TModelo[[#This Row],[Act]]*(EXP(MuCOLCAP+SigmaCOLCAP^2/2)-1)</f>
        <v>0</v>
      </c>
      <c r="J352" s="40">
        <f>TModelo[[#This Row],[Act]]*(EXP(MuTRM+SigmaTRM^2/2)-1)</f>
        <v>0</v>
      </c>
      <c r="K352" s="11">
        <f>TModelo[[#This Row],[Act]]*IF(Rebalanceo="Mensual",1,IF(Rebalanceo="Anual",IF(MOD(TModelo[[#This Row],[Period]]-1,12)=0,1,0),0))</f>
        <v>0</v>
      </c>
      <c r="L352" s="24">
        <f>TModelo[[#This Row],[Act]]*AporteMensual*IF(CrecimientoAporte="Con IPC",F351,1)</f>
        <v>0</v>
      </c>
      <c r="M352" s="24">
        <f>IF(TModelo[[#This Row],[Period]]=HorizonteMeses,TModelo[[#This Row],[TotalPreLiq]],0)</f>
        <v>0</v>
      </c>
      <c r="N352" s="24">
        <f>TModelo[[#This Row],[Inflow]]-TModelo[[#This Row],[Outflow]]</f>
        <v>0</v>
      </c>
      <c r="O352" s="24">
        <f t="shared" si="5"/>
        <v>0</v>
      </c>
      <c r="P352" s="24">
        <f>TModelo[[#This Row],[IntCDT]]+TModelo[[#This Row],[IntCOLCAP]]+TModelo[[#This Row],[IntUSD]]</f>
        <v>0</v>
      </c>
      <c r="Q352" s="24">
        <f>TModelo[[#This Row],[InitialBalance]]+TModelo[[#This Row],[Interest]]+TModelo[[#This Row],[Outflow]]-TModelo[[#This Row],[Inflow]]</f>
        <v>0</v>
      </c>
      <c r="R352" s="24">
        <f>TModelo[[#This Row],[Act]]*IF(TModelo[[#This Row],[Rebal]]=1,PesoCDT*(X351+Y351+Z351),X351)</f>
        <v>0</v>
      </c>
      <c r="S352" s="24">
        <f>TModelo[[#This Row],[Act]]*IF(TModelo[[#This Row],[Rebal]]=1,PesoCOLCAP*(X351+Y351+Z351),Y351)</f>
        <v>0</v>
      </c>
      <c r="T352" s="24">
        <f>TModelo[[#This Row],[Act]]*IF(TModelo[[#This Row],[Rebal]]=1,PesoUSD*(X351+Y351+Z351),Z351)</f>
        <v>0</v>
      </c>
      <c r="U352" s="24">
        <f>TModelo[[#This Row],[IniCDT]]*TModelo[[#This Row],[RetCDT]]</f>
        <v>0</v>
      </c>
      <c r="V352" s="24">
        <f>TModelo[[#This Row],[IniCOLCAP]]*TModelo[[#This Row],[RetCOLCAP]]</f>
        <v>0</v>
      </c>
      <c r="W352" s="24">
        <f>TModelo[[#This Row],[IniUSD]]*TModelo[[#This Row],[RetUSD]]</f>
        <v>0</v>
      </c>
      <c r="X352" s="24">
        <f>TModelo[[#This Row],[Act]]*(TModelo[[#This Row],[IniCDT]]+TModelo[[#This Row],[IntCDT]]+PesoCDT*TModelo[[#This Row],[Outflow]])</f>
        <v>0</v>
      </c>
      <c r="Y352" s="24">
        <f>TModelo[[#This Row],[Act]]*(TModelo[[#This Row],[IniCOLCAP]]+TModelo[[#This Row],[IntCOLCAP]]+PesoCOLCAP*TModelo[[#This Row],[Outflow]])</f>
        <v>0</v>
      </c>
      <c r="Z352" s="24">
        <f>TModelo[[#This Row],[Act]]*(TModelo[[#This Row],[IniUSD]]+TModelo[[#This Row],[IntUSD]]+PesoUSD*TModelo[[#This Row],[Outflow]])</f>
        <v>0</v>
      </c>
      <c r="AA352" s="24">
        <f>TModelo[[#This Row],[BalCDT]]+TModelo[[#This Row],[BalCOLCAP]]+TModelo[[#This Row],[BalUSD]]</f>
        <v>0</v>
      </c>
      <c r="AB352" s="24">
        <f>IF(TModelo[[#This Row],[CumInfl]]&gt;0,TModelo[[#This Row],[TotalPreLiq]]/TModelo[[#This Row],[CumInfl]],0)</f>
        <v>0</v>
      </c>
      <c r="AC352" s="41">
        <f>(1+PerRate)^(-TModelo[[#This Row],[Period]])</f>
        <v>7.9449693229004192E-2</v>
      </c>
      <c r="AD352" s="42">
        <f>TModelo[[#This Row],[NetCF]]*TModelo[[#This Row],[fd]]</f>
        <v>0</v>
      </c>
    </row>
    <row r="353" spans="2:30" ht="16.95" customHeight="1">
      <c r="B353" s="11">
        <v>326</v>
      </c>
      <c r="C353" s="25">
        <f>EDATE(FechaInicio,TModelo[[#This Row],[Period]])</f>
        <v>56217</v>
      </c>
      <c r="D353" s="11">
        <f>IF(AND(TModelo[[#This Row],[Period]]&gt;=1,TModelo[[#This Row],[Period]]&lt;=HorizonteMeses),1,0)</f>
        <v>0</v>
      </c>
      <c r="E353" s="40">
        <f>TModelo[[#This Row],[Act]]*(INFb+(INFpi0-INFb)*(1-INFa)^TModelo[[#This Row],[Period]])</f>
        <v>0</v>
      </c>
      <c r="F353" s="28">
        <f>IF(TModelo[[#This Row],[Period]]&lt;=HorizonteMeses,F352*(1+TModelo[[#This Row],[InflMes]]),0)</f>
        <v>0</v>
      </c>
      <c r="G353" s="21">
        <f>TModelo[[#This Row],[Act]]*(CDTb+(CDTx0-CDTb)*(1-CDTa)^TModelo[[#This Row],[Period]]+CDTspread)</f>
        <v>0</v>
      </c>
      <c r="H353" s="40">
        <f>TModelo[[#This Row],[Act]]*((1+TModelo[[#This Row],[TasaCDT]])^(1/12)-1)*(1-Retencion)</f>
        <v>0</v>
      </c>
      <c r="I353" s="40">
        <f>TModelo[[#This Row],[Act]]*(EXP(MuCOLCAP+SigmaCOLCAP^2/2)-1)</f>
        <v>0</v>
      </c>
      <c r="J353" s="40">
        <f>TModelo[[#This Row],[Act]]*(EXP(MuTRM+SigmaTRM^2/2)-1)</f>
        <v>0</v>
      </c>
      <c r="K353" s="11">
        <f>TModelo[[#This Row],[Act]]*IF(Rebalanceo="Mensual",1,IF(Rebalanceo="Anual",IF(MOD(TModelo[[#This Row],[Period]]-1,12)=0,1,0),0))</f>
        <v>0</v>
      </c>
      <c r="L353" s="24">
        <f>TModelo[[#This Row],[Act]]*AporteMensual*IF(CrecimientoAporte="Con IPC",F352,1)</f>
        <v>0</v>
      </c>
      <c r="M353" s="24">
        <f>IF(TModelo[[#This Row],[Period]]=HorizonteMeses,TModelo[[#This Row],[TotalPreLiq]],0)</f>
        <v>0</v>
      </c>
      <c r="N353" s="24">
        <f>TModelo[[#This Row],[Inflow]]-TModelo[[#This Row],[Outflow]]</f>
        <v>0</v>
      </c>
      <c r="O353" s="24">
        <f t="shared" si="5"/>
        <v>0</v>
      </c>
      <c r="P353" s="24">
        <f>TModelo[[#This Row],[IntCDT]]+TModelo[[#This Row],[IntCOLCAP]]+TModelo[[#This Row],[IntUSD]]</f>
        <v>0</v>
      </c>
      <c r="Q353" s="24">
        <f>TModelo[[#This Row],[InitialBalance]]+TModelo[[#This Row],[Interest]]+TModelo[[#This Row],[Outflow]]-TModelo[[#This Row],[Inflow]]</f>
        <v>0</v>
      </c>
      <c r="R353" s="24">
        <f>TModelo[[#This Row],[Act]]*IF(TModelo[[#This Row],[Rebal]]=1,PesoCDT*(X352+Y352+Z352),X352)</f>
        <v>0</v>
      </c>
      <c r="S353" s="24">
        <f>TModelo[[#This Row],[Act]]*IF(TModelo[[#This Row],[Rebal]]=1,PesoCOLCAP*(X352+Y352+Z352),Y352)</f>
        <v>0</v>
      </c>
      <c r="T353" s="24">
        <f>TModelo[[#This Row],[Act]]*IF(TModelo[[#This Row],[Rebal]]=1,PesoUSD*(X352+Y352+Z352),Z352)</f>
        <v>0</v>
      </c>
      <c r="U353" s="24">
        <f>TModelo[[#This Row],[IniCDT]]*TModelo[[#This Row],[RetCDT]]</f>
        <v>0</v>
      </c>
      <c r="V353" s="24">
        <f>TModelo[[#This Row],[IniCOLCAP]]*TModelo[[#This Row],[RetCOLCAP]]</f>
        <v>0</v>
      </c>
      <c r="W353" s="24">
        <f>TModelo[[#This Row],[IniUSD]]*TModelo[[#This Row],[RetUSD]]</f>
        <v>0</v>
      </c>
      <c r="X353" s="24">
        <f>TModelo[[#This Row],[Act]]*(TModelo[[#This Row],[IniCDT]]+TModelo[[#This Row],[IntCDT]]+PesoCDT*TModelo[[#This Row],[Outflow]])</f>
        <v>0</v>
      </c>
      <c r="Y353" s="24">
        <f>TModelo[[#This Row],[Act]]*(TModelo[[#This Row],[IniCOLCAP]]+TModelo[[#This Row],[IntCOLCAP]]+PesoCOLCAP*TModelo[[#This Row],[Outflow]])</f>
        <v>0</v>
      </c>
      <c r="Z353" s="24">
        <f>TModelo[[#This Row],[Act]]*(TModelo[[#This Row],[IniUSD]]+TModelo[[#This Row],[IntUSD]]+PesoUSD*TModelo[[#This Row],[Outflow]])</f>
        <v>0</v>
      </c>
      <c r="AA353" s="24">
        <f>TModelo[[#This Row],[BalCDT]]+TModelo[[#This Row],[BalCOLCAP]]+TModelo[[#This Row],[BalUSD]]</f>
        <v>0</v>
      </c>
      <c r="AB353" s="24">
        <f>IF(TModelo[[#This Row],[CumInfl]]&gt;0,TModelo[[#This Row],[TotalPreLiq]]/TModelo[[#This Row],[CumInfl]],0)</f>
        <v>0</v>
      </c>
      <c r="AC353" s="41">
        <f>(1+PerRate)^(-TModelo[[#This Row],[Period]])</f>
        <v>7.8832970779548484E-2</v>
      </c>
      <c r="AD353" s="42">
        <f>TModelo[[#This Row],[NetCF]]*TModelo[[#This Row],[fd]]</f>
        <v>0</v>
      </c>
    </row>
    <row r="354" spans="2:30" ht="16.95" customHeight="1">
      <c r="B354" s="11">
        <v>327</v>
      </c>
      <c r="C354" s="25">
        <f>EDATE(FechaInicio,TModelo[[#This Row],[Period]])</f>
        <v>56247</v>
      </c>
      <c r="D354" s="11">
        <f>IF(AND(TModelo[[#This Row],[Period]]&gt;=1,TModelo[[#This Row],[Period]]&lt;=HorizonteMeses),1,0)</f>
        <v>0</v>
      </c>
      <c r="E354" s="40">
        <f>TModelo[[#This Row],[Act]]*(INFb+(INFpi0-INFb)*(1-INFa)^TModelo[[#This Row],[Period]])</f>
        <v>0</v>
      </c>
      <c r="F354" s="28">
        <f>IF(TModelo[[#This Row],[Period]]&lt;=HorizonteMeses,F353*(1+TModelo[[#This Row],[InflMes]]),0)</f>
        <v>0</v>
      </c>
      <c r="G354" s="21">
        <f>TModelo[[#This Row],[Act]]*(CDTb+(CDTx0-CDTb)*(1-CDTa)^TModelo[[#This Row],[Period]]+CDTspread)</f>
        <v>0</v>
      </c>
      <c r="H354" s="40">
        <f>TModelo[[#This Row],[Act]]*((1+TModelo[[#This Row],[TasaCDT]])^(1/12)-1)*(1-Retencion)</f>
        <v>0</v>
      </c>
      <c r="I354" s="40">
        <f>TModelo[[#This Row],[Act]]*(EXP(MuCOLCAP+SigmaCOLCAP^2/2)-1)</f>
        <v>0</v>
      </c>
      <c r="J354" s="40">
        <f>TModelo[[#This Row],[Act]]*(EXP(MuTRM+SigmaTRM^2/2)-1)</f>
        <v>0</v>
      </c>
      <c r="K354" s="11">
        <f>TModelo[[#This Row],[Act]]*IF(Rebalanceo="Mensual",1,IF(Rebalanceo="Anual",IF(MOD(TModelo[[#This Row],[Period]]-1,12)=0,1,0),0))</f>
        <v>0</v>
      </c>
      <c r="L354" s="24">
        <f>TModelo[[#This Row],[Act]]*AporteMensual*IF(CrecimientoAporte="Con IPC",F353,1)</f>
        <v>0</v>
      </c>
      <c r="M354" s="24">
        <f>IF(TModelo[[#This Row],[Period]]=HorizonteMeses,TModelo[[#This Row],[TotalPreLiq]],0)</f>
        <v>0</v>
      </c>
      <c r="N354" s="24">
        <f>TModelo[[#This Row],[Inflow]]-TModelo[[#This Row],[Outflow]]</f>
        <v>0</v>
      </c>
      <c r="O354" s="24">
        <f t="shared" si="5"/>
        <v>0</v>
      </c>
      <c r="P354" s="24">
        <f>TModelo[[#This Row],[IntCDT]]+TModelo[[#This Row],[IntCOLCAP]]+TModelo[[#This Row],[IntUSD]]</f>
        <v>0</v>
      </c>
      <c r="Q354" s="24">
        <f>TModelo[[#This Row],[InitialBalance]]+TModelo[[#This Row],[Interest]]+TModelo[[#This Row],[Outflow]]-TModelo[[#This Row],[Inflow]]</f>
        <v>0</v>
      </c>
      <c r="R354" s="24">
        <f>TModelo[[#This Row],[Act]]*IF(TModelo[[#This Row],[Rebal]]=1,PesoCDT*(X353+Y353+Z353),X353)</f>
        <v>0</v>
      </c>
      <c r="S354" s="24">
        <f>TModelo[[#This Row],[Act]]*IF(TModelo[[#This Row],[Rebal]]=1,PesoCOLCAP*(X353+Y353+Z353),Y353)</f>
        <v>0</v>
      </c>
      <c r="T354" s="24">
        <f>TModelo[[#This Row],[Act]]*IF(TModelo[[#This Row],[Rebal]]=1,PesoUSD*(X353+Y353+Z353),Z353)</f>
        <v>0</v>
      </c>
      <c r="U354" s="24">
        <f>TModelo[[#This Row],[IniCDT]]*TModelo[[#This Row],[RetCDT]]</f>
        <v>0</v>
      </c>
      <c r="V354" s="24">
        <f>TModelo[[#This Row],[IniCOLCAP]]*TModelo[[#This Row],[RetCOLCAP]]</f>
        <v>0</v>
      </c>
      <c r="W354" s="24">
        <f>TModelo[[#This Row],[IniUSD]]*TModelo[[#This Row],[RetUSD]]</f>
        <v>0</v>
      </c>
      <c r="X354" s="24">
        <f>TModelo[[#This Row],[Act]]*(TModelo[[#This Row],[IniCDT]]+TModelo[[#This Row],[IntCDT]]+PesoCDT*TModelo[[#This Row],[Outflow]])</f>
        <v>0</v>
      </c>
      <c r="Y354" s="24">
        <f>TModelo[[#This Row],[Act]]*(TModelo[[#This Row],[IniCOLCAP]]+TModelo[[#This Row],[IntCOLCAP]]+PesoCOLCAP*TModelo[[#This Row],[Outflow]])</f>
        <v>0</v>
      </c>
      <c r="Z354" s="24">
        <f>TModelo[[#This Row],[Act]]*(TModelo[[#This Row],[IniUSD]]+TModelo[[#This Row],[IntUSD]]+PesoUSD*TModelo[[#This Row],[Outflow]])</f>
        <v>0</v>
      </c>
      <c r="AA354" s="24">
        <f>TModelo[[#This Row],[BalCDT]]+TModelo[[#This Row],[BalCOLCAP]]+TModelo[[#This Row],[BalUSD]]</f>
        <v>0</v>
      </c>
      <c r="AB354" s="24">
        <f>IF(TModelo[[#This Row],[CumInfl]]&gt;0,TModelo[[#This Row],[TotalPreLiq]]/TModelo[[#This Row],[CumInfl]],0)</f>
        <v>0</v>
      </c>
      <c r="AC354" s="41">
        <f>(1+PerRate)^(-TModelo[[#This Row],[Period]])</f>
        <v>7.8221035593129332E-2</v>
      </c>
      <c r="AD354" s="42">
        <f>TModelo[[#This Row],[NetCF]]*TModelo[[#This Row],[fd]]</f>
        <v>0</v>
      </c>
    </row>
    <row r="355" spans="2:30" ht="16.95" customHeight="1">
      <c r="B355" s="11">
        <v>328</v>
      </c>
      <c r="C355" s="25">
        <f>EDATE(FechaInicio,TModelo[[#This Row],[Period]])</f>
        <v>56278</v>
      </c>
      <c r="D355" s="11">
        <f>IF(AND(TModelo[[#This Row],[Period]]&gt;=1,TModelo[[#This Row],[Period]]&lt;=HorizonteMeses),1,0)</f>
        <v>0</v>
      </c>
      <c r="E355" s="40">
        <f>TModelo[[#This Row],[Act]]*(INFb+(INFpi0-INFb)*(1-INFa)^TModelo[[#This Row],[Period]])</f>
        <v>0</v>
      </c>
      <c r="F355" s="28">
        <f>IF(TModelo[[#This Row],[Period]]&lt;=HorizonteMeses,F354*(1+TModelo[[#This Row],[InflMes]]),0)</f>
        <v>0</v>
      </c>
      <c r="G355" s="21">
        <f>TModelo[[#This Row],[Act]]*(CDTb+(CDTx0-CDTb)*(1-CDTa)^TModelo[[#This Row],[Period]]+CDTspread)</f>
        <v>0</v>
      </c>
      <c r="H355" s="40">
        <f>TModelo[[#This Row],[Act]]*((1+TModelo[[#This Row],[TasaCDT]])^(1/12)-1)*(1-Retencion)</f>
        <v>0</v>
      </c>
      <c r="I355" s="40">
        <f>TModelo[[#This Row],[Act]]*(EXP(MuCOLCAP+SigmaCOLCAP^2/2)-1)</f>
        <v>0</v>
      </c>
      <c r="J355" s="40">
        <f>TModelo[[#This Row],[Act]]*(EXP(MuTRM+SigmaTRM^2/2)-1)</f>
        <v>0</v>
      </c>
      <c r="K355" s="11">
        <f>TModelo[[#This Row],[Act]]*IF(Rebalanceo="Mensual",1,IF(Rebalanceo="Anual",IF(MOD(TModelo[[#This Row],[Period]]-1,12)=0,1,0),0))</f>
        <v>0</v>
      </c>
      <c r="L355" s="24">
        <f>TModelo[[#This Row],[Act]]*AporteMensual*IF(CrecimientoAporte="Con IPC",F354,1)</f>
        <v>0</v>
      </c>
      <c r="M355" s="24">
        <f>IF(TModelo[[#This Row],[Period]]=HorizonteMeses,TModelo[[#This Row],[TotalPreLiq]],0)</f>
        <v>0</v>
      </c>
      <c r="N355" s="24">
        <f>TModelo[[#This Row],[Inflow]]-TModelo[[#This Row],[Outflow]]</f>
        <v>0</v>
      </c>
      <c r="O355" s="24">
        <f t="shared" si="5"/>
        <v>0</v>
      </c>
      <c r="P355" s="24">
        <f>TModelo[[#This Row],[IntCDT]]+TModelo[[#This Row],[IntCOLCAP]]+TModelo[[#This Row],[IntUSD]]</f>
        <v>0</v>
      </c>
      <c r="Q355" s="24">
        <f>TModelo[[#This Row],[InitialBalance]]+TModelo[[#This Row],[Interest]]+TModelo[[#This Row],[Outflow]]-TModelo[[#This Row],[Inflow]]</f>
        <v>0</v>
      </c>
      <c r="R355" s="24">
        <f>TModelo[[#This Row],[Act]]*IF(TModelo[[#This Row],[Rebal]]=1,PesoCDT*(X354+Y354+Z354),X354)</f>
        <v>0</v>
      </c>
      <c r="S355" s="24">
        <f>TModelo[[#This Row],[Act]]*IF(TModelo[[#This Row],[Rebal]]=1,PesoCOLCAP*(X354+Y354+Z354),Y354)</f>
        <v>0</v>
      </c>
      <c r="T355" s="24">
        <f>TModelo[[#This Row],[Act]]*IF(TModelo[[#This Row],[Rebal]]=1,PesoUSD*(X354+Y354+Z354),Z354)</f>
        <v>0</v>
      </c>
      <c r="U355" s="24">
        <f>TModelo[[#This Row],[IniCDT]]*TModelo[[#This Row],[RetCDT]]</f>
        <v>0</v>
      </c>
      <c r="V355" s="24">
        <f>TModelo[[#This Row],[IniCOLCAP]]*TModelo[[#This Row],[RetCOLCAP]]</f>
        <v>0</v>
      </c>
      <c r="W355" s="24">
        <f>TModelo[[#This Row],[IniUSD]]*TModelo[[#This Row],[RetUSD]]</f>
        <v>0</v>
      </c>
      <c r="X355" s="24">
        <f>TModelo[[#This Row],[Act]]*(TModelo[[#This Row],[IniCDT]]+TModelo[[#This Row],[IntCDT]]+PesoCDT*TModelo[[#This Row],[Outflow]])</f>
        <v>0</v>
      </c>
      <c r="Y355" s="24">
        <f>TModelo[[#This Row],[Act]]*(TModelo[[#This Row],[IniCOLCAP]]+TModelo[[#This Row],[IntCOLCAP]]+PesoCOLCAP*TModelo[[#This Row],[Outflow]])</f>
        <v>0</v>
      </c>
      <c r="Z355" s="24">
        <f>TModelo[[#This Row],[Act]]*(TModelo[[#This Row],[IniUSD]]+TModelo[[#This Row],[IntUSD]]+PesoUSD*TModelo[[#This Row],[Outflow]])</f>
        <v>0</v>
      </c>
      <c r="AA355" s="24">
        <f>TModelo[[#This Row],[BalCDT]]+TModelo[[#This Row],[BalCOLCAP]]+TModelo[[#This Row],[BalUSD]]</f>
        <v>0</v>
      </c>
      <c r="AB355" s="24">
        <f>IF(TModelo[[#This Row],[CumInfl]]&gt;0,TModelo[[#This Row],[TotalPreLiq]]/TModelo[[#This Row],[CumInfl]],0)</f>
        <v>0</v>
      </c>
      <c r="AC355" s="41">
        <f>(1+PerRate)^(-TModelo[[#This Row],[Period]])</f>
        <v>7.7613850508966589E-2</v>
      </c>
      <c r="AD355" s="42">
        <f>TModelo[[#This Row],[NetCF]]*TModelo[[#This Row],[fd]]</f>
        <v>0</v>
      </c>
    </row>
    <row r="356" spans="2:30" ht="16.95" customHeight="1">
      <c r="B356" s="11">
        <v>329</v>
      </c>
      <c r="C356" s="25">
        <f>EDATE(FechaInicio,TModelo[[#This Row],[Period]])</f>
        <v>56308</v>
      </c>
      <c r="D356" s="11">
        <f>IF(AND(TModelo[[#This Row],[Period]]&gt;=1,TModelo[[#This Row],[Period]]&lt;=HorizonteMeses),1,0)</f>
        <v>0</v>
      </c>
      <c r="E356" s="40">
        <f>TModelo[[#This Row],[Act]]*(INFb+(INFpi0-INFb)*(1-INFa)^TModelo[[#This Row],[Period]])</f>
        <v>0</v>
      </c>
      <c r="F356" s="28">
        <f>IF(TModelo[[#This Row],[Period]]&lt;=HorizonteMeses,F355*(1+TModelo[[#This Row],[InflMes]]),0)</f>
        <v>0</v>
      </c>
      <c r="G356" s="21">
        <f>TModelo[[#This Row],[Act]]*(CDTb+(CDTx0-CDTb)*(1-CDTa)^TModelo[[#This Row],[Period]]+CDTspread)</f>
        <v>0</v>
      </c>
      <c r="H356" s="40">
        <f>TModelo[[#This Row],[Act]]*((1+TModelo[[#This Row],[TasaCDT]])^(1/12)-1)*(1-Retencion)</f>
        <v>0</v>
      </c>
      <c r="I356" s="40">
        <f>TModelo[[#This Row],[Act]]*(EXP(MuCOLCAP+SigmaCOLCAP^2/2)-1)</f>
        <v>0</v>
      </c>
      <c r="J356" s="40">
        <f>TModelo[[#This Row],[Act]]*(EXP(MuTRM+SigmaTRM^2/2)-1)</f>
        <v>0</v>
      </c>
      <c r="K356" s="11">
        <f>TModelo[[#This Row],[Act]]*IF(Rebalanceo="Mensual",1,IF(Rebalanceo="Anual",IF(MOD(TModelo[[#This Row],[Period]]-1,12)=0,1,0),0))</f>
        <v>0</v>
      </c>
      <c r="L356" s="24">
        <f>TModelo[[#This Row],[Act]]*AporteMensual*IF(CrecimientoAporte="Con IPC",F355,1)</f>
        <v>0</v>
      </c>
      <c r="M356" s="24">
        <f>IF(TModelo[[#This Row],[Period]]=HorizonteMeses,TModelo[[#This Row],[TotalPreLiq]],0)</f>
        <v>0</v>
      </c>
      <c r="N356" s="24">
        <f>TModelo[[#This Row],[Inflow]]-TModelo[[#This Row],[Outflow]]</f>
        <v>0</v>
      </c>
      <c r="O356" s="24">
        <f t="shared" si="5"/>
        <v>0</v>
      </c>
      <c r="P356" s="24">
        <f>TModelo[[#This Row],[IntCDT]]+TModelo[[#This Row],[IntCOLCAP]]+TModelo[[#This Row],[IntUSD]]</f>
        <v>0</v>
      </c>
      <c r="Q356" s="24">
        <f>TModelo[[#This Row],[InitialBalance]]+TModelo[[#This Row],[Interest]]+TModelo[[#This Row],[Outflow]]-TModelo[[#This Row],[Inflow]]</f>
        <v>0</v>
      </c>
      <c r="R356" s="24">
        <f>TModelo[[#This Row],[Act]]*IF(TModelo[[#This Row],[Rebal]]=1,PesoCDT*(X355+Y355+Z355),X355)</f>
        <v>0</v>
      </c>
      <c r="S356" s="24">
        <f>TModelo[[#This Row],[Act]]*IF(TModelo[[#This Row],[Rebal]]=1,PesoCOLCAP*(X355+Y355+Z355),Y355)</f>
        <v>0</v>
      </c>
      <c r="T356" s="24">
        <f>TModelo[[#This Row],[Act]]*IF(TModelo[[#This Row],[Rebal]]=1,PesoUSD*(X355+Y355+Z355),Z355)</f>
        <v>0</v>
      </c>
      <c r="U356" s="24">
        <f>TModelo[[#This Row],[IniCDT]]*TModelo[[#This Row],[RetCDT]]</f>
        <v>0</v>
      </c>
      <c r="V356" s="24">
        <f>TModelo[[#This Row],[IniCOLCAP]]*TModelo[[#This Row],[RetCOLCAP]]</f>
        <v>0</v>
      </c>
      <c r="W356" s="24">
        <f>TModelo[[#This Row],[IniUSD]]*TModelo[[#This Row],[RetUSD]]</f>
        <v>0</v>
      </c>
      <c r="X356" s="24">
        <f>TModelo[[#This Row],[Act]]*(TModelo[[#This Row],[IniCDT]]+TModelo[[#This Row],[IntCDT]]+PesoCDT*TModelo[[#This Row],[Outflow]])</f>
        <v>0</v>
      </c>
      <c r="Y356" s="24">
        <f>TModelo[[#This Row],[Act]]*(TModelo[[#This Row],[IniCOLCAP]]+TModelo[[#This Row],[IntCOLCAP]]+PesoCOLCAP*TModelo[[#This Row],[Outflow]])</f>
        <v>0</v>
      </c>
      <c r="Z356" s="24">
        <f>TModelo[[#This Row],[Act]]*(TModelo[[#This Row],[IniUSD]]+TModelo[[#This Row],[IntUSD]]+PesoUSD*TModelo[[#This Row],[Outflow]])</f>
        <v>0</v>
      </c>
      <c r="AA356" s="24">
        <f>TModelo[[#This Row],[BalCDT]]+TModelo[[#This Row],[BalCOLCAP]]+TModelo[[#This Row],[BalUSD]]</f>
        <v>0</v>
      </c>
      <c r="AB356" s="24">
        <f>IF(TModelo[[#This Row],[CumInfl]]&gt;0,TModelo[[#This Row],[TotalPreLiq]]/TModelo[[#This Row],[CumInfl]],0)</f>
        <v>0</v>
      </c>
      <c r="AC356" s="41">
        <f>(1+PerRate)^(-TModelo[[#This Row],[Period]])</f>
        <v>7.701137865473788E-2</v>
      </c>
      <c r="AD356" s="42">
        <f>TModelo[[#This Row],[NetCF]]*TModelo[[#This Row],[fd]]</f>
        <v>0</v>
      </c>
    </row>
    <row r="357" spans="2:30" ht="16.95" customHeight="1">
      <c r="B357" s="11">
        <v>330</v>
      </c>
      <c r="C357" s="25">
        <f>EDATE(FechaInicio,TModelo[[#This Row],[Period]])</f>
        <v>56337</v>
      </c>
      <c r="D357" s="11">
        <f>IF(AND(TModelo[[#This Row],[Period]]&gt;=1,TModelo[[#This Row],[Period]]&lt;=HorizonteMeses),1,0)</f>
        <v>0</v>
      </c>
      <c r="E357" s="40">
        <f>TModelo[[#This Row],[Act]]*(INFb+(INFpi0-INFb)*(1-INFa)^TModelo[[#This Row],[Period]])</f>
        <v>0</v>
      </c>
      <c r="F357" s="28">
        <f>IF(TModelo[[#This Row],[Period]]&lt;=HorizonteMeses,F356*(1+TModelo[[#This Row],[InflMes]]),0)</f>
        <v>0</v>
      </c>
      <c r="G357" s="21">
        <f>TModelo[[#This Row],[Act]]*(CDTb+(CDTx0-CDTb)*(1-CDTa)^TModelo[[#This Row],[Period]]+CDTspread)</f>
        <v>0</v>
      </c>
      <c r="H357" s="40">
        <f>TModelo[[#This Row],[Act]]*((1+TModelo[[#This Row],[TasaCDT]])^(1/12)-1)*(1-Retencion)</f>
        <v>0</v>
      </c>
      <c r="I357" s="40">
        <f>TModelo[[#This Row],[Act]]*(EXP(MuCOLCAP+SigmaCOLCAP^2/2)-1)</f>
        <v>0</v>
      </c>
      <c r="J357" s="40">
        <f>TModelo[[#This Row],[Act]]*(EXP(MuTRM+SigmaTRM^2/2)-1)</f>
        <v>0</v>
      </c>
      <c r="K357" s="11">
        <f>TModelo[[#This Row],[Act]]*IF(Rebalanceo="Mensual",1,IF(Rebalanceo="Anual",IF(MOD(TModelo[[#This Row],[Period]]-1,12)=0,1,0),0))</f>
        <v>0</v>
      </c>
      <c r="L357" s="24">
        <f>TModelo[[#This Row],[Act]]*AporteMensual*IF(CrecimientoAporte="Con IPC",F356,1)</f>
        <v>0</v>
      </c>
      <c r="M357" s="24">
        <f>IF(TModelo[[#This Row],[Period]]=HorizonteMeses,TModelo[[#This Row],[TotalPreLiq]],0)</f>
        <v>0</v>
      </c>
      <c r="N357" s="24">
        <f>TModelo[[#This Row],[Inflow]]-TModelo[[#This Row],[Outflow]]</f>
        <v>0</v>
      </c>
      <c r="O357" s="24">
        <f t="shared" si="5"/>
        <v>0</v>
      </c>
      <c r="P357" s="24">
        <f>TModelo[[#This Row],[IntCDT]]+TModelo[[#This Row],[IntCOLCAP]]+TModelo[[#This Row],[IntUSD]]</f>
        <v>0</v>
      </c>
      <c r="Q357" s="24">
        <f>TModelo[[#This Row],[InitialBalance]]+TModelo[[#This Row],[Interest]]+TModelo[[#This Row],[Outflow]]-TModelo[[#This Row],[Inflow]]</f>
        <v>0</v>
      </c>
      <c r="R357" s="24">
        <f>TModelo[[#This Row],[Act]]*IF(TModelo[[#This Row],[Rebal]]=1,PesoCDT*(X356+Y356+Z356),X356)</f>
        <v>0</v>
      </c>
      <c r="S357" s="24">
        <f>TModelo[[#This Row],[Act]]*IF(TModelo[[#This Row],[Rebal]]=1,PesoCOLCAP*(X356+Y356+Z356),Y356)</f>
        <v>0</v>
      </c>
      <c r="T357" s="24">
        <f>TModelo[[#This Row],[Act]]*IF(TModelo[[#This Row],[Rebal]]=1,PesoUSD*(X356+Y356+Z356),Z356)</f>
        <v>0</v>
      </c>
      <c r="U357" s="24">
        <f>TModelo[[#This Row],[IniCDT]]*TModelo[[#This Row],[RetCDT]]</f>
        <v>0</v>
      </c>
      <c r="V357" s="24">
        <f>TModelo[[#This Row],[IniCOLCAP]]*TModelo[[#This Row],[RetCOLCAP]]</f>
        <v>0</v>
      </c>
      <c r="W357" s="24">
        <f>TModelo[[#This Row],[IniUSD]]*TModelo[[#This Row],[RetUSD]]</f>
        <v>0</v>
      </c>
      <c r="X357" s="24">
        <f>TModelo[[#This Row],[Act]]*(TModelo[[#This Row],[IniCDT]]+TModelo[[#This Row],[IntCDT]]+PesoCDT*TModelo[[#This Row],[Outflow]])</f>
        <v>0</v>
      </c>
      <c r="Y357" s="24">
        <f>TModelo[[#This Row],[Act]]*(TModelo[[#This Row],[IniCOLCAP]]+TModelo[[#This Row],[IntCOLCAP]]+PesoCOLCAP*TModelo[[#This Row],[Outflow]])</f>
        <v>0</v>
      </c>
      <c r="Z357" s="24">
        <f>TModelo[[#This Row],[Act]]*(TModelo[[#This Row],[IniUSD]]+TModelo[[#This Row],[IntUSD]]+PesoUSD*TModelo[[#This Row],[Outflow]])</f>
        <v>0</v>
      </c>
      <c r="AA357" s="24">
        <f>TModelo[[#This Row],[BalCDT]]+TModelo[[#This Row],[BalCOLCAP]]+TModelo[[#This Row],[BalUSD]]</f>
        <v>0</v>
      </c>
      <c r="AB357" s="24">
        <f>IF(TModelo[[#This Row],[CumInfl]]&gt;0,TModelo[[#This Row],[TotalPreLiq]]/TModelo[[#This Row],[CumInfl]],0)</f>
        <v>0</v>
      </c>
      <c r="AC357" s="41">
        <f>(1+PerRate)^(-TModelo[[#This Row],[Period]])</f>
        <v>7.6413583444339586E-2</v>
      </c>
      <c r="AD357" s="42">
        <f>TModelo[[#This Row],[NetCF]]*TModelo[[#This Row],[fd]]</f>
        <v>0</v>
      </c>
    </row>
    <row r="358" spans="2:30" ht="16.95" customHeight="1">
      <c r="B358" s="11">
        <v>331</v>
      </c>
      <c r="C358" s="25">
        <f>EDATE(FechaInicio,TModelo[[#This Row],[Period]])</f>
        <v>56368</v>
      </c>
      <c r="D358" s="11">
        <f>IF(AND(TModelo[[#This Row],[Period]]&gt;=1,TModelo[[#This Row],[Period]]&lt;=HorizonteMeses),1,0)</f>
        <v>0</v>
      </c>
      <c r="E358" s="40">
        <f>TModelo[[#This Row],[Act]]*(INFb+(INFpi0-INFb)*(1-INFa)^TModelo[[#This Row],[Period]])</f>
        <v>0</v>
      </c>
      <c r="F358" s="28">
        <f>IF(TModelo[[#This Row],[Period]]&lt;=HorizonteMeses,F357*(1+TModelo[[#This Row],[InflMes]]),0)</f>
        <v>0</v>
      </c>
      <c r="G358" s="21">
        <f>TModelo[[#This Row],[Act]]*(CDTb+(CDTx0-CDTb)*(1-CDTa)^TModelo[[#This Row],[Period]]+CDTspread)</f>
        <v>0</v>
      </c>
      <c r="H358" s="40">
        <f>TModelo[[#This Row],[Act]]*((1+TModelo[[#This Row],[TasaCDT]])^(1/12)-1)*(1-Retencion)</f>
        <v>0</v>
      </c>
      <c r="I358" s="40">
        <f>TModelo[[#This Row],[Act]]*(EXP(MuCOLCAP+SigmaCOLCAP^2/2)-1)</f>
        <v>0</v>
      </c>
      <c r="J358" s="40">
        <f>TModelo[[#This Row],[Act]]*(EXP(MuTRM+SigmaTRM^2/2)-1)</f>
        <v>0</v>
      </c>
      <c r="K358" s="11">
        <f>TModelo[[#This Row],[Act]]*IF(Rebalanceo="Mensual",1,IF(Rebalanceo="Anual",IF(MOD(TModelo[[#This Row],[Period]]-1,12)=0,1,0),0))</f>
        <v>0</v>
      </c>
      <c r="L358" s="24">
        <f>TModelo[[#This Row],[Act]]*AporteMensual*IF(CrecimientoAporte="Con IPC",F357,1)</f>
        <v>0</v>
      </c>
      <c r="M358" s="24">
        <f>IF(TModelo[[#This Row],[Period]]=HorizonteMeses,TModelo[[#This Row],[TotalPreLiq]],0)</f>
        <v>0</v>
      </c>
      <c r="N358" s="24">
        <f>TModelo[[#This Row],[Inflow]]-TModelo[[#This Row],[Outflow]]</f>
        <v>0</v>
      </c>
      <c r="O358" s="24">
        <f t="shared" si="5"/>
        <v>0</v>
      </c>
      <c r="P358" s="24">
        <f>TModelo[[#This Row],[IntCDT]]+TModelo[[#This Row],[IntCOLCAP]]+TModelo[[#This Row],[IntUSD]]</f>
        <v>0</v>
      </c>
      <c r="Q358" s="24">
        <f>TModelo[[#This Row],[InitialBalance]]+TModelo[[#This Row],[Interest]]+TModelo[[#This Row],[Outflow]]-TModelo[[#This Row],[Inflow]]</f>
        <v>0</v>
      </c>
      <c r="R358" s="24">
        <f>TModelo[[#This Row],[Act]]*IF(TModelo[[#This Row],[Rebal]]=1,PesoCDT*(X357+Y357+Z357),X357)</f>
        <v>0</v>
      </c>
      <c r="S358" s="24">
        <f>TModelo[[#This Row],[Act]]*IF(TModelo[[#This Row],[Rebal]]=1,PesoCOLCAP*(X357+Y357+Z357),Y357)</f>
        <v>0</v>
      </c>
      <c r="T358" s="24">
        <f>TModelo[[#This Row],[Act]]*IF(TModelo[[#This Row],[Rebal]]=1,PesoUSD*(X357+Y357+Z357),Z357)</f>
        <v>0</v>
      </c>
      <c r="U358" s="24">
        <f>TModelo[[#This Row],[IniCDT]]*TModelo[[#This Row],[RetCDT]]</f>
        <v>0</v>
      </c>
      <c r="V358" s="24">
        <f>TModelo[[#This Row],[IniCOLCAP]]*TModelo[[#This Row],[RetCOLCAP]]</f>
        <v>0</v>
      </c>
      <c r="W358" s="24">
        <f>TModelo[[#This Row],[IniUSD]]*TModelo[[#This Row],[RetUSD]]</f>
        <v>0</v>
      </c>
      <c r="X358" s="24">
        <f>TModelo[[#This Row],[Act]]*(TModelo[[#This Row],[IniCDT]]+TModelo[[#This Row],[IntCDT]]+PesoCDT*TModelo[[#This Row],[Outflow]])</f>
        <v>0</v>
      </c>
      <c r="Y358" s="24">
        <f>TModelo[[#This Row],[Act]]*(TModelo[[#This Row],[IniCOLCAP]]+TModelo[[#This Row],[IntCOLCAP]]+PesoCOLCAP*TModelo[[#This Row],[Outflow]])</f>
        <v>0</v>
      </c>
      <c r="Z358" s="24">
        <f>TModelo[[#This Row],[Act]]*(TModelo[[#This Row],[IniUSD]]+TModelo[[#This Row],[IntUSD]]+PesoUSD*TModelo[[#This Row],[Outflow]])</f>
        <v>0</v>
      </c>
      <c r="AA358" s="24">
        <f>TModelo[[#This Row],[BalCDT]]+TModelo[[#This Row],[BalCOLCAP]]+TModelo[[#This Row],[BalUSD]]</f>
        <v>0</v>
      </c>
      <c r="AB358" s="24">
        <f>IF(TModelo[[#This Row],[CumInfl]]&gt;0,TModelo[[#This Row],[TotalPreLiq]]/TModelo[[#This Row],[CumInfl]],0)</f>
        <v>0</v>
      </c>
      <c r="AC358" s="41">
        <f>(1+PerRate)^(-TModelo[[#This Row],[Period]])</f>
        <v>7.5820428575665039E-2</v>
      </c>
      <c r="AD358" s="42">
        <f>TModelo[[#This Row],[NetCF]]*TModelo[[#This Row],[fd]]</f>
        <v>0</v>
      </c>
    </row>
    <row r="359" spans="2:30" ht="16.95" customHeight="1">
      <c r="B359" s="11">
        <v>332</v>
      </c>
      <c r="C359" s="25">
        <f>EDATE(FechaInicio,TModelo[[#This Row],[Period]])</f>
        <v>56398</v>
      </c>
      <c r="D359" s="11">
        <f>IF(AND(TModelo[[#This Row],[Period]]&gt;=1,TModelo[[#This Row],[Period]]&lt;=HorizonteMeses),1,0)</f>
        <v>0</v>
      </c>
      <c r="E359" s="40">
        <f>TModelo[[#This Row],[Act]]*(INFb+(INFpi0-INFb)*(1-INFa)^TModelo[[#This Row],[Period]])</f>
        <v>0</v>
      </c>
      <c r="F359" s="28">
        <f>IF(TModelo[[#This Row],[Period]]&lt;=HorizonteMeses,F358*(1+TModelo[[#This Row],[InflMes]]),0)</f>
        <v>0</v>
      </c>
      <c r="G359" s="21">
        <f>TModelo[[#This Row],[Act]]*(CDTb+(CDTx0-CDTb)*(1-CDTa)^TModelo[[#This Row],[Period]]+CDTspread)</f>
        <v>0</v>
      </c>
      <c r="H359" s="40">
        <f>TModelo[[#This Row],[Act]]*((1+TModelo[[#This Row],[TasaCDT]])^(1/12)-1)*(1-Retencion)</f>
        <v>0</v>
      </c>
      <c r="I359" s="40">
        <f>TModelo[[#This Row],[Act]]*(EXP(MuCOLCAP+SigmaCOLCAP^2/2)-1)</f>
        <v>0</v>
      </c>
      <c r="J359" s="40">
        <f>TModelo[[#This Row],[Act]]*(EXP(MuTRM+SigmaTRM^2/2)-1)</f>
        <v>0</v>
      </c>
      <c r="K359" s="11">
        <f>TModelo[[#This Row],[Act]]*IF(Rebalanceo="Mensual",1,IF(Rebalanceo="Anual",IF(MOD(TModelo[[#This Row],[Period]]-1,12)=0,1,0),0))</f>
        <v>0</v>
      </c>
      <c r="L359" s="24">
        <f>TModelo[[#This Row],[Act]]*AporteMensual*IF(CrecimientoAporte="Con IPC",F358,1)</f>
        <v>0</v>
      </c>
      <c r="M359" s="24">
        <f>IF(TModelo[[#This Row],[Period]]=HorizonteMeses,TModelo[[#This Row],[TotalPreLiq]],0)</f>
        <v>0</v>
      </c>
      <c r="N359" s="24">
        <f>TModelo[[#This Row],[Inflow]]-TModelo[[#This Row],[Outflow]]</f>
        <v>0</v>
      </c>
      <c r="O359" s="24">
        <f t="shared" si="5"/>
        <v>0</v>
      </c>
      <c r="P359" s="24">
        <f>TModelo[[#This Row],[IntCDT]]+TModelo[[#This Row],[IntCOLCAP]]+TModelo[[#This Row],[IntUSD]]</f>
        <v>0</v>
      </c>
      <c r="Q359" s="24">
        <f>TModelo[[#This Row],[InitialBalance]]+TModelo[[#This Row],[Interest]]+TModelo[[#This Row],[Outflow]]-TModelo[[#This Row],[Inflow]]</f>
        <v>0</v>
      </c>
      <c r="R359" s="24">
        <f>TModelo[[#This Row],[Act]]*IF(TModelo[[#This Row],[Rebal]]=1,PesoCDT*(X358+Y358+Z358),X358)</f>
        <v>0</v>
      </c>
      <c r="S359" s="24">
        <f>TModelo[[#This Row],[Act]]*IF(TModelo[[#This Row],[Rebal]]=1,PesoCOLCAP*(X358+Y358+Z358),Y358)</f>
        <v>0</v>
      </c>
      <c r="T359" s="24">
        <f>TModelo[[#This Row],[Act]]*IF(TModelo[[#This Row],[Rebal]]=1,PesoUSD*(X358+Y358+Z358),Z358)</f>
        <v>0</v>
      </c>
      <c r="U359" s="24">
        <f>TModelo[[#This Row],[IniCDT]]*TModelo[[#This Row],[RetCDT]]</f>
        <v>0</v>
      </c>
      <c r="V359" s="24">
        <f>TModelo[[#This Row],[IniCOLCAP]]*TModelo[[#This Row],[RetCOLCAP]]</f>
        <v>0</v>
      </c>
      <c r="W359" s="24">
        <f>TModelo[[#This Row],[IniUSD]]*TModelo[[#This Row],[RetUSD]]</f>
        <v>0</v>
      </c>
      <c r="X359" s="24">
        <f>TModelo[[#This Row],[Act]]*(TModelo[[#This Row],[IniCDT]]+TModelo[[#This Row],[IntCDT]]+PesoCDT*TModelo[[#This Row],[Outflow]])</f>
        <v>0</v>
      </c>
      <c r="Y359" s="24">
        <f>TModelo[[#This Row],[Act]]*(TModelo[[#This Row],[IniCOLCAP]]+TModelo[[#This Row],[IntCOLCAP]]+PesoCOLCAP*TModelo[[#This Row],[Outflow]])</f>
        <v>0</v>
      </c>
      <c r="Z359" s="24">
        <f>TModelo[[#This Row],[Act]]*(TModelo[[#This Row],[IniUSD]]+TModelo[[#This Row],[IntUSD]]+PesoUSD*TModelo[[#This Row],[Outflow]])</f>
        <v>0</v>
      </c>
      <c r="AA359" s="24">
        <f>TModelo[[#This Row],[BalCDT]]+TModelo[[#This Row],[BalCOLCAP]]+TModelo[[#This Row],[BalUSD]]</f>
        <v>0</v>
      </c>
      <c r="AB359" s="24">
        <f>IF(TModelo[[#This Row],[CumInfl]]&gt;0,TModelo[[#This Row],[TotalPreLiq]]/TModelo[[#This Row],[CumInfl]],0)</f>
        <v>0</v>
      </c>
      <c r="AC359" s="41">
        <f>(1+PerRate)^(-TModelo[[#This Row],[Period]])</f>
        <v>7.5231878028400048E-2</v>
      </c>
      <c r="AD359" s="42">
        <f>TModelo[[#This Row],[NetCF]]*TModelo[[#This Row],[fd]]</f>
        <v>0</v>
      </c>
    </row>
    <row r="360" spans="2:30" ht="16.95" customHeight="1">
      <c r="B360" s="11">
        <v>333</v>
      </c>
      <c r="C360" s="25">
        <f>EDATE(FechaInicio,TModelo[[#This Row],[Period]])</f>
        <v>56429</v>
      </c>
      <c r="D360" s="11">
        <f>IF(AND(TModelo[[#This Row],[Period]]&gt;=1,TModelo[[#This Row],[Period]]&lt;=HorizonteMeses),1,0)</f>
        <v>0</v>
      </c>
      <c r="E360" s="40">
        <f>TModelo[[#This Row],[Act]]*(INFb+(INFpi0-INFb)*(1-INFa)^TModelo[[#This Row],[Period]])</f>
        <v>0</v>
      </c>
      <c r="F360" s="28">
        <f>IF(TModelo[[#This Row],[Period]]&lt;=HorizonteMeses,F359*(1+TModelo[[#This Row],[InflMes]]),0)</f>
        <v>0</v>
      </c>
      <c r="G360" s="21">
        <f>TModelo[[#This Row],[Act]]*(CDTb+(CDTx0-CDTb)*(1-CDTa)^TModelo[[#This Row],[Period]]+CDTspread)</f>
        <v>0</v>
      </c>
      <c r="H360" s="40">
        <f>TModelo[[#This Row],[Act]]*((1+TModelo[[#This Row],[TasaCDT]])^(1/12)-1)*(1-Retencion)</f>
        <v>0</v>
      </c>
      <c r="I360" s="40">
        <f>TModelo[[#This Row],[Act]]*(EXP(MuCOLCAP+SigmaCOLCAP^2/2)-1)</f>
        <v>0</v>
      </c>
      <c r="J360" s="40">
        <f>TModelo[[#This Row],[Act]]*(EXP(MuTRM+SigmaTRM^2/2)-1)</f>
        <v>0</v>
      </c>
      <c r="K360" s="11">
        <f>TModelo[[#This Row],[Act]]*IF(Rebalanceo="Mensual",1,IF(Rebalanceo="Anual",IF(MOD(TModelo[[#This Row],[Period]]-1,12)=0,1,0),0))</f>
        <v>0</v>
      </c>
      <c r="L360" s="24">
        <f>TModelo[[#This Row],[Act]]*AporteMensual*IF(CrecimientoAporte="Con IPC",F359,1)</f>
        <v>0</v>
      </c>
      <c r="M360" s="24">
        <f>IF(TModelo[[#This Row],[Period]]=HorizonteMeses,TModelo[[#This Row],[TotalPreLiq]],0)</f>
        <v>0</v>
      </c>
      <c r="N360" s="24">
        <f>TModelo[[#This Row],[Inflow]]-TModelo[[#This Row],[Outflow]]</f>
        <v>0</v>
      </c>
      <c r="O360" s="24">
        <f t="shared" si="5"/>
        <v>0</v>
      </c>
      <c r="P360" s="24">
        <f>TModelo[[#This Row],[IntCDT]]+TModelo[[#This Row],[IntCOLCAP]]+TModelo[[#This Row],[IntUSD]]</f>
        <v>0</v>
      </c>
      <c r="Q360" s="24">
        <f>TModelo[[#This Row],[InitialBalance]]+TModelo[[#This Row],[Interest]]+TModelo[[#This Row],[Outflow]]-TModelo[[#This Row],[Inflow]]</f>
        <v>0</v>
      </c>
      <c r="R360" s="24">
        <f>TModelo[[#This Row],[Act]]*IF(TModelo[[#This Row],[Rebal]]=1,PesoCDT*(X359+Y359+Z359),X359)</f>
        <v>0</v>
      </c>
      <c r="S360" s="24">
        <f>TModelo[[#This Row],[Act]]*IF(TModelo[[#This Row],[Rebal]]=1,PesoCOLCAP*(X359+Y359+Z359),Y359)</f>
        <v>0</v>
      </c>
      <c r="T360" s="24">
        <f>TModelo[[#This Row],[Act]]*IF(TModelo[[#This Row],[Rebal]]=1,PesoUSD*(X359+Y359+Z359),Z359)</f>
        <v>0</v>
      </c>
      <c r="U360" s="24">
        <f>TModelo[[#This Row],[IniCDT]]*TModelo[[#This Row],[RetCDT]]</f>
        <v>0</v>
      </c>
      <c r="V360" s="24">
        <f>TModelo[[#This Row],[IniCOLCAP]]*TModelo[[#This Row],[RetCOLCAP]]</f>
        <v>0</v>
      </c>
      <c r="W360" s="24">
        <f>TModelo[[#This Row],[IniUSD]]*TModelo[[#This Row],[RetUSD]]</f>
        <v>0</v>
      </c>
      <c r="X360" s="24">
        <f>TModelo[[#This Row],[Act]]*(TModelo[[#This Row],[IniCDT]]+TModelo[[#This Row],[IntCDT]]+PesoCDT*TModelo[[#This Row],[Outflow]])</f>
        <v>0</v>
      </c>
      <c r="Y360" s="24">
        <f>TModelo[[#This Row],[Act]]*(TModelo[[#This Row],[IniCOLCAP]]+TModelo[[#This Row],[IntCOLCAP]]+PesoCOLCAP*TModelo[[#This Row],[Outflow]])</f>
        <v>0</v>
      </c>
      <c r="Z360" s="24">
        <f>TModelo[[#This Row],[Act]]*(TModelo[[#This Row],[IniUSD]]+TModelo[[#This Row],[IntUSD]]+PesoUSD*TModelo[[#This Row],[Outflow]])</f>
        <v>0</v>
      </c>
      <c r="AA360" s="24">
        <f>TModelo[[#This Row],[BalCDT]]+TModelo[[#This Row],[BalCOLCAP]]+TModelo[[#This Row],[BalUSD]]</f>
        <v>0</v>
      </c>
      <c r="AB360" s="24">
        <f>IF(TModelo[[#This Row],[CumInfl]]&gt;0,TModelo[[#This Row],[TotalPreLiq]]/TModelo[[#This Row],[CumInfl]],0)</f>
        <v>0</v>
      </c>
      <c r="AC360" s="41">
        <f>(1+PerRate)^(-TModelo[[#This Row],[Period]])</f>
        <v>7.4647896061835445E-2</v>
      </c>
      <c r="AD360" s="42">
        <f>TModelo[[#This Row],[NetCF]]*TModelo[[#This Row],[fd]]</f>
        <v>0</v>
      </c>
    </row>
    <row r="361" spans="2:30" ht="16.95" customHeight="1">
      <c r="B361" s="11">
        <v>334</v>
      </c>
      <c r="C361" s="25">
        <f>EDATE(FechaInicio,TModelo[[#This Row],[Period]])</f>
        <v>56459</v>
      </c>
      <c r="D361" s="11">
        <f>IF(AND(TModelo[[#This Row],[Period]]&gt;=1,TModelo[[#This Row],[Period]]&lt;=HorizonteMeses),1,0)</f>
        <v>0</v>
      </c>
      <c r="E361" s="40">
        <f>TModelo[[#This Row],[Act]]*(INFb+(INFpi0-INFb)*(1-INFa)^TModelo[[#This Row],[Period]])</f>
        <v>0</v>
      </c>
      <c r="F361" s="28">
        <f>IF(TModelo[[#This Row],[Period]]&lt;=HorizonteMeses,F360*(1+TModelo[[#This Row],[InflMes]]),0)</f>
        <v>0</v>
      </c>
      <c r="G361" s="21">
        <f>TModelo[[#This Row],[Act]]*(CDTb+(CDTx0-CDTb)*(1-CDTa)^TModelo[[#This Row],[Period]]+CDTspread)</f>
        <v>0</v>
      </c>
      <c r="H361" s="40">
        <f>TModelo[[#This Row],[Act]]*((1+TModelo[[#This Row],[TasaCDT]])^(1/12)-1)*(1-Retencion)</f>
        <v>0</v>
      </c>
      <c r="I361" s="40">
        <f>TModelo[[#This Row],[Act]]*(EXP(MuCOLCAP+SigmaCOLCAP^2/2)-1)</f>
        <v>0</v>
      </c>
      <c r="J361" s="40">
        <f>TModelo[[#This Row],[Act]]*(EXP(MuTRM+SigmaTRM^2/2)-1)</f>
        <v>0</v>
      </c>
      <c r="K361" s="11">
        <f>TModelo[[#This Row],[Act]]*IF(Rebalanceo="Mensual",1,IF(Rebalanceo="Anual",IF(MOD(TModelo[[#This Row],[Period]]-1,12)=0,1,0),0))</f>
        <v>0</v>
      </c>
      <c r="L361" s="24">
        <f>TModelo[[#This Row],[Act]]*AporteMensual*IF(CrecimientoAporte="Con IPC",F360,1)</f>
        <v>0</v>
      </c>
      <c r="M361" s="24">
        <f>IF(TModelo[[#This Row],[Period]]=HorizonteMeses,TModelo[[#This Row],[TotalPreLiq]],0)</f>
        <v>0</v>
      </c>
      <c r="N361" s="24">
        <f>TModelo[[#This Row],[Inflow]]-TModelo[[#This Row],[Outflow]]</f>
        <v>0</v>
      </c>
      <c r="O361" s="24">
        <f t="shared" si="5"/>
        <v>0</v>
      </c>
      <c r="P361" s="24">
        <f>TModelo[[#This Row],[IntCDT]]+TModelo[[#This Row],[IntCOLCAP]]+TModelo[[#This Row],[IntUSD]]</f>
        <v>0</v>
      </c>
      <c r="Q361" s="24">
        <f>TModelo[[#This Row],[InitialBalance]]+TModelo[[#This Row],[Interest]]+TModelo[[#This Row],[Outflow]]-TModelo[[#This Row],[Inflow]]</f>
        <v>0</v>
      </c>
      <c r="R361" s="24">
        <f>TModelo[[#This Row],[Act]]*IF(TModelo[[#This Row],[Rebal]]=1,PesoCDT*(X360+Y360+Z360),X360)</f>
        <v>0</v>
      </c>
      <c r="S361" s="24">
        <f>TModelo[[#This Row],[Act]]*IF(TModelo[[#This Row],[Rebal]]=1,PesoCOLCAP*(X360+Y360+Z360),Y360)</f>
        <v>0</v>
      </c>
      <c r="T361" s="24">
        <f>TModelo[[#This Row],[Act]]*IF(TModelo[[#This Row],[Rebal]]=1,PesoUSD*(X360+Y360+Z360),Z360)</f>
        <v>0</v>
      </c>
      <c r="U361" s="24">
        <f>TModelo[[#This Row],[IniCDT]]*TModelo[[#This Row],[RetCDT]]</f>
        <v>0</v>
      </c>
      <c r="V361" s="24">
        <f>TModelo[[#This Row],[IniCOLCAP]]*TModelo[[#This Row],[RetCOLCAP]]</f>
        <v>0</v>
      </c>
      <c r="W361" s="24">
        <f>TModelo[[#This Row],[IniUSD]]*TModelo[[#This Row],[RetUSD]]</f>
        <v>0</v>
      </c>
      <c r="X361" s="24">
        <f>TModelo[[#This Row],[Act]]*(TModelo[[#This Row],[IniCDT]]+TModelo[[#This Row],[IntCDT]]+PesoCDT*TModelo[[#This Row],[Outflow]])</f>
        <v>0</v>
      </c>
      <c r="Y361" s="24">
        <f>TModelo[[#This Row],[Act]]*(TModelo[[#This Row],[IniCOLCAP]]+TModelo[[#This Row],[IntCOLCAP]]+PesoCOLCAP*TModelo[[#This Row],[Outflow]])</f>
        <v>0</v>
      </c>
      <c r="Z361" s="24">
        <f>TModelo[[#This Row],[Act]]*(TModelo[[#This Row],[IniUSD]]+TModelo[[#This Row],[IntUSD]]+PesoUSD*TModelo[[#This Row],[Outflow]])</f>
        <v>0</v>
      </c>
      <c r="AA361" s="24">
        <f>TModelo[[#This Row],[BalCDT]]+TModelo[[#This Row],[BalCOLCAP]]+TModelo[[#This Row],[BalUSD]]</f>
        <v>0</v>
      </c>
      <c r="AB361" s="24">
        <f>IF(TModelo[[#This Row],[CumInfl]]&gt;0,TModelo[[#This Row],[TotalPreLiq]]/TModelo[[#This Row],[CumInfl]],0)</f>
        <v>0</v>
      </c>
      <c r="AC361" s="41">
        <f>(1+PerRate)^(-TModelo[[#This Row],[Period]])</f>
        <v>7.4068447212696731E-2</v>
      </c>
      <c r="AD361" s="42">
        <f>TModelo[[#This Row],[NetCF]]*TModelo[[#This Row],[fd]]</f>
        <v>0</v>
      </c>
    </row>
    <row r="362" spans="2:30" ht="16.95" customHeight="1">
      <c r="B362" s="11">
        <v>335</v>
      </c>
      <c r="C362" s="25">
        <f>EDATE(FechaInicio,TModelo[[#This Row],[Period]])</f>
        <v>56490</v>
      </c>
      <c r="D362" s="11">
        <f>IF(AND(TModelo[[#This Row],[Period]]&gt;=1,TModelo[[#This Row],[Period]]&lt;=HorizonteMeses),1,0)</f>
        <v>0</v>
      </c>
      <c r="E362" s="40">
        <f>TModelo[[#This Row],[Act]]*(INFb+(INFpi0-INFb)*(1-INFa)^TModelo[[#This Row],[Period]])</f>
        <v>0</v>
      </c>
      <c r="F362" s="28">
        <f>IF(TModelo[[#This Row],[Period]]&lt;=HorizonteMeses,F361*(1+TModelo[[#This Row],[InflMes]]),0)</f>
        <v>0</v>
      </c>
      <c r="G362" s="21">
        <f>TModelo[[#This Row],[Act]]*(CDTb+(CDTx0-CDTb)*(1-CDTa)^TModelo[[#This Row],[Period]]+CDTspread)</f>
        <v>0</v>
      </c>
      <c r="H362" s="40">
        <f>TModelo[[#This Row],[Act]]*((1+TModelo[[#This Row],[TasaCDT]])^(1/12)-1)*(1-Retencion)</f>
        <v>0</v>
      </c>
      <c r="I362" s="40">
        <f>TModelo[[#This Row],[Act]]*(EXP(MuCOLCAP+SigmaCOLCAP^2/2)-1)</f>
        <v>0</v>
      </c>
      <c r="J362" s="40">
        <f>TModelo[[#This Row],[Act]]*(EXP(MuTRM+SigmaTRM^2/2)-1)</f>
        <v>0</v>
      </c>
      <c r="K362" s="11">
        <f>TModelo[[#This Row],[Act]]*IF(Rebalanceo="Mensual",1,IF(Rebalanceo="Anual",IF(MOD(TModelo[[#This Row],[Period]]-1,12)=0,1,0),0))</f>
        <v>0</v>
      </c>
      <c r="L362" s="24">
        <f>TModelo[[#This Row],[Act]]*AporteMensual*IF(CrecimientoAporte="Con IPC",F361,1)</f>
        <v>0</v>
      </c>
      <c r="M362" s="24">
        <f>IF(TModelo[[#This Row],[Period]]=HorizonteMeses,TModelo[[#This Row],[TotalPreLiq]],0)</f>
        <v>0</v>
      </c>
      <c r="N362" s="24">
        <f>TModelo[[#This Row],[Inflow]]-TModelo[[#This Row],[Outflow]]</f>
        <v>0</v>
      </c>
      <c r="O362" s="24">
        <f t="shared" si="5"/>
        <v>0</v>
      </c>
      <c r="P362" s="24">
        <f>TModelo[[#This Row],[IntCDT]]+TModelo[[#This Row],[IntCOLCAP]]+TModelo[[#This Row],[IntUSD]]</f>
        <v>0</v>
      </c>
      <c r="Q362" s="24">
        <f>TModelo[[#This Row],[InitialBalance]]+TModelo[[#This Row],[Interest]]+TModelo[[#This Row],[Outflow]]-TModelo[[#This Row],[Inflow]]</f>
        <v>0</v>
      </c>
      <c r="R362" s="24">
        <f>TModelo[[#This Row],[Act]]*IF(TModelo[[#This Row],[Rebal]]=1,PesoCDT*(X361+Y361+Z361),X361)</f>
        <v>0</v>
      </c>
      <c r="S362" s="24">
        <f>TModelo[[#This Row],[Act]]*IF(TModelo[[#This Row],[Rebal]]=1,PesoCOLCAP*(X361+Y361+Z361),Y361)</f>
        <v>0</v>
      </c>
      <c r="T362" s="24">
        <f>TModelo[[#This Row],[Act]]*IF(TModelo[[#This Row],[Rebal]]=1,PesoUSD*(X361+Y361+Z361),Z361)</f>
        <v>0</v>
      </c>
      <c r="U362" s="24">
        <f>TModelo[[#This Row],[IniCDT]]*TModelo[[#This Row],[RetCDT]]</f>
        <v>0</v>
      </c>
      <c r="V362" s="24">
        <f>TModelo[[#This Row],[IniCOLCAP]]*TModelo[[#This Row],[RetCOLCAP]]</f>
        <v>0</v>
      </c>
      <c r="W362" s="24">
        <f>TModelo[[#This Row],[IniUSD]]*TModelo[[#This Row],[RetUSD]]</f>
        <v>0</v>
      </c>
      <c r="X362" s="24">
        <f>TModelo[[#This Row],[Act]]*(TModelo[[#This Row],[IniCDT]]+TModelo[[#This Row],[IntCDT]]+PesoCDT*TModelo[[#This Row],[Outflow]])</f>
        <v>0</v>
      </c>
      <c r="Y362" s="24">
        <f>TModelo[[#This Row],[Act]]*(TModelo[[#This Row],[IniCOLCAP]]+TModelo[[#This Row],[IntCOLCAP]]+PesoCOLCAP*TModelo[[#This Row],[Outflow]])</f>
        <v>0</v>
      </c>
      <c r="Z362" s="24">
        <f>TModelo[[#This Row],[Act]]*(TModelo[[#This Row],[IniUSD]]+TModelo[[#This Row],[IntUSD]]+PesoUSD*TModelo[[#This Row],[Outflow]])</f>
        <v>0</v>
      </c>
      <c r="AA362" s="24">
        <f>TModelo[[#This Row],[BalCDT]]+TModelo[[#This Row],[BalCOLCAP]]+TModelo[[#This Row],[BalUSD]]</f>
        <v>0</v>
      </c>
      <c r="AB362" s="24">
        <f>IF(TModelo[[#This Row],[CumInfl]]&gt;0,TModelo[[#This Row],[TotalPreLiq]]/TModelo[[#This Row],[CumInfl]],0)</f>
        <v>0</v>
      </c>
      <c r="AC362" s="41">
        <f>(1+PerRate)^(-TModelo[[#This Row],[Period]])</f>
        <v>7.3493496292990443E-2</v>
      </c>
      <c r="AD362" s="42">
        <f>TModelo[[#This Row],[NetCF]]*TModelo[[#This Row],[fd]]</f>
        <v>0</v>
      </c>
    </row>
    <row r="363" spans="2:30" ht="16.95" customHeight="1">
      <c r="B363" s="11">
        <v>336</v>
      </c>
      <c r="C363" s="25">
        <f>EDATE(FechaInicio,TModelo[[#This Row],[Period]])</f>
        <v>56521</v>
      </c>
      <c r="D363" s="11">
        <f>IF(AND(TModelo[[#This Row],[Period]]&gt;=1,TModelo[[#This Row],[Period]]&lt;=HorizonteMeses),1,0)</f>
        <v>0</v>
      </c>
      <c r="E363" s="40">
        <f>TModelo[[#This Row],[Act]]*(INFb+(INFpi0-INFb)*(1-INFa)^TModelo[[#This Row],[Period]])</f>
        <v>0</v>
      </c>
      <c r="F363" s="28">
        <f>IF(TModelo[[#This Row],[Period]]&lt;=HorizonteMeses,F362*(1+TModelo[[#This Row],[InflMes]]),0)</f>
        <v>0</v>
      </c>
      <c r="G363" s="21">
        <f>TModelo[[#This Row],[Act]]*(CDTb+(CDTx0-CDTb)*(1-CDTa)^TModelo[[#This Row],[Period]]+CDTspread)</f>
        <v>0</v>
      </c>
      <c r="H363" s="40">
        <f>TModelo[[#This Row],[Act]]*((1+TModelo[[#This Row],[TasaCDT]])^(1/12)-1)*(1-Retencion)</f>
        <v>0</v>
      </c>
      <c r="I363" s="40">
        <f>TModelo[[#This Row],[Act]]*(EXP(MuCOLCAP+SigmaCOLCAP^2/2)-1)</f>
        <v>0</v>
      </c>
      <c r="J363" s="40">
        <f>TModelo[[#This Row],[Act]]*(EXP(MuTRM+SigmaTRM^2/2)-1)</f>
        <v>0</v>
      </c>
      <c r="K363" s="11">
        <f>TModelo[[#This Row],[Act]]*IF(Rebalanceo="Mensual",1,IF(Rebalanceo="Anual",IF(MOD(TModelo[[#This Row],[Period]]-1,12)=0,1,0),0))</f>
        <v>0</v>
      </c>
      <c r="L363" s="24">
        <f>TModelo[[#This Row],[Act]]*AporteMensual*IF(CrecimientoAporte="Con IPC",F362,1)</f>
        <v>0</v>
      </c>
      <c r="M363" s="24">
        <f>IF(TModelo[[#This Row],[Period]]=HorizonteMeses,TModelo[[#This Row],[TotalPreLiq]],0)</f>
        <v>0</v>
      </c>
      <c r="N363" s="24">
        <f>TModelo[[#This Row],[Inflow]]-TModelo[[#This Row],[Outflow]]</f>
        <v>0</v>
      </c>
      <c r="O363" s="24">
        <f t="shared" si="5"/>
        <v>0</v>
      </c>
      <c r="P363" s="24">
        <f>TModelo[[#This Row],[IntCDT]]+TModelo[[#This Row],[IntCOLCAP]]+TModelo[[#This Row],[IntUSD]]</f>
        <v>0</v>
      </c>
      <c r="Q363" s="24">
        <f>TModelo[[#This Row],[InitialBalance]]+TModelo[[#This Row],[Interest]]+TModelo[[#This Row],[Outflow]]-TModelo[[#This Row],[Inflow]]</f>
        <v>0</v>
      </c>
      <c r="R363" s="24">
        <f>TModelo[[#This Row],[Act]]*IF(TModelo[[#This Row],[Rebal]]=1,PesoCDT*(X362+Y362+Z362),X362)</f>
        <v>0</v>
      </c>
      <c r="S363" s="24">
        <f>TModelo[[#This Row],[Act]]*IF(TModelo[[#This Row],[Rebal]]=1,PesoCOLCAP*(X362+Y362+Z362),Y362)</f>
        <v>0</v>
      </c>
      <c r="T363" s="24">
        <f>TModelo[[#This Row],[Act]]*IF(TModelo[[#This Row],[Rebal]]=1,PesoUSD*(X362+Y362+Z362),Z362)</f>
        <v>0</v>
      </c>
      <c r="U363" s="24">
        <f>TModelo[[#This Row],[IniCDT]]*TModelo[[#This Row],[RetCDT]]</f>
        <v>0</v>
      </c>
      <c r="V363" s="24">
        <f>TModelo[[#This Row],[IniCOLCAP]]*TModelo[[#This Row],[RetCOLCAP]]</f>
        <v>0</v>
      </c>
      <c r="W363" s="24">
        <f>TModelo[[#This Row],[IniUSD]]*TModelo[[#This Row],[RetUSD]]</f>
        <v>0</v>
      </c>
      <c r="X363" s="24">
        <f>TModelo[[#This Row],[Act]]*(TModelo[[#This Row],[IniCDT]]+TModelo[[#This Row],[IntCDT]]+PesoCDT*TModelo[[#This Row],[Outflow]])</f>
        <v>0</v>
      </c>
      <c r="Y363" s="24">
        <f>TModelo[[#This Row],[Act]]*(TModelo[[#This Row],[IniCOLCAP]]+TModelo[[#This Row],[IntCOLCAP]]+PesoCOLCAP*TModelo[[#This Row],[Outflow]])</f>
        <v>0</v>
      </c>
      <c r="Z363" s="24">
        <f>TModelo[[#This Row],[Act]]*(TModelo[[#This Row],[IniUSD]]+TModelo[[#This Row],[IntUSD]]+PesoUSD*TModelo[[#This Row],[Outflow]])</f>
        <v>0</v>
      </c>
      <c r="AA363" s="24">
        <f>TModelo[[#This Row],[BalCDT]]+TModelo[[#This Row],[BalCOLCAP]]+TModelo[[#This Row],[BalUSD]]</f>
        <v>0</v>
      </c>
      <c r="AB363" s="24">
        <f>IF(TModelo[[#This Row],[CumInfl]]&gt;0,TModelo[[#This Row],[TotalPreLiq]]/TModelo[[#This Row],[CumInfl]],0)</f>
        <v>0</v>
      </c>
      <c r="AC363" s="41">
        <f>(1+PerRate)^(-TModelo[[#This Row],[Period]])</f>
        <v>7.2923008387867472E-2</v>
      </c>
      <c r="AD363" s="42">
        <f>TModelo[[#This Row],[NetCF]]*TModelo[[#This Row],[fd]]</f>
        <v>0</v>
      </c>
    </row>
    <row r="364" spans="2:30" ht="16.95" customHeight="1">
      <c r="B364" s="11">
        <v>337</v>
      </c>
      <c r="C364" s="25">
        <f>EDATE(FechaInicio,TModelo[[#This Row],[Period]])</f>
        <v>56551</v>
      </c>
      <c r="D364" s="11">
        <f>IF(AND(TModelo[[#This Row],[Period]]&gt;=1,TModelo[[#This Row],[Period]]&lt;=HorizonteMeses),1,0)</f>
        <v>0</v>
      </c>
      <c r="E364" s="40">
        <f>TModelo[[#This Row],[Act]]*(INFb+(INFpi0-INFb)*(1-INFa)^TModelo[[#This Row],[Period]])</f>
        <v>0</v>
      </c>
      <c r="F364" s="28">
        <f>IF(TModelo[[#This Row],[Period]]&lt;=HorizonteMeses,F363*(1+TModelo[[#This Row],[InflMes]]),0)</f>
        <v>0</v>
      </c>
      <c r="G364" s="21">
        <f>TModelo[[#This Row],[Act]]*(CDTb+(CDTx0-CDTb)*(1-CDTa)^TModelo[[#This Row],[Period]]+CDTspread)</f>
        <v>0</v>
      </c>
      <c r="H364" s="40">
        <f>TModelo[[#This Row],[Act]]*((1+TModelo[[#This Row],[TasaCDT]])^(1/12)-1)*(1-Retencion)</f>
        <v>0</v>
      </c>
      <c r="I364" s="40">
        <f>TModelo[[#This Row],[Act]]*(EXP(MuCOLCAP+SigmaCOLCAP^2/2)-1)</f>
        <v>0</v>
      </c>
      <c r="J364" s="40">
        <f>TModelo[[#This Row],[Act]]*(EXP(MuTRM+SigmaTRM^2/2)-1)</f>
        <v>0</v>
      </c>
      <c r="K364" s="11">
        <f>TModelo[[#This Row],[Act]]*IF(Rebalanceo="Mensual",1,IF(Rebalanceo="Anual",IF(MOD(TModelo[[#This Row],[Period]]-1,12)=0,1,0),0))</f>
        <v>0</v>
      </c>
      <c r="L364" s="24">
        <f>TModelo[[#This Row],[Act]]*AporteMensual*IF(CrecimientoAporte="Con IPC",F363,1)</f>
        <v>0</v>
      </c>
      <c r="M364" s="24">
        <f>IF(TModelo[[#This Row],[Period]]=HorizonteMeses,TModelo[[#This Row],[TotalPreLiq]],0)</f>
        <v>0</v>
      </c>
      <c r="N364" s="24">
        <f>TModelo[[#This Row],[Inflow]]-TModelo[[#This Row],[Outflow]]</f>
        <v>0</v>
      </c>
      <c r="O364" s="24">
        <f t="shared" si="5"/>
        <v>0</v>
      </c>
      <c r="P364" s="24">
        <f>TModelo[[#This Row],[IntCDT]]+TModelo[[#This Row],[IntCOLCAP]]+TModelo[[#This Row],[IntUSD]]</f>
        <v>0</v>
      </c>
      <c r="Q364" s="24">
        <f>TModelo[[#This Row],[InitialBalance]]+TModelo[[#This Row],[Interest]]+TModelo[[#This Row],[Outflow]]-TModelo[[#This Row],[Inflow]]</f>
        <v>0</v>
      </c>
      <c r="R364" s="24">
        <f>TModelo[[#This Row],[Act]]*IF(TModelo[[#This Row],[Rebal]]=1,PesoCDT*(X363+Y363+Z363),X363)</f>
        <v>0</v>
      </c>
      <c r="S364" s="24">
        <f>TModelo[[#This Row],[Act]]*IF(TModelo[[#This Row],[Rebal]]=1,PesoCOLCAP*(X363+Y363+Z363),Y363)</f>
        <v>0</v>
      </c>
      <c r="T364" s="24">
        <f>TModelo[[#This Row],[Act]]*IF(TModelo[[#This Row],[Rebal]]=1,PesoUSD*(X363+Y363+Z363),Z363)</f>
        <v>0</v>
      </c>
      <c r="U364" s="24">
        <f>TModelo[[#This Row],[IniCDT]]*TModelo[[#This Row],[RetCDT]]</f>
        <v>0</v>
      </c>
      <c r="V364" s="24">
        <f>TModelo[[#This Row],[IniCOLCAP]]*TModelo[[#This Row],[RetCOLCAP]]</f>
        <v>0</v>
      </c>
      <c r="W364" s="24">
        <f>TModelo[[#This Row],[IniUSD]]*TModelo[[#This Row],[RetUSD]]</f>
        <v>0</v>
      </c>
      <c r="X364" s="24">
        <f>TModelo[[#This Row],[Act]]*(TModelo[[#This Row],[IniCDT]]+TModelo[[#This Row],[IntCDT]]+PesoCDT*TModelo[[#This Row],[Outflow]])</f>
        <v>0</v>
      </c>
      <c r="Y364" s="24">
        <f>TModelo[[#This Row],[Act]]*(TModelo[[#This Row],[IniCOLCAP]]+TModelo[[#This Row],[IntCOLCAP]]+PesoCOLCAP*TModelo[[#This Row],[Outflow]])</f>
        <v>0</v>
      </c>
      <c r="Z364" s="24">
        <f>TModelo[[#This Row],[Act]]*(TModelo[[#This Row],[IniUSD]]+TModelo[[#This Row],[IntUSD]]+PesoUSD*TModelo[[#This Row],[Outflow]])</f>
        <v>0</v>
      </c>
      <c r="AA364" s="24">
        <f>TModelo[[#This Row],[BalCDT]]+TModelo[[#This Row],[BalCOLCAP]]+TModelo[[#This Row],[BalUSD]]</f>
        <v>0</v>
      </c>
      <c r="AB364" s="24">
        <f>IF(TModelo[[#This Row],[CumInfl]]&gt;0,TModelo[[#This Row],[TotalPreLiq]]/TModelo[[#This Row],[CumInfl]],0)</f>
        <v>0</v>
      </c>
      <c r="AC364" s="41">
        <f>(1+PerRate)^(-TModelo[[#This Row],[Period]])</f>
        <v>7.2356948853502551E-2</v>
      </c>
      <c r="AD364" s="42">
        <f>TModelo[[#This Row],[NetCF]]*TModelo[[#This Row],[fd]]</f>
        <v>0</v>
      </c>
    </row>
    <row r="365" spans="2:30" ht="16.95" customHeight="1">
      <c r="B365" s="11">
        <v>338</v>
      </c>
      <c r="C365" s="25">
        <f>EDATE(FechaInicio,TModelo[[#This Row],[Period]])</f>
        <v>56582</v>
      </c>
      <c r="D365" s="11">
        <f>IF(AND(TModelo[[#This Row],[Period]]&gt;=1,TModelo[[#This Row],[Period]]&lt;=HorizonteMeses),1,0)</f>
        <v>0</v>
      </c>
      <c r="E365" s="40">
        <f>TModelo[[#This Row],[Act]]*(INFb+(INFpi0-INFb)*(1-INFa)^TModelo[[#This Row],[Period]])</f>
        <v>0</v>
      </c>
      <c r="F365" s="28">
        <f>IF(TModelo[[#This Row],[Period]]&lt;=HorizonteMeses,F364*(1+TModelo[[#This Row],[InflMes]]),0)</f>
        <v>0</v>
      </c>
      <c r="G365" s="21">
        <f>TModelo[[#This Row],[Act]]*(CDTb+(CDTx0-CDTb)*(1-CDTa)^TModelo[[#This Row],[Period]]+CDTspread)</f>
        <v>0</v>
      </c>
      <c r="H365" s="40">
        <f>TModelo[[#This Row],[Act]]*((1+TModelo[[#This Row],[TasaCDT]])^(1/12)-1)*(1-Retencion)</f>
        <v>0</v>
      </c>
      <c r="I365" s="40">
        <f>TModelo[[#This Row],[Act]]*(EXP(MuCOLCAP+SigmaCOLCAP^2/2)-1)</f>
        <v>0</v>
      </c>
      <c r="J365" s="40">
        <f>TModelo[[#This Row],[Act]]*(EXP(MuTRM+SigmaTRM^2/2)-1)</f>
        <v>0</v>
      </c>
      <c r="K365" s="11">
        <f>TModelo[[#This Row],[Act]]*IF(Rebalanceo="Mensual",1,IF(Rebalanceo="Anual",IF(MOD(TModelo[[#This Row],[Period]]-1,12)=0,1,0),0))</f>
        <v>0</v>
      </c>
      <c r="L365" s="24">
        <f>TModelo[[#This Row],[Act]]*AporteMensual*IF(CrecimientoAporte="Con IPC",F364,1)</f>
        <v>0</v>
      </c>
      <c r="M365" s="24">
        <f>IF(TModelo[[#This Row],[Period]]=HorizonteMeses,TModelo[[#This Row],[TotalPreLiq]],0)</f>
        <v>0</v>
      </c>
      <c r="N365" s="24">
        <f>TModelo[[#This Row],[Inflow]]-TModelo[[#This Row],[Outflow]]</f>
        <v>0</v>
      </c>
      <c r="O365" s="24">
        <f t="shared" si="5"/>
        <v>0</v>
      </c>
      <c r="P365" s="24">
        <f>TModelo[[#This Row],[IntCDT]]+TModelo[[#This Row],[IntCOLCAP]]+TModelo[[#This Row],[IntUSD]]</f>
        <v>0</v>
      </c>
      <c r="Q365" s="24">
        <f>TModelo[[#This Row],[InitialBalance]]+TModelo[[#This Row],[Interest]]+TModelo[[#This Row],[Outflow]]-TModelo[[#This Row],[Inflow]]</f>
        <v>0</v>
      </c>
      <c r="R365" s="24">
        <f>TModelo[[#This Row],[Act]]*IF(TModelo[[#This Row],[Rebal]]=1,PesoCDT*(X364+Y364+Z364),X364)</f>
        <v>0</v>
      </c>
      <c r="S365" s="24">
        <f>TModelo[[#This Row],[Act]]*IF(TModelo[[#This Row],[Rebal]]=1,PesoCOLCAP*(X364+Y364+Z364),Y364)</f>
        <v>0</v>
      </c>
      <c r="T365" s="24">
        <f>TModelo[[#This Row],[Act]]*IF(TModelo[[#This Row],[Rebal]]=1,PesoUSD*(X364+Y364+Z364),Z364)</f>
        <v>0</v>
      </c>
      <c r="U365" s="24">
        <f>TModelo[[#This Row],[IniCDT]]*TModelo[[#This Row],[RetCDT]]</f>
        <v>0</v>
      </c>
      <c r="V365" s="24">
        <f>TModelo[[#This Row],[IniCOLCAP]]*TModelo[[#This Row],[RetCOLCAP]]</f>
        <v>0</v>
      </c>
      <c r="W365" s="24">
        <f>TModelo[[#This Row],[IniUSD]]*TModelo[[#This Row],[RetUSD]]</f>
        <v>0</v>
      </c>
      <c r="X365" s="24">
        <f>TModelo[[#This Row],[Act]]*(TModelo[[#This Row],[IniCDT]]+TModelo[[#This Row],[IntCDT]]+PesoCDT*TModelo[[#This Row],[Outflow]])</f>
        <v>0</v>
      </c>
      <c r="Y365" s="24">
        <f>TModelo[[#This Row],[Act]]*(TModelo[[#This Row],[IniCOLCAP]]+TModelo[[#This Row],[IntCOLCAP]]+PesoCOLCAP*TModelo[[#This Row],[Outflow]])</f>
        <v>0</v>
      </c>
      <c r="Z365" s="24">
        <f>TModelo[[#This Row],[Act]]*(TModelo[[#This Row],[IniUSD]]+TModelo[[#This Row],[IntUSD]]+PesoUSD*TModelo[[#This Row],[Outflow]])</f>
        <v>0</v>
      </c>
      <c r="AA365" s="24">
        <f>TModelo[[#This Row],[BalCDT]]+TModelo[[#This Row],[BalCOLCAP]]+TModelo[[#This Row],[BalUSD]]</f>
        <v>0</v>
      </c>
      <c r="AB365" s="24">
        <f>IF(TModelo[[#This Row],[CumInfl]]&gt;0,TModelo[[#This Row],[TotalPreLiq]]/TModelo[[#This Row],[CumInfl]],0)</f>
        <v>0</v>
      </c>
      <c r="AC365" s="41">
        <f>(1+PerRate)^(-TModelo[[#This Row],[Period]])</f>
        <v>7.1795283314990646E-2</v>
      </c>
      <c r="AD365" s="42">
        <f>TModelo[[#This Row],[NetCF]]*TModelo[[#This Row],[fd]]</f>
        <v>0</v>
      </c>
    </row>
    <row r="366" spans="2:30" ht="16.95" customHeight="1">
      <c r="B366" s="11">
        <v>339</v>
      </c>
      <c r="C366" s="25">
        <f>EDATE(FechaInicio,TModelo[[#This Row],[Period]])</f>
        <v>56612</v>
      </c>
      <c r="D366" s="11">
        <f>IF(AND(TModelo[[#This Row],[Period]]&gt;=1,TModelo[[#This Row],[Period]]&lt;=HorizonteMeses),1,0)</f>
        <v>0</v>
      </c>
      <c r="E366" s="40">
        <f>TModelo[[#This Row],[Act]]*(INFb+(INFpi0-INFb)*(1-INFa)^TModelo[[#This Row],[Period]])</f>
        <v>0</v>
      </c>
      <c r="F366" s="28">
        <f>IF(TModelo[[#This Row],[Period]]&lt;=HorizonteMeses,F365*(1+TModelo[[#This Row],[InflMes]]),0)</f>
        <v>0</v>
      </c>
      <c r="G366" s="21">
        <f>TModelo[[#This Row],[Act]]*(CDTb+(CDTx0-CDTb)*(1-CDTa)^TModelo[[#This Row],[Period]]+CDTspread)</f>
        <v>0</v>
      </c>
      <c r="H366" s="40">
        <f>TModelo[[#This Row],[Act]]*((1+TModelo[[#This Row],[TasaCDT]])^(1/12)-1)*(1-Retencion)</f>
        <v>0</v>
      </c>
      <c r="I366" s="40">
        <f>TModelo[[#This Row],[Act]]*(EXP(MuCOLCAP+SigmaCOLCAP^2/2)-1)</f>
        <v>0</v>
      </c>
      <c r="J366" s="40">
        <f>TModelo[[#This Row],[Act]]*(EXP(MuTRM+SigmaTRM^2/2)-1)</f>
        <v>0</v>
      </c>
      <c r="K366" s="11">
        <f>TModelo[[#This Row],[Act]]*IF(Rebalanceo="Mensual",1,IF(Rebalanceo="Anual",IF(MOD(TModelo[[#This Row],[Period]]-1,12)=0,1,0),0))</f>
        <v>0</v>
      </c>
      <c r="L366" s="24">
        <f>TModelo[[#This Row],[Act]]*AporteMensual*IF(CrecimientoAporte="Con IPC",F365,1)</f>
        <v>0</v>
      </c>
      <c r="M366" s="24">
        <f>IF(TModelo[[#This Row],[Period]]=HorizonteMeses,TModelo[[#This Row],[TotalPreLiq]],0)</f>
        <v>0</v>
      </c>
      <c r="N366" s="24">
        <f>TModelo[[#This Row],[Inflow]]-TModelo[[#This Row],[Outflow]]</f>
        <v>0</v>
      </c>
      <c r="O366" s="24">
        <f t="shared" si="5"/>
        <v>0</v>
      </c>
      <c r="P366" s="24">
        <f>TModelo[[#This Row],[IntCDT]]+TModelo[[#This Row],[IntCOLCAP]]+TModelo[[#This Row],[IntUSD]]</f>
        <v>0</v>
      </c>
      <c r="Q366" s="24">
        <f>TModelo[[#This Row],[InitialBalance]]+TModelo[[#This Row],[Interest]]+TModelo[[#This Row],[Outflow]]-TModelo[[#This Row],[Inflow]]</f>
        <v>0</v>
      </c>
      <c r="R366" s="24">
        <f>TModelo[[#This Row],[Act]]*IF(TModelo[[#This Row],[Rebal]]=1,PesoCDT*(X365+Y365+Z365),X365)</f>
        <v>0</v>
      </c>
      <c r="S366" s="24">
        <f>TModelo[[#This Row],[Act]]*IF(TModelo[[#This Row],[Rebal]]=1,PesoCOLCAP*(X365+Y365+Z365),Y365)</f>
        <v>0</v>
      </c>
      <c r="T366" s="24">
        <f>TModelo[[#This Row],[Act]]*IF(TModelo[[#This Row],[Rebal]]=1,PesoUSD*(X365+Y365+Z365),Z365)</f>
        <v>0</v>
      </c>
      <c r="U366" s="24">
        <f>TModelo[[#This Row],[IniCDT]]*TModelo[[#This Row],[RetCDT]]</f>
        <v>0</v>
      </c>
      <c r="V366" s="24">
        <f>TModelo[[#This Row],[IniCOLCAP]]*TModelo[[#This Row],[RetCOLCAP]]</f>
        <v>0</v>
      </c>
      <c r="W366" s="24">
        <f>TModelo[[#This Row],[IniUSD]]*TModelo[[#This Row],[RetUSD]]</f>
        <v>0</v>
      </c>
      <c r="X366" s="24">
        <f>TModelo[[#This Row],[Act]]*(TModelo[[#This Row],[IniCDT]]+TModelo[[#This Row],[IntCDT]]+PesoCDT*TModelo[[#This Row],[Outflow]])</f>
        <v>0</v>
      </c>
      <c r="Y366" s="24">
        <f>TModelo[[#This Row],[Act]]*(TModelo[[#This Row],[IniCOLCAP]]+TModelo[[#This Row],[IntCOLCAP]]+PesoCOLCAP*TModelo[[#This Row],[Outflow]])</f>
        <v>0</v>
      </c>
      <c r="Z366" s="24">
        <f>TModelo[[#This Row],[Act]]*(TModelo[[#This Row],[IniUSD]]+TModelo[[#This Row],[IntUSD]]+PesoUSD*TModelo[[#This Row],[Outflow]])</f>
        <v>0</v>
      </c>
      <c r="AA366" s="24">
        <f>TModelo[[#This Row],[BalCDT]]+TModelo[[#This Row],[BalCOLCAP]]+TModelo[[#This Row],[BalUSD]]</f>
        <v>0</v>
      </c>
      <c r="AB366" s="24">
        <f>IF(TModelo[[#This Row],[CumInfl]]&gt;0,TModelo[[#This Row],[TotalPreLiq]]/TModelo[[#This Row],[CumInfl]],0)</f>
        <v>0</v>
      </c>
      <c r="AC366" s="41">
        <f>(1+PerRate)^(-TModelo[[#This Row],[Period]])</f>
        <v>7.1237977664259391E-2</v>
      </c>
      <c r="AD366" s="42">
        <f>TModelo[[#This Row],[NetCF]]*TModelo[[#This Row],[fd]]</f>
        <v>0</v>
      </c>
    </row>
    <row r="367" spans="2:30" ht="16.95" customHeight="1">
      <c r="B367" s="11">
        <v>340</v>
      </c>
      <c r="C367" s="25">
        <f>EDATE(FechaInicio,TModelo[[#This Row],[Period]])</f>
        <v>56643</v>
      </c>
      <c r="D367" s="11">
        <f>IF(AND(TModelo[[#This Row],[Period]]&gt;=1,TModelo[[#This Row],[Period]]&lt;=HorizonteMeses),1,0)</f>
        <v>0</v>
      </c>
      <c r="E367" s="40">
        <f>TModelo[[#This Row],[Act]]*(INFb+(INFpi0-INFb)*(1-INFa)^TModelo[[#This Row],[Period]])</f>
        <v>0</v>
      </c>
      <c r="F367" s="28">
        <f>IF(TModelo[[#This Row],[Period]]&lt;=HorizonteMeses,F366*(1+TModelo[[#This Row],[InflMes]]),0)</f>
        <v>0</v>
      </c>
      <c r="G367" s="21">
        <f>TModelo[[#This Row],[Act]]*(CDTb+(CDTx0-CDTb)*(1-CDTa)^TModelo[[#This Row],[Period]]+CDTspread)</f>
        <v>0</v>
      </c>
      <c r="H367" s="40">
        <f>TModelo[[#This Row],[Act]]*((1+TModelo[[#This Row],[TasaCDT]])^(1/12)-1)*(1-Retencion)</f>
        <v>0</v>
      </c>
      <c r="I367" s="40">
        <f>TModelo[[#This Row],[Act]]*(EXP(MuCOLCAP+SigmaCOLCAP^2/2)-1)</f>
        <v>0</v>
      </c>
      <c r="J367" s="40">
        <f>TModelo[[#This Row],[Act]]*(EXP(MuTRM+SigmaTRM^2/2)-1)</f>
        <v>0</v>
      </c>
      <c r="K367" s="11">
        <f>TModelo[[#This Row],[Act]]*IF(Rebalanceo="Mensual",1,IF(Rebalanceo="Anual",IF(MOD(TModelo[[#This Row],[Period]]-1,12)=0,1,0),0))</f>
        <v>0</v>
      </c>
      <c r="L367" s="24">
        <f>TModelo[[#This Row],[Act]]*AporteMensual*IF(CrecimientoAporte="Con IPC",F366,1)</f>
        <v>0</v>
      </c>
      <c r="M367" s="24">
        <f>IF(TModelo[[#This Row],[Period]]=HorizonteMeses,TModelo[[#This Row],[TotalPreLiq]],0)</f>
        <v>0</v>
      </c>
      <c r="N367" s="24">
        <f>TModelo[[#This Row],[Inflow]]-TModelo[[#This Row],[Outflow]]</f>
        <v>0</v>
      </c>
      <c r="O367" s="24">
        <f t="shared" si="5"/>
        <v>0</v>
      </c>
      <c r="P367" s="24">
        <f>TModelo[[#This Row],[IntCDT]]+TModelo[[#This Row],[IntCOLCAP]]+TModelo[[#This Row],[IntUSD]]</f>
        <v>0</v>
      </c>
      <c r="Q367" s="24">
        <f>TModelo[[#This Row],[InitialBalance]]+TModelo[[#This Row],[Interest]]+TModelo[[#This Row],[Outflow]]-TModelo[[#This Row],[Inflow]]</f>
        <v>0</v>
      </c>
      <c r="R367" s="24">
        <f>TModelo[[#This Row],[Act]]*IF(TModelo[[#This Row],[Rebal]]=1,PesoCDT*(X366+Y366+Z366),X366)</f>
        <v>0</v>
      </c>
      <c r="S367" s="24">
        <f>TModelo[[#This Row],[Act]]*IF(TModelo[[#This Row],[Rebal]]=1,PesoCOLCAP*(X366+Y366+Z366),Y366)</f>
        <v>0</v>
      </c>
      <c r="T367" s="24">
        <f>TModelo[[#This Row],[Act]]*IF(TModelo[[#This Row],[Rebal]]=1,PesoUSD*(X366+Y366+Z366),Z366)</f>
        <v>0</v>
      </c>
      <c r="U367" s="24">
        <f>TModelo[[#This Row],[IniCDT]]*TModelo[[#This Row],[RetCDT]]</f>
        <v>0</v>
      </c>
      <c r="V367" s="24">
        <f>TModelo[[#This Row],[IniCOLCAP]]*TModelo[[#This Row],[RetCOLCAP]]</f>
        <v>0</v>
      </c>
      <c r="W367" s="24">
        <f>TModelo[[#This Row],[IniUSD]]*TModelo[[#This Row],[RetUSD]]</f>
        <v>0</v>
      </c>
      <c r="X367" s="24">
        <f>TModelo[[#This Row],[Act]]*(TModelo[[#This Row],[IniCDT]]+TModelo[[#This Row],[IntCDT]]+PesoCDT*TModelo[[#This Row],[Outflow]])</f>
        <v>0</v>
      </c>
      <c r="Y367" s="24">
        <f>TModelo[[#This Row],[Act]]*(TModelo[[#This Row],[IniCOLCAP]]+TModelo[[#This Row],[IntCOLCAP]]+PesoCOLCAP*TModelo[[#This Row],[Outflow]])</f>
        <v>0</v>
      </c>
      <c r="Z367" s="24">
        <f>TModelo[[#This Row],[Act]]*(TModelo[[#This Row],[IniUSD]]+TModelo[[#This Row],[IntUSD]]+PesoUSD*TModelo[[#This Row],[Outflow]])</f>
        <v>0</v>
      </c>
      <c r="AA367" s="24">
        <f>TModelo[[#This Row],[BalCDT]]+TModelo[[#This Row],[BalCOLCAP]]+TModelo[[#This Row],[BalUSD]]</f>
        <v>0</v>
      </c>
      <c r="AB367" s="24">
        <f>IF(TModelo[[#This Row],[CumInfl]]&gt;0,TModelo[[#This Row],[TotalPreLiq]]/TModelo[[#This Row],[CumInfl]],0)</f>
        <v>0</v>
      </c>
      <c r="AC367" s="41">
        <f>(1+PerRate)^(-TModelo[[#This Row],[Period]])</f>
        <v>7.0684998057997869E-2</v>
      </c>
      <c r="AD367" s="42">
        <f>TModelo[[#This Row],[NetCF]]*TModelo[[#This Row],[fd]]</f>
        <v>0</v>
      </c>
    </row>
    <row r="368" spans="2:30" ht="16.95" customHeight="1">
      <c r="B368" s="11">
        <v>341</v>
      </c>
      <c r="C368" s="25">
        <f>EDATE(FechaInicio,TModelo[[#This Row],[Period]])</f>
        <v>56673</v>
      </c>
      <c r="D368" s="11">
        <f>IF(AND(TModelo[[#This Row],[Period]]&gt;=1,TModelo[[#This Row],[Period]]&lt;=HorizonteMeses),1,0)</f>
        <v>0</v>
      </c>
      <c r="E368" s="40">
        <f>TModelo[[#This Row],[Act]]*(INFb+(INFpi0-INFb)*(1-INFa)^TModelo[[#This Row],[Period]])</f>
        <v>0</v>
      </c>
      <c r="F368" s="28">
        <f>IF(TModelo[[#This Row],[Period]]&lt;=HorizonteMeses,F367*(1+TModelo[[#This Row],[InflMes]]),0)</f>
        <v>0</v>
      </c>
      <c r="G368" s="21">
        <f>TModelo[[#This Row],[Act]]*(CDTb+(CDTx0-CDTb)*(1-CDTa)^TModelo[[#This Row],[Period]]+CDTspread)</f>
        <v>0</v>
      </c>
      <c r="H368" s="40">
        <f>TModelo[[#This Row],[Act]]*((1+TModelo[[#This Row],[TasaCDT]])^(1/12)-1)*(1-Retencion)</f>
        <v>0</v>
      </c>
      <c r="I368" s="40">
        <f>TModelo[[#This Row],[Act]]*(EXP(MuCOLCAP+SigmaCOLCAP^2/2)-1)</f>
        <v>0</v>
      </c>
      <c r="J368" s="40">
        <f>TModelo[[#This Row],[Act]]*(EXP(MuTRM+SigmaTRM^2/2)-1)</f>
        <v>0</v>
      </c>
      <c r="K368" s="11">
        <f>TModelo[[#This Row],[Act]]*IF(Rebalanceo="Mensual",1,IF(Rebalanceo="Anual",IF(MOD(TModelo[[#This Row],[Period]]-1,12)=0,1,0),0))</f>
        <v>0</v>
      </c>
      <c r="L368" s="24">
        <f>TModelo[[#This Row],[Act]]*AporteMensual*IF(CrecimientoAporte="Con IPC",F367,1)</f>
        <v>0</v>
      </c>
      <c r="M368" s="24">
        <f>IF(TModelo[[#This Row],[Period]]=HorizonteMeses,TModelo[[#This Row],[TotalPreLiq]],0)</f>
        <v>0</v>
      </c>
      <c r="N368" s="24">
        <f>TModelo[[#This Row],[Inflow]]-TModelo[[#This Row],[Outflow]]</f>
        <v>0</v>
      </c>
      <c r="O368" s="24">
        <f t="shared" si="5"/>
        <v>0</v>
      </c>
      <c r="P368" s="24">
        <f>TModelo[[#This Row],[IntCDT]]+TModelo[[#This Row],[IntCOLCAP]]+TModelo[[#This Row],[IntUSD]]</f>
        <v>0</v>
      </c>
      <c r="Q368" s="24">
        <f>TModelo[[#This Row],[InitialBalance]]+TModelo[[#This Row],[Interest]]+TModelo[[#This Row],[Outflow]]-TModelo[[#This Row],[Inflow]]</f>
        <v>0</v>
      </c>
      <c r="R368" s="24">
        <f>TModelo[[#This Row],[Act]]*IF(TModelo[[#This Row],[Rebal]]=1,PesoCDT*(X367+Y367+Z367),X367)</f>
        <v>0</v>
      </c>
      <c r="S368" s="24">
        <f>TModelo[[#This Row],[Act]]*IF(TModelo[[#This Row],[Rebal]]=1,PesoCOLCAP*(X367+Y367+Z367),Y367)</f>
        <v>0</v>
      </c>
      <c r="T368" s="24">
        <f>TModelo[[#This Row],[Act]]*IF(TModelo[[#This Row],[Rebal]]=1,PesoUSD*(X367+Y367+Z367),Z367)</f>
        <v>0</v>
      </c>
      <c r="U368" s="24">
        <f>TModelo[[#This Row],[IniCDT]]*TModelo[[#This Row],[RetCDT]]</f>
        <v>0</v>
      </c>
      <c r="V368" s="24">
        <f>TModelo[[#This Row],[IniCOLCAP]]*TModelo[[#This Row],[RetCOLCAP]]</f>
        <v>0</v>
      </c>
      <c r="W368" s="24">
        <f>TModelo[[#This Row],[IniUSD]]*TModelo[[#This Row],[RetUSD]]</f>
        <v>0</v>
      </c>
      <c r="X368" s="24">
        <f>TModelo[[#This Row],[Act]]*(TModelo[[#This Row],[IniCDT]]+TModelo[[#This Row],[IntCDT]]+PesoCDT*TModelo[[#This Row],[Outflow]])</f>
        <v>0</v>
      </c>
      <c r="Y368" s="24">
        <f>TModelo[[#This Row],[Act]]*(TModelo[[#This Row],[IniCOLCAP]]+TModelo[[#This Row],[IntCOLCAP]]+PesoCOLCAP*TModelo[[#This Row],[Outflow]])</f>
        <v>0</v>
      </c>
      <c r="Z368" s="24">
        <f>TModelo[[#This Row],[Act]]*(TModelo[[#This Row],[IniUSD]]+TModelo[[#This Row],[IntUSD]]+PesoUSD*TModelo[[#This Row],[Outflow]])</f>
        <v>0</v>
      </c>
      <c r="AA368" s="24">
        <f>TModelo[[#This Row],[BalCDT]]+TModelo[[#This Row],[BalCOLCAP]]+TModelo[[#This Row],[BalUSD]]</f>
        <v>0</v>
      </c>
      <c r="AB368" s="24">
        <f>IF(TModelo[[#This Row],[CumInfl]]&gt;0,TModelo[[#This Row],[TotalPreLiq]]/TModelo[[#This Row],[CumInfl]],0)</f>
        <v>0</v>
      </c>
      <c r="AC368" s="41">
        <f>(1+PerRate)^(-TModelo[[#This Row],[Period]])</f>
        <v>7.0136310915601366E-2</v>
      </c>
      <c r="AD368" s="42">
        <f>TModelo[[#This Row],[NetCF]]*TModelo[[#This Row],[fd]]</f>
        <v>0</v>
      </c>
    </row>
    <row r="369" spans="2:30" ht="16.95" customHeight="1">
      <c r="B369" s="11">
        <v>342</v>
      </c>
      <c r="C369" s="25">
        <f>EDATE(FechaInicio,TModelo[[#This Row],[Period]])</f>
        <v>56702</v>
      </c>
      <c r="D369" s="11">
        <f>IF(AND(TModelo[[#This Row],[Period]]&gt;=1,TModelo[[#This Row],[Period]]&lt;=HorizonteMeses),1,0)</f>
        <v>0</v>
      </c>
      <c r="E369" s="40">
        <f>TModelo[[#This Row],[Act]]*(INFb+(INFpi0-INFb)*(1-INFa)^TModelo[[#This Row],[Period]])</f>
        <v>0</v>
      </c>
      <c r="F369" s="28">
        <f>IF(TModelo[[#This Row],[Period]]&lt;=HorizonteMeses,F368*(1+TModelo[[#This Row],[InflMes]]),0)</f>
        <v>0</v>
      </c>
      <c r="G369" s="21">
        <f>TModelo[[#This Row],[Act]]*(CDTb+(CDTx0-CDTb)*(1-CDTa)^TModelo[[#This Row],[Period]]+CDTspread)</f>
        <v>0</v>
      </c>
      <c r="H369" s="40">
        <f>TModelo[[#This Row],[Act]]*((1+TModelo[[#This Row],[TasaCDT]])^(1/12)-1)*(1-Retencion)</f>
        <v>0</v>
      </c>
      <c r="I369" s="40">
        <f>TModelo[[#This Row],[Act]]*(EXP(MuCOLCAP+SigmaCOLCAP^2/2)-1)</f>
        <v>0</v>
      </c>
      <c r="J369" s="40">
        <f>TModelo[[#This Row],[Act]]*(EXP(MuTRM+SigmaTRM^2/2)-1)</f>
        <v>0</v>
      </c>
      <c r="K369" s="11">
        <f>TModelo[[#This Row],[Act]]*IF(Rebalanceo="Mensual",1,IF(Rebalanceo="Anual",IF(MOD(TModelo[[#This Row],[Period]]-1,12)=0,1,0),0))</f>
        <v>0</v>
      </c>
      <c r="L369" s="24">
        <f>TModelo[[#This Row],[Act]]*AporteMensual*IF(CrecimientoAporte="Con IPC",F368,1)</f>
        <v>0</v>
      </c>
      <c r="M369" s="24">
        <f>IF(TModelo[[#This Row],[Period]]=HorizonteMeses,TModelo[[#This Row],[TotalPreLiq]],0)</f>
        <v>0</v>
      </c>
      <c r="N369" s="24">
        <f>TModelo[[#This Row],[Inflow]]-TModelo[[#This Row],[Outflow]]</f>
        <v>0</v>
      </c>
      <c r="O369" s="24">
        <f t="shared" si="5"/>
        <v>0</v>
      </c>
      <c r="P369" s="24">
        <f>TModelo[[#This Row],[IntCDT]]+TModelo[[#This Row],[IntCOLCAP]]+TModelo[[#This Row],[IntUSD]]</f>
        <v>0</v>
      </c>
      <c r="Q369" s="24">
        <f>TModelo[[#This Row],[InitialBalance]]+TModelo[[#This Row],[Interest]]+TModelo[[#This Row],[Outflow]]-TModelo[[#This Row],[Inflow]]</f>
        <v>0</v>
      </c>
      <c r="R369" s="24">
        <f>TModelo[[#This Row],[Act]]*IF(TModelo[[#This Row],[Rebal]]=1,PesoCDT*(X368+Y368+Z368),X368)</f>
        <v>0</v>
      </c>
      <c r="S369" s="24">
        <f>TModelo[[#This Row],[Act]]*IF(TModelo[[#This Row],[Rebal]]=1,PesoCOLCAP*(X368+Y368+Z368),Y368)</f>
        <v>0</v>
      </c>
      <c r="T369" s="24">
        <f>TModelo[[#This Row],[Act]]*IF(TModelo[[#This Row],[Rebal]]=1,PesoUSD*(X368+Y368+Z368),Z368)</f>
        <v>0</v>
      </c>
      <c r="U369" s="24">
        <f>TModelo[[#This Row],[IniCDT]]*TModelo[[#This Row],[RetCDT]]</f>
        <v>0</v>
      </c>
      <c r="V369" s="24">
        <f>TModelo[[#This Row],[IniCOLCAP]]*TModelo[[#This Row],[RetCOLCAP]]</f>
        <v>0</v>
      </c>
      <c r="W369" s="24">
        <f>TModelo[[#This Row],[IniUSD]]*TModelo[[#This Row],[RetUSD]]</f>
        <v>0</v>
      </c>
      <c r="X369" s="24">
        <f>TModelo[[#This Row],[Act]]*(TModelo[[#This Row],[IniCDT]]+TModelo[[#This Row],[IntCDT]]+PesoCDT*TModelo[[#This Row],[Outflow]])</f>
        <v>0</v>
      </c>
      <c r="Y369" s="24">
        <f>TModelo[[#This Row],[Act]]*(TModelo[[#This Row],[IniCOLCAP]]+TModelo[[#This Row],[IntCOLCAP]]+PesoCOLCAP*TModelo[[#This Row],[Outflow]])</f>
        <v>0</v>
      </c>
      <c r="Z369" s="24">
        <f>TModelo[[#This Row],[Act]]*(TModelo[[#This Row],[IniUSD]]+TModelo[[#This Row],[IntUSD]]+PesoUSD*TModelo[[#This Row],[Outflow]])</f>
        <v>0</v>
      </c>
      <c r="AA369" s="24">
        <f>TModelo[[#This Row],[BalCDT]]+TModelo[[#This Row],[BalCOLCAP]]+TModelo[[#This Row],[BalUSD]]</f>
        <v>0</v>
      </c>
      <c r="AB369" s="24">
        <f>IF(TModelo[[#This Row],[CumInfl]]&gt;0,TModelo[[#This Row],[TotalPreLiq]]/TModelo[[#This Row],[CumInfl]],0)</f>
        <v>0</v>
      </c>
      <c r="AC369" s="41">
        <f>(1+PerRate)^(-TModelo[[#This Row],[Period]])</f>
        <v>6.9591882917132183E-2</v>
      </c>
      <c r="AD369" s="42">
        <f>TModelo[[#This Row],[NetCF]]*TModelo[[#This Row],[fd]]</f>
        <v>0</v>
      </c>
    </row>
    <row r="370" spans="2:30" ht="16.95" customHeight="1">
      <c r="B370" s="11">
        <v>343</v>
      </c>
      <c r="C370" s="25">
        <f>EDATE(FechaInicio,TModelo[[#This Row],[Period]])</f>
        <v>56733</v>
      </c>
      <c r="D370" s="11">
        <f>IF(AND(TModelo[[#This Row],[Period]]&gt;=1,TModelo[[#This Row],[Period]]&lt;=HorizonteMeses),1,0)</f>
        <v>0</v>
      </c>
      <c r="E370" s="40">
        <f>TModelo[[#This Row],[Act]]*(INFb+(INFpi0-INFb)*(1-INFa)^TModelo[[#This Row],[Period]])</f>
        <v>0</v>
      </c>
      <c r="F370" s="28">
        <f>IF(TModelo[[#This Row],[Period]]&lt;=HorizonteMeses,F369*(1+TModelo[[#This Row],[InflMes]]),0)</f>
        <v>0</v>
      </c>
      <c r="G370" s="21">
        <f>TModelo[[#This Row],[Act]]*(CDTb+(CDTx0-CDTb)*(1-CDTa)^TModelo[[#This Row],[Period]]+CDTspread)</f>
        <v>0</v>
      </c>
      <c r="H370" s="40">
        <f>TModelo[[#This Row],[Act]]*((1+TModelo[[#This Row],[TasaCDT]])^(1/12)-1)*(1-Retencion)</f>
        <v>0</v>
      </c>
      <c r="I370" s="40">
        <f>TModelo[[#This Row],[Act]]*(EXP(MuCOLCAP+SigmaCOLCAP^2/2)-1)</f>
        <v>0</v>
      </c>
      <c r="J370" s="40">
        <f>TModelo[[#This Row],[Act]]*(EXP(MuTRM+SigmaTRM^2/2)-1)</f>
        <v>0</v>
      </c>
      <c r="K370" s="11">
        <f>TModelo[[#This Row],[Act]]*IF(Rebalanceo="Mensual",1,IF(Rebalanceo="Anual",IF(MOD(TModelo[[#This Row],[Period]]-1,12)=0,1,0),0))</f>
        <v>0</v>
      </c>
      <c r="L370" s="24">
        <f>TModelo[[#This Row],[Act]]*AporteMensual*IF(CrecimientoAporte="Con IPC",F369,1)</f>
        <v>0</v>
      </c>
      <c r="M370" s="24">
        <f>IF(TModelo[[#This Row],[Period]]=HorizonteMeses,TModelo[[#This Row],[TotalPreLiq]],0)</f>
        <v>0</v>
      </c>
      <c r="N370" s="24">
        <f>TModelo[[#This Row],[Inflow]]-TModelo[[#This Row],[Outflow]]</f>
        <v>0</v>
      </c>
      <c r="O370" s="24">
        <f t="shared" si="5"/>
        <v>0</v>
      </c>
      <c r="P370" s="24">
        <f>TModelo[[#This Row],[IntCDT]]+TModelo[[#This Row],[IntCOLCAP]]+TModelo[[#This Row],[IntUSD]]</f>
        <v>0</v>
      </c>
      <c r="Q370" s="24">
        <f>TModelo[[#This Row],[InitialBalance]]+TModelo[[#This Row],[Interest]]+TModelo[[#This Row],[Outflow]]-TModelo[[#This Row],[Inflow]]</f>
        <v>0</v>
      </c>
      <c r="R370" s="24">
        <f>TModelo[[#This Row],[Act]]*IF(TModelo[[#This Row],[Rebal]]=1,PesoCDT*(X369+Y369+Z369),X369)</f>
        <v>0</v>
      </c>
      <c r="S370" s="24">
        <f>TModelo[[#This Row],[Act]]*IF(TModelo[[#This Row],[Rebal]]=1,PesoCOLCAP*(X369+Y369+Z369),Y369)</f>
        <v>0</v>
      </c>
      <c r="T370" s="24">
        <f>TModelo[[#This Row],[Act]]*IF(TModelo[[#This Row],[Rebal]]=1,PesoUSD*(X369+Y369+Z369),Z369)</f>
        <v>0</v>
      </c>
      <c r="U370" s="24">
        <f>TModelo[[#This Row],[IniCDT]]*TModelo[[#This Row],[RetCDT]]</f>
        <v>0</v>
      </c>
      <c r="V370" s="24">
        <f>TModelo[[#This Row],[IniCOLCAP]]*TModelo[[#This Row],[RetCOLCAP]]</f>
        <v>0</v>
      </c>
      <c r="W370" s="24">
        <f>TModelo[[#This Row],[IniUSD]]*TModelo[[#This Row],[RetUSD]]</f>
        <v>0</v>
      </c>
      <c r="X370" s="24">
        <f>TModelo[[#This Row],[Act]]*(TModelo[[#This Row],[IniCDT]]+TModelo[[#This Row],[IntCDT]]+PesoCDT*TModelo[[#This Row],[Outflow]])</f>
        <v>0</v>
      </c>
      <c r="Y370" s="24">
        <f>TModelo[[#This Row],[Act]]*(TModelo[[#This Row],[IniCOLCAP]]+TModelo[[#This Row],[IntCOLCAP]]+PesoCOLCAP*TModelo[[#This Row],[Outflow]])</f>
        <v>0</v>
      </c>
      <c r="Z370" s="24">
        <f>TModelo[[#This Row],[Act]]*(TModelo[[#This Row],[IniUSD]]+TModelo[[#This Row],[IntUSD]]+PesoUSD*TModelo[[#This Row],[Outflow]])</f>
        <v>0</v>
      </c>
      <c r="AA370" s="24">
        <f>TModelo[[#This Row],[BalCDT]]+TModelo[[#This Row],[BalCOLCAP]]+TModelo[[#This Row],[BalUSD]]</f>
        <v>0</v>
      </c>
      <c r="AB370" s="24">
        <f>IF(TModelo[[#This Row],[CumInfl]]&gt;0,TModelo[[#This Row],[TotalPreLiq]]/TModelo[[#This Row],[CumInfl]],0)</f>
        <v>0</v>
      </c>
      <c r="AC370" s="41">
        <f>(1+PerRate)^(-TModelo[[#This Row],[Period]])</f>
        <v>6.9051681001296189E-2</v>
      </c>
      <c r="AD370" s="42">
        <f>TModelo[[#This Row],[NetCF]]*TModelo[[#This Row],[fd]]</f>
        <v>0</v>
      </c>
    </row>
    <row r="371" spans="2:30" ht="16.95" customHeight="1">
      <c r="B371" s="11">
        <v>344</v>
      </c>
      <c r="C371" s="25">
        <f>EDATE(FechaInicio,TModelo[[#This Row],[Period]])</f>
        <v>56763</v>
      </c>
      <c r="D371" s="11">
        <f>IF(AND(TModelo[[#This Row],[Period]]&gt;=1,TModelo[[#This Row],[Period]]&lt;=HorizonteMeses),1,0)</f>
        <v>0</v>
      </c>
      <c r="E371" s="40">
        <f>TModelo[[#This Row],[Act]]*(INFb+(INFpi0-INFb)*(1-INFa)^TModelo[[#This Row],[Period]])</f>
        <v>0</v>
      </c>
      <c r="F371" s="28">
        <f>IF(TModelo[[#This Row],[Period]]&lt;=HorizonteMeses,F370*(1+TModelo[[#This Row],[InflMes]]),0)</f>
        <v>0</v>
      </c>
      <c r="G371" s="21">
        <f>TModelo[[#This Row],[Act]]*(CDTb+(CDTx0-CDTb)*(1-CDTa)^TModelo[[#This Row],[Period]]+CDTspread)</f>
        <v>0</v>
      </c>
      <c r="H371" s="40">
        <f>TModelo[[#This Row],[Act]]*((1+TModelo[[#This Row],[TasaCDT]])^(1/12)-1)*(1-Retencion)</f>
        <v>0</v>
      </c>
      <c r="I371" s="40">
        <f>TModelo[[#This Row],[Act]]*(EXP(MuCOLCAP+SigmaCOLCAP^2/2)-1)</f>
        <v>0</v>
      </c>
      <c r="J371" s="40">
        <f>TModelo[[#This Row],[Act]]*(EXP(MuTRM+SigmaTRM^2/2)-1)</f>
        <v>0</v>
      </c>
      <c r="K371" s="11">
        <f>TModelo[[#This Row],[Act]]*IF(Rebalanceo="Mensual",1,IF(Rebalanceo="Anual",IF(MOD(TModelo[[#This Row],[Period]]-1,12)=0,1,0),0))</f>
        <v>0</v>
      </c>
      <c r="L371" s="24">
        <f>TModelo[[#This Row],[Act]]*AporteMensual*IF(CrecimientoAporte="Con IPC",F370,1)</f>
        <v>0</v>
      </c>
      <c r="M371" s="24">
        <f>IF(TModelo[[#This Row],[Period]]=HorizonteMeses,TModelo[[#This Row],[TotalPreLiq]],0)</f>
        <v>0</v>
      </c>
      <c r="N371" s="24">
        <f>TModelo[[#This Row],[Inflow]]-TModelo[[#This Row],[Outflow]]</f>
        <v>0</v>
      </c>
      <c r="O371" s="24">
        <f t="shared" si="5"/>
        <v>0</v>
      </c>
      <c r="P371" s="24">
        <f>TModelo[[#This Row],[IntCDT]]+TModelo[[#This Row],[IntCOLCAP]]+TModelo[[#This Row],[IntUSD]]</f>
        <v>0</v>
      </c>
      <c r="Q371" s="24">
        <f>TModelo[[#This Row],[InitialBalance]]+TModelo[[#This Row],[Interest]]+TModelo[[#This Row],[Outflow]]-TModelo[[#This Row],[Inflow]]</f>
        <v>0</v>
      </c>
      <c r="R371" s="24">
        <f>TModelo[[#This Row],[Act]]*IF(TModelo[[#This Row],[Rebal]]=1,PesoCDT*(X370+Y370+Z370),X370)</f>
        <v>0</v>
      </c>
      <c r="S371" s="24">
        <f>TModelo[[#This Row],[Act]]*IF(TModelo[[#This Row],[Rebal]]=1,PesoCOLCAP*(X370+Y370+Z370),Y370)</f>
        <v>0</v>
      </c>
      <c r="T371" s="24">
        <f>TModelo[[#This Row],[Act]]*IF(TModelo[[#This Row],[Rebal]]=1,PesoUSD*(X370+Y370+Z370),Z370)</f>
        <v>0</v>
      </c>
      <c r="U371" s="24">
        <f>TModelo[[#This Row],[IniCDT]]*TModelo[[#This Row],[RetCDT]]</f>
        <v>0</v>
      </c>
      <c r="V371" s="24">
        <f>TModelo[[#This Row],[IniCOLCAP]]*TModelo[[#This Row],[RetCOLCAP]]</f>
        <v>0</v>
      </c>
      <c r="W371" s="24">
        <f>TModelo[[#This Row],[IniUSD]]*TModelo[[#This Row],[RetUSD]]</f>
        <v>0</v>
      </c>
      <c r="X371" s="24">
        <f>TModelo[[#This Row],[Act]]*(TModelo[[#This Row],[IniCDT]]+TModelo[[#This Row],[IntCDT]]+PesoCDT*TModelo[[#This Row],[Outflow]])</f>
        <v>0</v>
      </c>
      <c r="Y371" s="24">
        <f>TModelo[[#This Row],[Act]]*(TModelo[[#This Row],[IniCOLCAP]]+TModelo[[#This Row],[IntCOLCAP]]+PesoCOLCAP*TModelo[[#This Row],[Outflow]])</f>
        <v>0</v>
      </c>
      <c r="Z371" s="24">
        <f>TModelo[[#This Row],[Act]]*(TModelo[[#This Row],[IniUSD]]+TModelo[[#This Row],[IntUSD]]+PesoUSD*TModelo[[#This Row],[Outflow]])</f>
        <v>0</v>
      </c>
      <c r="AA371" s="24">
        <f>TModelo[[#This Row],[BalCDT]]+TModelo[[#This Row],[BalCOLCAP]]+TModelo[[#This Row],[BalUSD]]</f>
        <v>0</v>
      </c>
      <c r="AB371" s="24">
        <f>IF(TModelo[[#This Row],[CumInfl]]&gt;0,TModelo[[#This Row],[TotalPreLiq]]/TModelo[[#This Row],[CumInfl]],0)</f>
        <v>0</v>
      </c>
      <c r="AC371" s="41">
        <f>(1+PerRate)^(-TModelo[[#This Row],[Period]])</f>
        <v>6.8515672363435171E-2</v>
      </c>
      <c r="AD371" s="42">
        <f>TModelo[[#This Row],[NetCF]]*TModelo[[#This Row],[fd]]</f>
        <v>0</v>
      </c>
    </row>
    <row r="372" spans="2:30" ht="16.95" customHeight="1">
      <c r="B372" s="11">
        <v>345</v>
      </c>
      <c r="C372" s="25">
        <f>EDATE(FechaInicio,TModelo[[#This Row],[Period]])</f>
        <v>56794</v>
      </c>
      <c r="D372" s="11">
        <f>IF(AND(TModelo[[#This Row],[Period]]&gt;=1,TModelo[[#This Row],[Period]]&lt;=HorizonteMeses),1,0)</f>
        <v>0</v>
      </c>
      <c r="E372" s="40">
        <f>TModelo[[#This Row],[Act]]*(INFb+(INFpi0-INFb)*(1-INFa)^TModelo[[#This Row],[Period]])</f>
        <v>0</v>
      </c>
      <c r="F372" s="28">
        <f>IF(TModelo[[#This Row],[Period]]&lt;=HorizonteMeses,F371*(1+TModelo[[#This Row],[InflMes]]),0)</f>
        <v>0</v>
      </c>
      <c r="G372" s="21">
        <f>TModelo[[#This Row],[Act]]*(CDTb+(CDTx0-CDTb)*(1-CDTa)^TModelo[[#This Row],[Period]]+CDTspread)</f>
        <v>0</v>
      </c>
      <c r="H372" s="40">
        <f>TModelo[[#This Row],[Act]]*((1+TModelo[[#This Row],[TasaCDT]])^(1/12)-1)*(1-Retencion)</f>
        <v>0</v>
      </c>
      <c r="I372" s="40">
        <f>TModelo[[#This Row],[Act]]*(EXP(MuCOLCAP+SigmaCOLCAP^2/2)-1)</f>
        <v>0</v>
      </c>
      <c r="J372" s="40">
        <f>TModelo[[#This Row],[Act]]*(EXP(MuTRM+SigmaTRM^2/2)-1)</f>
        <v>0</v>
      </c>
      <c r="K372" s="11">
        <f>TModelo[[#This Row],[Act]]*IF(Rebalanceo="Mensual",1,IF(Rebalanceo="Anual",IF(MOD(TModelo[[#This Row],[Period]]-1,12)=0,1,0),0))</f>
        <v>0</v>
      </c>
      <c r="L372" s="24">
        <f>TModelo[[#This Row],[Act]]*AporteMensual*IF(CrecimientoAporte="Con IPC",F371,1)</f>
        <v>0</v>
      </c>
      <c r="M372" s="24">
        <f>IF(TModelo[[#This Row],[Period]]=HorizonteMeses,TModelo[[#This Row],[TotalPreLiq]],0)</f>
        <v>0</v>
      </c>
      <c r="N372" s="24">
        <f>TModelo[[#This Row],[Inflow]]-TModelo[[#This Row],[Outflow]]</f>
        <v>0</v>
      </c>
      <c r="O372" s="24">
        <f t="shared" si="5"/>
        <v>0</v>
      </c>
      <c r="P372" s="24">
        <f>TModelo[[#This Row],[IntCDT]]+TModelo[[#This Row],[IntCOLCAP]]+TModelo[[#This Row],[IntUSD]]</f>
        <v>0</v>
      </c>
      <c r="Q372" s="24">
        <f>TModelo[[#This Row],[InitialBalance]]+TModelo[[#This Row],[Interest]]+TModelo[[#This Row],[Outflow]]-TModelo[[#This Row],[Inflow]]</f>
        <v>0</v>
      </c>
      <c r="R372" s="24">
        <f>TModelo[[#This Row],[Act]]*IF(TModelo[[#This Row],[Rebal]]=1,PesoCDT*(X371+Y371+Z371),X371)</f>
        <v>0</v>
      </c>
      <c r="S372" s="24">
        <f>TModelo[[#This Row],[Act]]*IF(TModelo[[#This Row],[Rebal]]=1,PesoCOLCAP*(X371+Y371+Z371),Y371)</f>
        <v>0</v>
      </c>
      <c r="T372" s="24">
        <f>TModelo[[#This Row],[Act]]*IF(TModelo[[#This Row],[Rebal]]=1,PesoUSD*(X371+Y371+Z371),Z371)</f>
        <v>0</v>
      </c>
      <c r="U372" s="24">
        <f>TModelo[[#This Row],[IniCDT]]*TModelo[[#This Row],[RetCDT]]</f>
        <v>0</v>
      </c>
      <c r="V372" s="24">
        <f>TModelo[[#This Row],[IniCOLCAP]]*TModelo[[#This Row],[RetCOLCAP]]</f>
        <v>0</v>
      </c>
      <c r="W372" s="24">
        <f>TModelo[[#This Row],[IniUSD]]*TModelo[[#This Row],[RetUSD]]</f>
        <v>0</v>
      </c>
      <c r="X372" s="24">
        <f>TModelo[[#This Row],[Act]]*(TModelo[[#This Row],[IniCDT]]+TModelo[[#This Row],[IntCDT]]+PesoCDT*TModelo[[#This Row],[Outflow]])</f>
        <v>0</v>
      </c>
      <c r="Y372" s="24">
        <f>TModelo[[#This Row],[Act]]*(TModelo[[#This Row],[IniCOLCAP]]+TModelo[[#This Row],[IntCOLCAP]]+PesoCOLCAP*TModelo[[#This Row],[Outflow]])</f>
        <v>0</v>
      </c>
      <c r="Z372" s="24">
        <f>TModelo[[#This Row],[Act]]*(TModelo[[#This Row],[IniUSD]]+TModelo[[#This Row],[IntUSD]]+PesoUSD*TModelo[[#This Row],[Outflow]])</f>
        <v>0</v>
      </c>
      <c r="AA372" s="24">
        <f>TModelo[[#This Row],[BalCDT]]+TModelo[[#This Row],[BalCOLCAP]]+TModelo[[#This Row],[BalUSD]]</f>
        <v>0</v>
      </c>
      <c r="AB372" s="24">
        <f>IF(TModelo[[#This Row],[CumInfl]]&gt;0,TModelo[[#This Row],[TotalPreLiq]]/TModelo[[#This Row],[CumInfl]],0)</f>
        <v>0</v>
      </c>
      <c r="AC372" s="41">
        <f>(1+PerRate)^(-TModelo[[#This Row],[Period]])</f>
        <v>6.7983824453534653E-2</v>
      </c>
      <c r="AD372" s="42">
        <f>TModelo[[#This Row],[NetCF]]*TModelo[[#This Row],[fd]]</f>
        <v>0</v>
      </c>
    </row>
    <row r="373" spans="2:30" ht="16.95" customHeight="1">
      <c r="B373" s="11">
        <v>346</v>
      </c>
      <c r="C373" s="25">
        <f>EDATE(FechaInicio,TModelo[[#This Row],[Period]])</f>
        <v>56824</v>
      </c>
      <c r="D373" s="11">
        <f>IF(AND(TModelo[[#This Row],[Period]]&gt;=1,TModelo[[#This Row],[Period]]&lt;=HorizonteMeses),1,0)</f>
        <v>0</v>
      </c>
      <c r="E373" s="40">
        <f>TModelo[[#This Row],[Act]]*(INFb+(INFpi0-INFb)*(1-INFa)^TModelo[[#This Row],[Period]])</f>
        <v>0</v>
      </c>
      <c r="F373" s="28">
        <f>IF(TModelo[[#This Row],[Period]]&lt;=HorizonteMeses,F372*(1+TModelo[[#This Row],[InflMes]]),0)</f>
        <v>0</v>
      </c>
      <c r="G373" s="21">
        <f>TModelo[[#This Row],[Act]]*(CDTb+(CDTx0-CDTb)*(1-CDTa)^TModelo[[#This Row],[Period]]+CDTspread)</f>
        <v>0</v>
      </c>
      <c r="H373" s="40">
        <f>TModelo[[#This Row],[Act]]*((1+TModelo[[#This Row],[TasaCDT]])^(1/12)-1)*(1-Retencion)</f>
        <v>0</v>
      </c>
      <c r="I373" s="40">
        <f>TModelo[[#This Row],[Act]]*(EXP(MuCOLCAP+SigmaCOLCAP^2/2)-1)</f>
        <v>0</v>
      </c>
      <c r="J373" s="40">
        <f>TModelo[[#This Row],[Act]]*(EXP(MuTRM+SigmaTRM^2/2)-1)</f>
        <v>0</v>
      </c>
      <c r="K373" s="11">
        <f>TModelo[[#This Row],[Act]]*IF(Rebalanceo="Mensual",1,IF(Rebalanceo="Anual",IF(MOD(TModelo[[#This Row],[Period]]-1,12)=0,1,0),0))</f>
        <v>0</v>
      </c>
      <c r="L373" s="24">
        <f>TModelo[[#This Row],[Act]]*AporteMensual*IF(CrecimientoAporte="Con IPC",F372,1)</f>
        <v>0</v>
      </c>
      <c r="M373" s="24">
        <f>IF(TModelo[[#This Row],[Period]]=HorizonteMeses,TModelo[[#This Row],[TotalPreLiq]],0)</f>
        <v>0</v>
      </c>
      <c r="N373" s="24">
        <f>TModelo[[#This Row],[Inflow]]-TModelo[[#This Row],[Outflow]]</f>
        <v>0</v>
      </c>
      <c r="O373" s="24">
        <f t="shared" si="5"/>
        <v>0</v>
      </c>
      <c r="P373" s="24">
        <f>TModelo[[#This Row],[IntCDT]]+TModelo[[#This Row],[IntCOLCAP]]+TModelo[[#This Row],[IntUSD]]</f>
        <v>0</v>
      </c>
      <c r="Q373" s="24">
        <f>TModelo[[#This Row],[InitialBalance]]+TModelo[[#This Row],[Interest]]+TModelo[[#This Row],[Outflow]]-TModelo[[#This Row],[Inflow]]</f>
        <v>0</v>
      </c>
      <c r="R373" s="24">
        <f>TModelo[[#This Row],[Act]]*IF(TModelo[[#This Row],[Rebal]]=1,PesoCDT*(X372+Y372+Z372),X372)</f>
        <v>0</v>
      </c>
      <c r="S373" s="24">
        <f>TModelo[[#This Row],[Act]]*IF(TModelo[[#This Row],[Rebal]]=1,PesoCOLCAP*(X372+Y372+Z372),Y372)</f>
        <v>0</v>
      </c>
      <c r="T373" s="24">
        <f>TModelo[[#This Row],[Act]]*IF(TModelo[[#This Row],[Rebal]]=1,PesoUSD*(X372+Y372+Z372),Z372)</f>
        <v>0</v>
      </c>
      <c r="U373" s="24">
        <f>TModelo[[#This Row],[IniCDT]]*TModelo[[#This Row],[RetCDT]]</f>
        <v>0</v>
      </c>
      <c r="V373" s="24">
        <f>TModelo[[#This Row],[IniCOLCAP]]*TModelo[[#This Row],[RetCOLCAP]]</f>
        <v>0</v>
      </c>
      <c r="W373" s="24">
        <f>TModelo[[#This Row],[IniUSD]]*TModelo[[#This Row],[RetUSD]]</f>
        <v>0</v>
      </c>
      <c r="X373" s="24">
        <f>TModelo[[#This Row],[Act]]*(TModelo[[#This Row],[IniCDT]]+TModelo[[#This Row],[IntCDT]]+PesoCDT*TModelo[[#This Row],[Outflow]])</f>
        <v>0</v>
      </c>
      <c r="Y373" s="24">
        <f>TModelo[[#This Row],[Act]]*(TModelo[[#This Row],[IniCOLCAP]]+TModelo[[#This Row],[IntCOLCAP]]+PesoCOLCAP*TModelo[[#This Row],[Outflow]])</f>
        <v>0</v>
      </c>
      <c r="Z373" s="24">
        <f>TModelo[[#This Row],[Act]]*(TModelo[[#This Row],[IniUSD]]+TModelo[[#This Row],[IntUSD]]+PesoUSD*TModelo[[#This Row],[Outflow]])</f>
        <v>0</v>
      </c>
      <c r="AA373" s="24">
        <f>TModelo[[#This Row],[BalCDT]]+TModelo[[#This Row],[BalCOLCAP]]+TModelo[[#This Row],[BalUSD]]</f>
        <v>0</v>
      </c>
      <c r="AB373" s="24">
        <f>IF(TModelo[[#This Row],[CumInfl]]&gt;0,TModelo[[#This Row],[TotalPreLiq]]/TModelo[[#This Row],[CumInfl]],0)</f>
        <v>0</v>
      </c>
      <c r="AC373" s="41">
        <f>(1+PerRate)^(-TModelo[[#This Row],[Period]])</f>
        <v>6.7456104974247269E-2</v>
      </c>
      <c r="AD373" s="42">
        <f>TModelo[[#This Row],[NetCF]]*TModelo[[#This Row],[fd]]</f>
        <v>0</v>
      </c>
    </row>
    <row r="374" spans="2:30" ht="16.95" customHeight="1">
      <c r="B374" s="11">
        <v>347</v>
      </c>
      <c r="C374" s="25">
        <f>EDATE(FechaInicio,TModelo[[#This Row],[Period]])</f>
        <v>56855</v>
      </c>
      <c r="D374" s="11">
        <f>IF(AND(TModelo[[#This Row],[Period]]&gt;=1,TModelo[[#This Row],[Period]]&lt;=HorizonteMeses),1,0)</f>
        <v>0</v>
      </c>
      <c r="E374" s="40">
        <f>TModelo[[#This Row],[Act]]*(INFb+(INFpi0-INFb)*(1-INFa)^TModelo[[#This Row],[Period]])</f>
        <v>0</v>
      </c>
      <c r="F374" s="28">
        <f>IF(TModelo[[#This Row],[Period]]&lt;=HorizonteMeses,F373*(1+TModelo[[#This Row],[InflMes]]),0)</f>
        <v>0</v>
      </c>
      <c r="G374" s="21">
        <f>TModelo[[#This Row],[Act]]*(CDTb+(CDTx0-CDTb)*(1-CDTa)^TModelo[[#This Row],[Period]]+CDTspread)</f>
        <v>0</v>
      </c>
      <c r="H374" s="40">
        <f>TModelo[[#This Row],[Act]]*((1+TModelo[[#This Row],[TasaCDT]])^(1/12)-1)*(1-Retencion)</f>
        <v>0</v>
      </c>
      <c r="I374" s="40">
        <f>TModelo[[#This Row],[Act]]*(EXP(MuCOLCAP+SigmaCOLCAP^2/2)-1)</f>
        <v>0</v>
      </c>
      <c r="J374" s="40">
        <f>TModelo[[#This Row],[Act]]*(EXP(MuTRM+SigmaTRM^2/2)-1)</f>
        <v>0</v>
      </c>
      <c r="K374" s="11">
        <f>TModelo[[#This Row],[Act]]*IF(Rebalanceo="Mensual",1,IF(Rebalanceo="Anual",IF(MOD(TModelo[[#This Row],[Period]]-1,12)=0,1,0),0))</f>
        <v>0</v>
      </c>
      <c r="L374" s="24">
        <f>TModelo[[#This Row],[Act]]*AporteMensual*IF(CrecimientoAporte="Con IPC",F373,1)</f>
        <v>0</v>
      </c>
      <c r="M374" s="24">
        <f>IF(TModelo[[#This Row],[Period]]=HorizonteMeses,TModelo[[#This Row],[TotalPreLiq]],0)</f>
        <v>0</v>
      </c>
      <c r="N374" s="24">
        <f>TModelo[[#This Row],[Inflow]]-TModelo[[#This Row],[Outflow]]</f>
        <v>0</v>
      </c>
      <c r="O374" s="24">
        <f t="shared" si="5"/>
        <v>0</v>
      </c>
      <c r="P374" s="24">
        <f>TModelo[[#This Row],[IntCDT]]+TModelo[[#This Row],[IntCOLCAP]]+TModelo[[#This Row],[IntUSD]]</f>
        <v>0</v>
      </c>
      <c r="Q374" s="24">
        <f>TModelo[[#This Row],[InitialBalance]]+TModelo[[#This Row],[Interest]]+TModelo[[#This Row],[Outflow]]-TModelo[[#This Row],[Inflow]]</f>
        <v>0</v>
      </c>
      <c r="R374" s="24">
        <f>TModelo[[#This Row],[Act]]*IF(TModelo[[#This Row],[Rebal]]=1,PesoCDT*(X373+Y373+Z373),X373)</f>
        <v>0</v>
      </c>
      <c r="S374" s="24">
        <f>TModelo[[#This Row],[Act]]*IF(TModelo[[#This Row],[Rebal]]=1,PesoCOLCAP*(X373+Y373+Z373),Y373)</f>
        <v>0</v>
      </c>
      <c r="T374" s="24">
        <f>TModelo[[#This Row],[Act]]*IF(TModelo[[#This Row],[Rebal]]=1,PesoUSD*(X373+Y373+Z373),Z373)</f>
        <v>0</v>
      </c>
      <c r="U374" s="24">
        <f>TModelo[[#This Row],[IniCDT]]*TModelo[[#This Row],[RetCDT]]</f>
        <v>0</v>
      </c>
      <c r="V374" s="24">
        <f>TModelo[[#This Row],[IniCOLCAP]]*TModelo[[#This Row],[RetCOLCAP]]</f>
        <v>0</v>
      </c>
      <c r="W374" s="24">
        <f>TModelo[[#This Row],[IniUSD]]*TModelo[[#This Row],[RetUSD]]</f>
        <v>0</v>
      </c>
      <c r="X374" s="24">
        <f>TModelo[[#This Row],[Act]]*(TModelo[[#This Row],[IniCDT]]+TModelo[[#This Row],[IntCDT]]+PesoCDT*TModelo[[#This Row],[Outflow]])</f>
        <v>0</v>
      </c>
      <c r="Y374" s="24">
        <f>TModelo[[#This Row],[Act]]*(TModelo[[#This Row],[IniCOLCAP]]+TModelo[[#This Row],[IntCOLCAP]]+PesoCOLCAP*TModelo[[#This Row],[Outflow]])</f>
        <v>0</v>
      </c>
      <c r="Z374" s="24">
        <f>TModelo[[#This Row],[Act]]*(TModelo[[#This Row],[IniUSD]]+TModelo[[#This Row],[IntUSD]]+PesoUSD*TModelo[[#This Row],[Outflow]])</f>
        <v>0</v>
      </c>
      <c r="AA374" s="24">
        <f>TModelo[[#This Row],[BalCDT]]+TModelo[[#This Row],[BalCOLCAP]]+TModelo[[#This Row],[BalUSD]]</f>
        <v>0</v>
      </c>
      <c r="AB374" s="24">
        <f>IF(TModelo[[#This Row],[CumInfl]]&gt;0,TModelo[[#This Row],[TotalPreLiq]]/TModelo[[#This Row],[CumInfl]],0)</f>
        <v>0</v>
      </c>
      <c r="AC374" s="41">
        <f>(1+PerRate)^(-TModelo[[#This Row],[Period]])</f>
        <v>6.6932481878931485E-2</v>
      </c>
      <c r="AD374" s="42">
        <f>TModelo[[#This Row],[NetCF]]*TModelo[[#This Row],[fd]]</f>
        <v>0</v>
      </c>
    </row>
    <row r="375" spans="2:30" ht="16.95" customHeight="1">
      <c r="B375" s="11">
        <v>348</v>
      </c>
      <c r="C375" s="25">
        <f>EDATE(FechaInicio,TModelo[[#This Row],[Period]])</f>
        <v>56886</v>
      </c>
      <c r="D375" s="11">
        <f>IF(AND(TModelo[[#This Row],[Period]]&gt;=1,TModelo[[#This Row],[Period]]&lt;=HorizonteMeses),1,0)</f>
        <v>0</v>
      </c>
      <c r="E375" s="40">
        <f>TModelo[[#This Row],[Act]]*(INFb+(INFpi0-INFb)*(1-INFa)^TModelo[[#This Row],[Period]])</f>
        <v>0</v>
      </c>
      <c r="F375" s="28">
        <f>IF(TModelo[[#This Row],[Period]]&lt;=HorizonteMeses,F374*(1+TModelo[[#This Row],[InflMes]]),0)</f>
        <v>0</v>
      </c>
      <c r="G375" s="21">
        <f>TModelo[[#This Row],[Act]]*(CDTb+(CDTx0-CDTb)*(1-CDTa)^TModelo[[#This Row],[Period]]+CDTspread)</f>
        <v>0</v>
      </c>
      <c r="H375" s="40">
        <f>TModelo[[#This Row],[Act]]*((1+TModelo[[#This Row],[TasaCDT]])^(1/12)-1)*(1-Retencion)</f>
        <v>0</v>
      </c>
      <c r="I375" s="40">
        <f>TModelo[[#This Row],[Act]]*(EXP(MuCOLCAP+SigmaCOLCAP^2/2)-1)</f>
        <v>0</v>
      </c>
      <c r="J375" s="40">
        <f>TModelo[[#This Row],[Act]]*(EXP(MuTRM+SigmaTRM^2/2)-1)</f>
        <v>0</v>
      </c>
      <c r="K375" s="11">
        <f>TModelo[[#This Row],[Act]]*IF(Rebalanceo="Mensual",1,IF(Rebalanceo="Anual",IF(MOD(TModelo[[#This Row],[Period]]-1,12)=0,1,0),0))</f>
        <v>0</v>
      </c>
      <c r="L375" s="24">
        <f>TModelo[[#This Row],[Act]]*AporteMensual*IF(CrecimientoAporte="Con IPC",F374,1)</f>
        <v>0</v>
      </c>
      <c r="M375" s="24">
        <f>IF(TModelo[[#This Row],[Period]]=HorizonteMeses,TModelo[[#This Row],[TotalPreLiq]],0)</f>
        <v>0</v>
      </c>
      <c r="N375" s="24">
        <f>TModelo[[#This Row],[Inflow]]-TModelo[[#This Row],[Outflow]]</f>
        <v>0</v>
      </c>
      <c r="O375" s="24">
        <f t="shared" si="5"/>
        <v>0</v>
      </c>
      <c r="P375" s="24">
        <f>TModelo[[#This Row],[IntCDT]]+TModelo[[#This Row],[IntCOLCAP]]+TModelo[[#This Row],[IntUSD]]</f>
        <v>0</v>
      </c>
      <c r="Q375" s="24">
        <f>TModelo[[#This Row],[InitialBalance]]+TModelo[[#This Row],[Interest]]+TModelo[[#This Row],[Outflow]]-TModelo[[#This Row],[Inflow]]</f>
        <v>0</v>
      </c>
      <c r="R375" s="24">
        <f>TModelo[[#This Row],[Act]]*IF(TModelo[[#This Row],[Rebal]]=1,PesoCDT*(X374+Y374+Z374),X374)</f>
        <v>0</v>
      </c>
      <c r="S375" s="24">
        <f>TModelo[[#This Row],[Act]]*IF(TModelo[[#This Row],[Rebal]]=1,PesoCOLCAP*(X374+Y374+Z374),Y374)</f>
        <v>0</v>
      </c>
      <c r="T375" s="24">
        <f>TModelo[[#This Row],[Act]]*IF(TModelo[[#This Row],[Rebal]]=1,PesoUSD*(X374+Y374+Z374),Z374)</f>
        <v>0</v>
      </c>
      <c r="U375" s="24">
        <f>TModelo[[#This Row],[IniCDT]]*TModelo[[#This Row],[RetCDT]]</f>
        <v>0</v>
      </c>
      <c r="V375" s="24">
        <f>TModelo[[#This Row],[IniCOLCAP]]*TModelo[[#This Row],[RetCOLCAP]]</f>
        <v>0</v>
      </c>
      <c r="W375" s="24">
        <f>TModelo[[#This Row],[IniUSD]]*TModelo[[#This Row],[RetUSD]]</f>
        <v>0</v>
      </c>
      <c r="X375" s="24">
        <f>TModelo[[#This Row],[Act]]*(TModelo[[#This Row],[IniCDT]]+TModelo[[#This Row],[IntCDT]]+PesoCDT*TModelo[[#This Row],[Outflow]])</f>
        <v>0</v>
      </c>
      <c r="Y375" s="24">
        <f>TModelo[[#This Row],[Act]]*(TModelo[[#This Row],[IniCOLCAP]]+TModelo[[#This Row],[IntCOLCAP]]+PesoCOLCAP*TModelo[[#This Row],[Outflow]])</f>
        <v>0</v>
      </c>
      <c r="Z375" s="24">
        <f>TModelo[[#This Row],[Act]]*(TModelo[[#This Row],[IniUSD]]+TModelo[[#This Row],[IntUSD]]+PesoUSD*TModelo[[#This Row],[Outflow]])</f>
        <v>0</v>
      </c>
      <c r="AA375" s="24">
        <f>TModelo[[#This Row],[BalCDT]]+TModelo[[#This Row],[BalCOLCAP]]+TModelo[[#This Row],[BalUSD]]</f>
        <v>0</v>
      </c>
      <c r="AB375" s="24">
        <f>IF(TModelo[[#This Row],[CumInfl]]&gt;0,TModelo[[#This Row],[TotalPreLiq]]/TModelo[[#This Row],[CumInfl]],0)</f>
        <v>0</v>
      </c>
      <c r="AC375" s="41">
        <f>(1+PerRate)^(-TModelo[[#This Row],[Period]])</f>
        <v>6.6412923369705501E-2</v>
      </c>
      <c r="AD375" s="42">
        <f>TModelo[[#This Row],[NetCF]]*TModelo[[#This Row],[fd]]</f>
        <v>0</v>
      </c>
    </row>
    <row r="376" spans="2:30" ht="16.95" customHeight="1">
      <c r="B376" s="11">
        <v>349</v>
      </c>
      <c r="C376" s="25">
        <f>EDATE(FechaInicio,TModelo[[#This Row],[Period]])</f>
        <v>56916</v>
      </c>
      <c r="D376" s="11">
        <f>IF(AND(TModelo[[#This Row],[Period]]&gt;=1,TModelo[[#This Row],[Period]]&lt;=HorizonteMeses),1,0)</f>
        <v>0</v>
      </c>
      <c r="E376" s="40">
        <f>TModelo[[#This Row],[Act]]*(INFb+(INFpi0-INFb)*(1-INFa)^TModelo[[#This Row],[Period]])</f>
        <v>0</v>
      </c>
      <c r="F376" s="28">
        <f>IF(TModelo[[#This Row],[Period]]&lt;=HorizonteMeses,F375*(1+TModelo[[#This Row],[InflMes]]),0)</f>
        <v>0</v>
      </c>
      <c r="G376" s="21">
        <f>TModelo[[#This Row],[Act]]*(CDTb+(CDTx0-CDTb)*(1-CDTa)^TModelo[[#This Row],[Period]]+CDTspread)</f>
        <v>0</v>
      </c>
      <c r="H376" s="40">
        <f>TModelo[[#This Row],[Act]]*((1+TModelo[[#This Row],[TasaCDT]])^(1/12)-1)*(1-Retencion)</f>
        <v>0</v>
      </c>
      <c r="I376" s="40">
        <f>TModelo[[#This Row],[Act]]*(EXP(MuCOLCAP+SigmaCOLCAP^2/2)-1)</f>
        <v>0</v>
      </c>
      <c r="J376" s="40">
        <f>TModelo[[#This Row],[Act]]*(EXP(MuTRM+SigmaTRM^2/2)-1)</f>
        <v>0</v>
      </c>
      <c r="K376" s="11">
        <f>TModelo[[#This Row],[Act]]*IF(Rebalanceo="Mensual",1,IF(Rebalanceo="Anual",IF(MOD(TModelo[[#This Row],[Period]]-1,12)=0,1,0),0))</f>
        <v>0</v>
      </c>
      <c r="L376" s="24">
        <f>TModelo[[#This Row],[Act]]*AporteMensual*IF(CrecimientoAporte="Con IPC",F375,1)</f>
        <v>0</v>
      </c>
      <c r="M376" s="24">
        <f>IF(TModelo[[#This Row],[Period]]=HorizonteMeses,TModelo[[#This Row],[TotalPreLiq]],0)</f>
        <v>0</v>
      </c>
      <c r="N376" s="24">
        <f>TModelo[[#This Row],[Inflow]]-TModelo[[#This Row],[Outflow]]</f>
        <v>0</v>
      </c>
      <c r="O376" s="24">
        <f t="shared" si="5"/>
        <v>0</v>
      </c>
      <c r="P376" s="24">
        <f>TModelo[[#This Row],[IntCDT]]+TModelo[[#This Row],[IntCOLCAP]]+TModelo[[#This Row],[IntUSD]]</f>
        <v>0</v>
      </c>
      <c r="Q376" s="24">
        <f>TModelo[[#This Row],[InitialBalance]]+TModelo[[#This Row],[Interest]]+TModelo[[#This Row],[Outflow]]-TModelo[[#This Row],[Inflow]]</f>
        <v>0</v>
      </c>
      <c r="R376" s="24">
        <f>TModelo[[#This Row],[Act]]*IF(TModelo[[#This Row],[Rebal]]=1,PesoCDT*(X375+Y375+Z375),X375)</f>
        <v>0</v>
      </c>
      <c r="S376" s="24">
        <f>TModelo[[#This Row],[Act]]*IF(TModelo[[#This Row],[Rebal]]=1,PesoCOLCAP*(X375+Y375+Z375),Y375)</f>
        <v>0</v>
      </c>
      <c r="T376" s="24">
        <f>TModelo[[#This Row],[Act]]*IF(TModelo[[#This Row],[Rebal]]=1,PesoUSD*(X375+Y375+Z375),Z375)</f>
        <v>0</v>
      </c>
      <c r="U376" s="24">
        <f>TModelo[[#This Row],[IniCDT]]*TModelo[[#This Row],[RetCDT]]</f>
        <v>0</v>
      </c>
      <c r="V376" s="24">
        <f>TModelo[[#This Row],[IniCOLCAP]]*TModelo[[#This Row],[RetCOLCAP]]</f>
        <v>0</v>
      </c>
      <c r="W376" s="24">
        <f>TModelo[[#This Row],[IniUSD]]*TModelo[[#This Row],[RetUSD]]</f>
        <v>0</v>
      </c>
      <c r="X376" s="24">
        <f>TModelo[[#This Row],[Act]]*(TModelo[[#This Row],[IniCDT]]+TModelo[[#This Row],[IntCDT]]+PesoCDT*TModelo[[#This Row],[Outflow]])</f>
        <v>0</v>
      </c>
      <c r="Y376" s="24">
        <f>TModelo[[#This Row],[Act]]*(TModelo[[#This Row],[IniCOLCAP]]+TModelo[[#This Row],[IntCOLCAP]]+PesoCOLCAP*TModelo[[#This Row],[Outflow]])</f>
        <v>0</v>
      </c>
      <c r="Z376" s="24">
        <f>TModelo[[#This Row],[Act]]*(TModelo[[#This Row],[IniUSD]]+TModelo[[#This Row],[IntUSD]]+PesoUSD*TModelo[[#This Row],[Outflow]])</f>
        <v>0</v>
      </c>
      <c r="AA376" s="24">
        <f>TModelo[[#This Row],[BalCDT]]+TModelo[[#This Row],[BalCOLCAP]]+TModelo[[#This Row],[BalUSD]]</f>
        <v>0</v>
      </c>
      <c r="AB376" s="24">
        <f>IF(TModelo[[#This Row],[CumInfl]]&gt;0,TModelo[[#This Row],[TotalPreLiq]]/TModelo[[#This Row],[CumInfl]],0)</f>
        <v>0</v>
      </c>
      <c r="AC376" s="41">
        <f>(1+PerRate)^(-TModelo[[#This Row],[Period]])</f>
        <v>6.5897397895516158E-2</v>
      </c>
      <c r="AD376" s="42">
        <f>TModelo[[#This Row],[NetCF]]*TModelo[[#This Row],[fd]]</f>
        <v>0</v>
      </c>
    </row>
    <row r="377" spans="2:30" ht="16.95" customHeight="1">
      <c r="B377" s="11">
        <v>350</v>
      </c>
      <c r="C377" s="25">
        <f>EDATE(FechaInicio,TModelo[[#This Row],[Period]])</f>
        <v>56947</v>
      </c>
      <c r="D377" s="11">
        <f>IF(AND(TModelo[[#This Row],[Period]]&gt;=1,TModelo[[#This Row],[Period]]&lt;=HorizonteMeses),1,0)</f>
        <v>0</v>
      </c>
      <c r="E377" s="40">
        <f>TModelo[[#This Row],[Act]]*(INFb+(INFpi0-INFb)*(1-INFa)^TModelo[[#This Row],[Period]])</f>
        <v>0</v>
      </c>
      <c r="F377" s="28">
        <f>IF(TModelo[[#This Row],[Period]]&lt;=HorizonteMeses,F376*(1+TModelo[[#This Row],[InflMes]]),0)</f>
        <v>0</v>
      </c>
      <c r="G377" s="21">
        <f>TModelo[[#This Row],[Act]]*(CDTb+(CDTx0-CDTb)*(1-CDTa)^TModelo[[#This Row],[Period]]+CDTspread)</f>
        <v>0</v>
      </c>
      <c r="H377" s="40">
        <f>TModelo[[#This Row],[Act]]*((1+TModelo[[#This Row],[TasaCDT]])^(1/12)-1)*(1-Retencion)</f>
        <v>0</v>
      </c>
      <c r="I377" s="40">
        <f>TModelo[[#This Row],[Act]]*(EXP(MuCOLCAP+SigmaCOLCAP^2/2)-1)</f>
        <v>0</v>
      </c>
      <c r="J377" s="40">
        <f>TModelo[[#This Row],[Act]]*(EXP(MuTRM+SigmaTRM^2/2)-1)</f>
        <v>0</v>
      </c>
      <c r="K377" s="11">
        <f>TModelo[[#This Row],[Act]]*IF(Rebalanceo="Mensual",1,IF(Rebalanceo="Anual",IF(MOD(TModelo[[#This Row],[Period]]-1,12)=0,1,0),0))</f>
        <v>0</v>
      </c>
      <c r="L377" s="24">
        <f>TModelo[[#This Row],[Act]]*AporteMensual*IF(CrecimientoAporte="Con IPC",F376,1)</f>
        <v>0</v>
      </c>
      <c r="M377" s="24">
        <f>IF(TModelo[[#This Row],[Period]]=HorizonteMeses,TModelo[[#This Row],[TotalPreLiq]],0)</f>
        <v>0</v>
      </c>
      <c r="N377" s="24">
        <f>TModelo[[#This Row],[Inflow]]-TModelo[[#This Row],[Outflow]]</f>
        <v>0</v>
      </c>
      <c r="O377" s="24">
        <f t="shared" si="5"/>
        <v>0</v>
      </c>
      <c r="P377" s="24">
        <f>TModelo[[#This Row],[IntCDT]]+TModelo[[#This Row],[IntCOLCAP]]+TModelo[[#This Row],[IntUSD]]</f>
        <v>0</v>
      </c>
      <c r="Q377" s="24">
        <f>TModelo[[#This Row],[InitialBalance]]+TModelo[[#This Row],[Interest]]+TModelo[[#This Row],[Outflow]]-TModelo[[#This Row],[Inflow]]</f>
        <v>0</v>
      </c>
      <c r="R377" s="24">
        <f>TModelo[[#This Row],[Act]]*IF(TModelo[[#This Row],[Rebal]]=1,PesoCDT*(X376+Y376+Z376),X376)</f>
        <v>0</v>
      </c>
      <c r="S377" s="24">
        <f>TModelo[[#This Row],[Act]]*IF(TModelo[[#This Row],[Rebal]]=1,PesoCOLCAP*(X376+Y376+Z376),Y376)</f>
        <v>0</v>
      </c>
      <c r="T377" s="24">
        <f>TModelo[[#This Row],[Act]]*IF(TModelo[[#This Row],[Rebal]]=1,PesoUSD*(X376+Y376+Z376),Z376)</f>
        <v>0</v>
      </c>
      <c r="U377" s="24">
        <f>TModelo[[#This Row],[IniCDT]]*TModelo[[#This Row],[RetCDT]]</f>
        <v>0</v>
      </c>
      <c r="V377" s="24">
        <f>TModelo[[#This Row],[IniCOLCAP]]*TModelo[[#This Row],[RetCOLCAP]]</f>
        <v>0</v>
      </c>
      <c r="W377" s="24">
        <f>TModelo[[#This Row],[IniUSD]]*TModelo[[#This Row],[RetUSD]]</f>
        <v>0</v>
      </c>
      <c r="X377" s="24">
        <f>TModelo[[#This Row],[Act]]*(TModelo[[#This Row],[IniCDT]]+TModelo[[#This Row],[IntCDT]]+PesoCDT*TModelo[[#This Row],[Outflow]])</f>
        <v>0</v>
      </c>
      <c r="Y377" s="24">
        <f>TModelo[[#This Row],[Act]]*(TModelo[[#This Row],[IniCOLCAP]]+TModelo[[#This Row],[IntCOLCAP]]+PesoCOLCAP*TModelo[[#This Row],[Outflow]])</f>
        <v>0</v>
      </c>
      <c r="Z377" s="24">
        <f>TModelo[[#This Row],[Act]]*(TModelo[[#This Row],[IniUSD]]+TModelo[[#This Row],[IntUSD]]+PesoUSD*TModelo[[#This Row],[Outflow]])</f>
        <v>0</v>
      </c>
      <c r="AA377" s="24">
        <f>TModelo[[#This Row],[BalCDT]]+TModelo[[#This Row],[BalCOLCAP]]+TModelo[[#This Row],[BalUSD]]</f>
        <v>0</v>
      </c>
      <c r="AB377" s="24">
        <f>IF(TModelo[[#This Row],[CumInfl]]&gt;0,TModelo[[#This Row],[TotalPreLiq]]/TModelo[[#This Row],[CumInfl]],0)</f>
        <v>0</v>
      </c>
      <c r="AC377" s="41">
        <f>(1+PerRate)^(-TModelo[[#This Row],[Period]])</f>
        <v>6.538587415022315E-2</v>
      </c>
      <c r="AD377" s="42">
        <f>TModelo[[#This Row],[NetCF]]*TModelo[[#This Row],[fd]]</f>
        <v>0</v>
      </c>
    </row>
    <row r="378" spans="2:30" ht="16.95" customHeight="1">
      <c r="B378" s="11">
        <v>351</v>
      </c>
      <c r="C378" s="25">
        <f>EDATE(FechaInicio,TModelo[[#This Row],[Period]])</f>
        <v>56977</v>
      </c>
      <c r="D378" s="11">
        <f>IF(AND(TModelo[[#This Row],[Period]]&gt;=1,TModelo[[#This Row],[Period]]&lt;=HorizonteMeses),1,0)</f>
        <v>0</v>
      </c>
      <c r="E378" s="40">
        <f>TModelo[[#This Row],[Act]]*(INFb+(INFpi0-INFb)*(1-INFa)^TModelo[[#This Row],[Period]])</f>
        <v>0</v>
      </c>
      <c r="F378" s="28">
        <f>IF(TModelo[[#This Row],[Period]]&lt;=HorizonteMeses,F377*(1+TModelo[[#This Row],[InflMes]]),0)</f>
        <v>0</v>
      </c>
      <c r="G378" s="21">
        <f>TModelo[[#This Row],[Act]]*(CDTb+(CDTx0-CDTb)*(1-CDTa)^TModelo[[#This Row],[Period]]+CDTspread)</f>
        <v>0</v>
      </c>
      <c r="H378" s="40">
        <f>TModelo[[#This Row],[Act]]*((1+TModelo[[#This Row],[TasaCDT]])^(1/12)-1)*(1-Retencion)</f>
        <v>0</v>
      </c>
      <c r="I378" s="40">
        <f>TModelo[[#This Row],[Act]]*(EXP(MuCOLCAP+SigmaCOLCAP^2/2)-1)</f>
        <v>0</v>
      </c>
      <c r="J378" s="40">
        <f>TModelo[[#This Row],[Act]]*(EXP(MuTRM+SigmaTRM^2/2)-1)</f>
        <v>0</v>
      </c>
      <c r="K378" s="11">
        <f>TModelo[[#This Row],[Act]]*IF(Rebalanceo="Mensual",1,IF(Rebalanceo="Anual",IF(MOD(TModelo[[#This Row],[Period]]-1,12)=0,1,0),0))</f>
        <v>0</v>
      </c>
      <c r="L378" s="24">
        <f>TModelo[[#This Row],[Act]]*AporteMensual*IF(CrecimientoAporte="Con IPC",F377,1)</f>
        <v>0</v>
      </c>
      <c r="M378" s="24">
        <f>IF(TModelo[[#This Row],[Period]]=HorizonteMeses,TModelo[[#This Row],[TotalPreLiq]],0)</f>
        <v>0</v>
      </c>
      <c r="N378" s="24">
        <f>TModelo[[#This Row],[Inflow]]-TModelo[[#This Row],[Outflow]]</f>
        <v>0</v>
      </c>
      <c r="O378" s="24">
        <f t="shared" si="5"/>
        <v>0</v>
      </c>
      <c r="P378" s="24">
        <f>TModelo[[#This Row],[IntCDT]]+TModelo[[#This Row],[IntCOLCAP]]+TModelo[[#This Row],[IntUSD]]</f>
        <v>0</v>
      </c>
      <c r="Q378" s="24">
        <f>TModelo[[#This Row],[InitialBalance]]+TModelo[[#This Row],[Interest]]+TModelo[[#This Row],[Outflow]]-TModelo[[#This Row],[Inflow]]</f>
        <v>0</v>
      </c>
      <c r="R378" s="24">
        <f>TModelo[[#This Row],[Act]]*IF(TModelo[[#This Row],[Rebal]]=1,PesoCDT*(X377+Y377+Z377),X377)</f>
        <v>0</v>
      </c>
      <c r="S378" s="24">
        <f>TModelo[[#This Row],[Act]]*IF(TModelo[[#This Row],[Rebal]]=1,PesoCOLCAP*(X377+Y377+Z377),Y377)</f>
        <v>0</v>
      </c>
      <c r="T378" s="24">
        <f>TModelo[[#This Row],[Act]]*IF(TModelo[[#This Row],[Rebal]]=1,PesoUSD*(X377+Y377+Z377),Z377)</f>
        <v>0</v>
      </c>
      <c r="U378" s="24">
        <f>TModelo[[#This Row],[IniCDT]]*TModelo[[#This Row],[RetCDT]]</f>
        <v>0</v>
      </c>
      <c r="V378" s="24">
        <f>TModelo[[#This Row],[IniCOLCAP]]*TModelo[[#This Row],[RetCOLCAP]]</f>
        <v>0</v>
      </c>
      <c r="W378" s="24">
        <f>TModelo[[#This Row],[IniUSD]]*TModelo[[#This Row],[RetUSD]]</f>
        <v>0</v>
      </c>
      <c r="X378" s="24">
        <f>TModelo[[#This Row],[Act]]*(TModelo[[#This Row],[IniCDT]]+TModelo[[#This Row],[IntCDT]]+PesoCDT*TModelo[[#This Row],[Outflow]])</f>
        <v>0</v>
      </c>
      <c r="Y378" s="24">
        <f>TModelo[[#This Row],[Act]]*(TModelo[[#This Row],[IniCOLCAP]]+TModelo[[#This Row],[IntCOLCAP]]+PesoCOLCAP*TModelo[[#This Row],[Outflow]])</f>
        <v>0</v>
      </c>
      <c r="Z378" s="24">
        <f>TModelo[[#This Row],[Act]]*(TModelo[[#This Row],[IniUSD]]+TModelo[[#This Row],[IntUSD]]+PesoUSD*TModelo[[#This Row],[Outflow]])</f>
        <v>0</v>
      </c>
      <c r="AA378" s="24">
        <f>TModelo[[#This Row],[BalCDT]]+TModelo[[#This Row],[BalCOLCAP]]+TModelo[[#This Row],[BalUSD]]</f>
        <v>0</v>
      </c>
      <c r="AB378" s="24">
        <f>IF(TModelo[[#This Row],[CumInfl]]&gt;0,TModelo[[#This Row],[TotalPreLiq]]/TModelo[[#This Row],[CumInfl]],0)</f>
        <v>0</v>
      </c>
      <c r="AC378" s="41">
        <f>(1+PerRate)^(-TModelo[[#This Row],[Period]])</f>
        <v>6.4878321070697756E-2</v>
      </c>
      <c r="AD378" s="42">
        <f>TModelo[[#This Row],[NetCF]]*TModelo[[#This Row],[fd]]</f>
        <v>0</v>
      </c>
    </row>
    <row r="379" spans="2:30" ht="16.95" customHeight="1">
      <c r="B379" s="11">
        <v>352</v>
      </c>
      <c r="C379" s="25">
        <f>EDATE(FechaInicio,TModelo[[#This Row],[Period]])</f>
        <v>57008</v>
      </c>
      <c r="D379" s="11">
        <f>IF(AND(TModelo[[#This Row],[Period]]&gt;=1,TModelo[[#This Row],[Period]]&lt;=HorizonteMeses),1,0)</f>
        <v>0</v>
      </c>
      <c r="E379" s="40">
        <f>TModelo[[#This Row],[Act]]*(INFb+(INFpi0-INFb)*(1-INFa)^TModelo[[#This Row],[Period]])</f>
        <v>0</v>
      </c>
      <c r="F379" s="28">
        <f>IF(TModelo[[#This Row],[Period]]&lt;=HorizonteMeses,F378*(1+TModelo[[#This Row],[InflMes]]),0)</f>
        <v>0</v>
      </c>
      <c r="G379" s="21">
        <f>TModelo[[#This Row],[Act]]*(CDTb+(CDTx0-CDTb)*(1-CDTa)^TModelo[[#This Row],[Period]]+CDTspread)</f>
        <v>0</v>
      </c>
      <c r="H379" s="40">
        <f>TModelo[[#This Row],[Act]]*((1+TModelo[[#This Row],[TasaCDT]])^(1/12)-1)*(1-Retencion)</f>
        <v>0</v>
      </c>
      <c r="I379" s="40">
        <f>TModelo[[#This Row],[Act]]*(EXP(MuCOLCAP+SigmaCOLCAP^2/2)-1)</f>
        <v>0</v>
      </c>
      <c r="J379" s="40">
        <f>TModelo[[#This Row],[Act]]*(EXP(MuTRM+SigmaTRM^2/2)-1)</f>
        <v>0</v>
      </c>
      <c r="K379" s="11">
        <f>TModelo[[#This Row],[Act]]*IF(Rebalanceo="Mensual",1,IF(Rebalanceo="Anual",IF(MOD(TModelo[[#This Row],[Period]]-1,12)=0,1,0),0))</f>
        <v>0</v>
      </c>
      <c r="L379" s="24">
        <f>TModelo[[#This Row],[Act]]*AporteMensual*IF(CrecimientoAporte="Con IPC",F378,1)</f>
        <v>0</v>
      </c>
      <c r="M379" s="24">
        <f>IF(TModelo[[#This Row],[Period]]=HorizonteMeses,TModelo[[#This Row],[TotalPreLiq]],0)</f>
        <v>0</v>
      </c>
      <c r="N379" s="24">
        <f>TModelo[[#This Row],[Inflow]]-TModelo[[#This Row],[Outflow]]</f>
        <v>0</v>
      </c>
      <c r="O379" s="24">
        <f t="shared" si="5"/>
        <v>0</v>
      </c>
      <c r="P379" s="24">
        <f>TModelo[[#This Row],[IntCDT]]+TModelo[[#This Row],[IntCOLCAP]]+TModelo[[#This Row],[IntUSD]]</f>
        <v>0</v>
      </c>
      <c r="Q379" s="24">
        <f>TModelo[[#This Row],[InitialBalance]]+TModelo[[#This Row],[Interest]]+TModelo[[#This Row],[Outflow]]-TModelo[[#This Row],[Inflow]]</f>
        <v>0</v>
      </c>
      <c r="R379" s="24">
        <f>TModelo[[#This Row],[Act]]*IF(TModelo[[#This Row],[Rebal]]=1,PesoCDT*(X378+Y378+Z378),X378)</f>
        <v>0</v>
      </c>
      <c r="S379" s="24">
        <f>TModelo[[#This Row],[Act]]*IF(TModelo[[#This Row],[Rebal]]=1,PesoCOLCAP*(X378+Y378+Z378),Y378)</f>
        <v>0</v>
      </c>
      <c r="T379" s="24">
        <f>TModelo[[#This Row],[Act]]*IF(TModelo[[#This Row],[Rebal]]=1,PesoUSD*(X378+Y378+Z378),Z378)</f>
        <v>0</v>
      </c>
      <c r="U379" s="24">
        <f>TModelo[[#This Row],[IniCDT]]*TModelo[[#This Row],[RetCDT]]</f>
        <v>0</v>
      </c>
      <c r="V379" s="24">
        <f>TModelo[[#This Row],[IniCOLCAP]]*TModelo[[#This Row],[RetCOLCAP]]</f>
        <v>0</v>
      </c>
      <c r="W379" s="24">
        <f>TModelo[[#This Row],[IniUSD]]*TModelo[[#This Row],[RetUSD]]</f>
        <v>0</v>
      </c>
      <c r="X379" s="24">
        <f>TModelo[[#This Row],[Act]]*(TModelo[[#This Row],[IniCDT]]+TModelo[[#This Row],[IntCDT]]+PesoCDT*TModelo[[#This Row],[Outflow]])</f>
        <v>0</v>
      </c>
      <c r="Y379" s="24">
        <f>TModelo[[#This Row],[Act]]*(TModelo[[#This Row],[IniCOLCAP]]+TModelo[[#This Row],[IntCOLCAP]]+PesoCOLCAP*TModelo[[#This Row],[Outflow]])</f>
        <v>0</v>
      </c>
      <c r="Z379" s="24">
        <f>TModelo[[#This Row],[Act]]*(TModelo[[#This Row],[IniUSD]]+TModelo[[#This Row],[IntUSD]]+PesoUSD*TModelo[[#This Row],[Outflow]])</f>
        <v>0</v>
      </c>
      <c r="AA379" s="24">
        <f>TModelo[[#This Row],[BalCDT]]+TModelo[[#This Row],[BalCOLCAP]]+TModelo[[#This Row],[BalUSD]]</f>
        <v>0</v>
      </c>
      <c r="AB379" s="24">
        <f>IF(TModelo[[#This Row],[CumInfl]]&gt;0,TModelo[[#This Row],[TotalPreLiq]]/TModelo[[#This Row],[CumInfl]],0)</f>
        <v>0</v>
      </c>
      <c r="AC379" s="41">
        <f>(1+PerRate)^(-TModelo[[#This Row],[Period]])</f>
        <v>6.4374707834936526E-2</v>
      </c>
      <c r="AD379" s="42">
        <f>TModelo[[#This Row],[NetCF]]*TModelo[[#This Row],[fd]]</f>
        <v>0</v>
      </c>
    </row>
    <row r="380" spans="2:30" ht="16.95" customHeight="1">
      <c r="B380" s="11">
        <v>353</v>
      </c>
      <c r="C380" s="25">
        <f>EDATE(FechaInicio,TModelo[[#This Row],[Period]])</f>
        <v>57039</v>
      </c>
      <c r="D380" s="11">
        <f>IF(AND(TModelo[[#This Row],[Period]]&gt;=1,TModelo[[#This Row],[Period]]&lt;=HorizonteMeses),1,0)</f>
        <v>0</v>
      </c>
      <c r="E380" s="40">
        <f>TModelo[[#This Row],[Act]]*(INFb+(INFpi0-INFb)*(1-INFa)^TModelo[[#This Row],[Period]])</f>
        <v>0</v>
      </c>
      <c r="F380" s="28">
        <f>IF(TModelo[[#This Row],[Period]]&lt;=HorizonteMeses,F379*(1+TModelo[[#This Row],[InflMes]]),0)</f>
        <v>0</v>
      </c>
      <c r="G380" s="21">
        <f>TModelo[[#This Row],[Act]]*(CDTb+(CDTx0-CDTb)*(1-CDTa)^TModelo[[#This Row],[Period]]+CDTspread)</f>
        <v>0</v>
      </c>
      <c r="H380" s="40">
        <f>TModelo[[#This Row],[Act]]*((1+TModelo[[#This Row],[TasaCDT]])^(1/12)-1)*(1-Retencion)</f>
        <v>0</v>
      </c>
      <c r="I380" s="40">
        <f>TModelo[[#This Row],[Act]]*(EXP(MuCOLCAP+SigmaCOLCAP^2/2)-1)</f>
        <v>0</v>
      </c>
      <c r="J380" s="40">
        <f>TModelo[[#This Row],[Act]]*(EXP(MuTRM+SigmaTRM^2/2)-1)</f>
        <v>0</v>
      </c>
      <c r="K380" s="11">
        <f>TModelo[[#This Row],[Act]]*IF(Rebalanceo="Mensual",1,IF(Rebalanceo="Anual",IF(MOD(TModelo[[#This Row],[Period]]-1,12)=0,1,0),0))</f>
        <v>0</v>
      </c>
      <c r="L380" s="24">
        <f>TModelo[[#This Row],[Act]]*AporteMensual*IF(CrecimientoAporte="Con IPC",F379,1)</f>
        <v>0</v>
      </c>
      <c r="M380" s="24">
        <f>IF(TModelo[[#This Row],[Period]]=HorizonteMeses,TModelo[[#This Row],[TotalPreLiq]],0)</f>
        <v>0</v>
      </c>
      <c r="N380" s="24">
        <f>TModelo[[#This Row],[Inflow]]-TModelo[[#This Row],[Outflow]]</f>
        <v>0</v>
      </c>
      <c r="O380" s="24">
        <f t="shared" si="5"/>
        <v>0</v>
      </c>
      <c r="P380" s="24">
        <f>TModelo[[#This Row],[IntCDT]]+TModelo[[#This Row],[IntCOLCAP]]+TModelo[[#This Row],[IntUSD]]</f>
        <v>0</v>
      </c>
      <c r="Q380" s="24">
        <f>TModelo[[#This Row],[InitialBalance]]+TModelo[[#This Row],[Interest]]+TModelo[[#This Row],[Outflow]]-TModelo[[#This Row],[Inflow]]</f>
        <v>0</v>
      </c>
      <c r="R380" s="24">
        <f>TModelo[[#This Row],[Act]]*IF(TModelo[[#This Row],[Rebal]]=1,PesoCDT*(X379+Y379+Z379),X379)</f>
        <v>0</v>
      </c>
      <c r="S380" s="24">
        <f>TModelo[[#This Row],[Act]]*IF(TModelo[[#This Row],[Rebal]]=1,PesoCOLCAP*(X379+Y379+Z379),Y379)</f>
        <v>0</v>
      </c>
      <c r="T380" s="24">
        <f>TModelo[[#This Row],[Act]]*IF(TModelo[[#This Row],[Rebal]]=1,PesoUSD*(X379+Y379+Z379),Z379)</f>
        <v>0</v>
      </c>
      <c r="U380" s="24">
        <f>TModelo[[#This Row],[IniCDT]]*TModelo[[#This Row],[RetCDT]]</f>
        <v>0</v>
      </c>
      <c r="V380" s="24">
        <f>TModelo[[#This Row],[IniCOLCAP]]*TModelo[[#This Row],[RetCOLCAP]]</f>
        <v>0</v>
      </c>
      <c r="W380" s="24">
        <f>TModelo[[#This Row],[IniUSD]]*TModelo[[#This Row],[RetUSD]]</f>
        <v>0</v>
      </c>
      <c r="X380" s="24">
        <f>TModelo[[#This Row],[Act]]*(TModelo[[#This Row],[IniCDT]]+TModelo[[#This Row],[IntCDT]]+PesoCDT*TModelo[[#This Row],[Outflow]])</f>
        <v>0</v>
      </c>
      <c r="Y380" s="24">
        <f>TModelo[[#This Row],[Act]]*(TModelo[[#This Row],[IniCOLCAP]]+TModelo[[#This Row],[IntCOLCAP]]+PesoCOLCAP*TModelo[[#This Row],[Outflow]])</f>
        <v>0</v>
      </c>
      <c r="Z380" s="24">
        <f>TModelo[[#This Row],[Act]]*(TModelo[[#This Row],[IniUSD]]+TModelo[[#This Row],[IntUSD]]+PesoUSD*TModelo[[#This Row],[Outflow]])</f>
        <v>0</v>
      </c>
      <c r="AA380" s="24">
        <f>TModelo[[#This Row],[BalCDT]]+TModelo[[#This Row],[BalCOLCAP]]+TModelo[[#This Row],[BalUSD]]</f>
        <v>0</v>
      </c>
      <c r="AB380" s="24">
        <f>IF(TModelo[[#This Row],[CumInfl]]&gt;0,TModelo[[#This Row],[TotalPreLiq]]/TModelo[[#This Row],[CumInfl]],0)</f>
        <v>0</v>
      </c>
      <c r="AC380" s="41">
        <f>(1+PerRate)^(-TModelo[[#This Row],[Period]])</f>
        <v>6.3875003860189586E-2</v>
      </c>
      <c r="AD380" s="42">
        <f>TModelo[[#This Row],[NetCF]]*TModelo[[#This Row],[fd]]</f>
        <v>0</v>
      </c>
    </row>
    <row r="381" spans="2:30" ht="16.95" customHeight="1">
      <c r="B381" s="11">
        <v>354</v>
      </c>
      <c r="C381" s="25">
        <f>EDATE(FechaInicio,TModelo[[#This Row],[Period]])</f>
        <v>57068</v>
      </c>
      <c r="D381" s="11">
        <f>IF(AND(TModelo[[#This Row],[Period]]&gt;=1,TModelo[[#This Row],[Period]]&lt;=HorizonteMeses),1,0)</f>
        <v>0</v>
      </c>
      <c r="E381" s="40">
        <f>TModelo[[#This Row],[Act]]*(INFb+(INFpi0-INFb)*(1-INFa)^TModelo[[#This Row],[Period]])</f>
        <v>0</v>
      </c>
      <c r="F381" s="28">
        <f>IF(TModelo[[#This Row],[Period]]&lt;=HorizonteMeses,F380*(1+TModelo[[#This Row],[InflMes]]),0)</f>
        <v>0</v>
      </c>
      <c r="G381" s="21">
        <f>TModelo[[#This Row],[Act]]*(CDTb+(CDTx0-CDTb)*(1-CDTa)^TModelo[[#This Row],[Period]]+CDTspread)</f>
        <v>0</v>
      </c>
      <c r="H381" s="40">
        <f>TModelo[[#This Row],[Act]]*((1+TModelo[[#This Row],[TasaCDT]])^(1/12)-1)*(1-Retencion)</f>
        <v>0</v>
      </c>
      <c r="I381" s="40">
        <f>TModelo[[#This Row],[Act]]*(EXP(MuCOLCAP+SigmaCOLCAP^2/2)-1)</f>
        <v>0</v>
      </c>
      <c r="J381" s="40">
        <f>TModelo[[#This Row],[Act]]*(EXP(MuTRM+SigmaTRM^2/2)-1)</f>
        <v>0</v>
      </c>
      <c r="K381" s="11">
        <f>TModelo[[#This Row],[Act]]*IF(Rebalanceo="Mensual",1,IF(Rebalanceo="Anual",IF(MOD(TModelo[[#This Row],[Period]]-1,12)=0,1,0),0))</f>
        <v>0</v>
      </c>
      <c r="L381" s="24">
        <f>TModelo[[#This Row],[Act]]*AporteMensual*IF(CrecimientoAporte="Con IPC",F380,1)</f>
        <v>0</v>
      </c>
      <c r="M381" s="24">
        <f>IF(TModelo[[#This Row],[Period]]=HorizonteMeses,TModelo[[#This Row],[TotalPreLiq]],0)</f>
        <v>0</v>
      </c>
      <c r="N381" s="24">
        <f>TModelo[[#This Row],[Inflow]]-TModelo[[#This Row],[Outflow]]</f>
        <v>0</v>
      </c>
      <c r="O381" s="24">
        <f t="shared" si="5"/>
        <v>0</v>
      </c>
      <c r="P381" s="24">
        <f>TModelo[[#This Row],[IntCDT]]+TModelo[[#This Row],[IntCOLCAP]]+TModelo[[#This Row],[IntUSD]]</f>
        <v>0</v>
      </c>
      <c r="Q381" s="24">
        <f>TModelo[[#This Row],[InitialBalance]]+TModelo[[#This Row],[Interest]]+TModelo[[#This Row],[Outflow]]-TModelo[[#This Row],[Inflow]]</f>
        <v>0</v>
      </c>
      <c r="R381" s="24">
        <f>TModelo[[#This Row],[Act]]*IF(TModelo[[#This Row],[Rebal]]=1,PesoCDT*(X380+Y380+Z380),X380)</f>
        <v>0</v>
      </c>
      <c r="S381" s="24">
        <f>TModelo[[#This Row],[Act]]*IF(TModelo[[#This Row],[Rebal]]=1,PesoCOLCAP*(X380+Y380+Z380),Y380)</f>
        <v>0</v>
      </c>
      <c r="T381" s="24">
        <f>TModelo[[#This Row],[Act]]*IF(TModelo[[#This Row],[Rebal]]=1,PesoUSD*(X380+Y380+Z380),Z380)</f>
        <v>0</v>
      </c>
      <c r="U381" s="24">
        <f>TModelo[[#This Row],[IniCDT]]*TModelo[[#This Row],[RetCDT]]</f>
        <v>0</v>
      </c>
      <c r="V381" s="24">
        <f>TModelo[[#This Row],[IniCOLCAP]]*TModelo[[#This Row],[RetCOLCAP]]</f>
        <v>0</v>
      </c>
      <c r="W381" s="24">
        <f>TModelo[[#This Row],[IniUSD]]*TModelo[[#This Row],[RetUSD]]</f>
        <v>0</v>
      </c>
      <c r="X381" s="24">
        <f>TModelo[[#This Row],[Act]]*(TModelo[[#This Row],[IniCDT]]+TModelo[[#This Row],[IntCDT]]+PesoCDT*TModelo[[#This Row],[Outflow]])</f>
        <v>0</v>
      </c>
      <c r="Y381" s="24">
        <f>TModelo[[#This Row],[Act]]*(TModelo[[#This Row],[IniCOLCAP]]+TModelo[[#This Row],[IntCOLCAP]]+PesoCOLCAP*TModelo[[#This Row],[Outflow]])</f>
        <v>0</v>
      </c>
      <c r="Z381" s="24">
        <f>TModelo[[#This Row],[Act]]*(TModelo[[#This Row],[IniUSD]]+TModelo[[#This Row],[IntUSD]]+PesoUSD*TModelo[[#This Row],[Outflow]])</f>
        <v>0</v>
      </c>
      <c r="AA381" s="24">
        <f>TModelo[[#This Row],[BalCDT]]+TModelo[[#This Row],[BalCOLCAP]]+TModelo[[#This Row],[BalUSD]]</f>
        <v>0</v>
      </c>
      <c r="AB381" s="24">
        <f>IF(TModelo[[#This Row],[CumInfl]]&gt;0,TModelo[[#This Row],[TotalPreLiq]]/TModelo[[#This Row],[CumInfl]],0)</f>
        <v>0</v>
      </c>
      <c r="AC381" s="41">
        <f>(1+PerRate)^(-TModelo[[#This Row],[Period]])</f>
        <v>6.3379178801103414E-2</v>
      </c>
      <c r="AD381" s="42">
        <f>TModelo[[#This Row],[NetCF]]*TModelo[[#This Row],[fd]]</f>
        <v>0</v>
      </c>
    </row>
    <row r="382" spans="2:30" ht="16.95" customHeight="1">
      <c r="B382" s="11">
        <v>355</v>
      </c>
      <c r="C382" s="25">
        <f>EDATE(FechaInicio,TModelo[[#This Row],[Period]])</f>
        <v>57099</v>
      </c>
      <c r="D382" s="11">
        <f>IF(AND(TModelo[[#This Row],[Period]]&gt;=1,TModelo[[#This Row],[Period]]&lt;=HorizonteMeses),1,0)</f>
        <v>0</v>
      </c>
      <c r="E382" s="40">
        <f>TModelo[[#This Row],[Act]]*(INFb+(INFpi0-INFb)*(1-INFa)^TModelo[[#This Row],[Period]])</f>
        <v>0</v>
      </c>
      <c r="F382" s="28">
        <f>IF(TModelo[[#This Row],[Period]]&lt;=HorizonteMeses,F381*(1+TModelo[[#This Row],[InflMes]]),0)</f>
        <v>0</v>
      </c>
      <c r="G382" s="21">
        <f>TModelo[[#This Row],[Act]]*(CDTb+(CDTx0-CDTb)*(1-CDTa)^TModelo[[#This Row],[Period]]+CDTspread)</f>
        <v>0</v>
      </c>
      <c r="H382" s="40">
        <f>TModelo[[#This Row],[Act]]*((1+TModelo[[#This Row],[TasaCDT]])^(1/12)-1)*(1-Retencion)</f>
        <v>0</v>
      </c>
      <c r="I382" s="40">
        <f>TModelo[[#This Row],[Act]]*(EXP(MuCOLCAP+SigmaCOLCAP^2/2)-1)</f>
        <v>0</v>
      </c>
      <c r="J382" s="40">
        <f>TModelo[[#This Row],[Act]]*(EXP(MuTRM+SigmaTRM^2/2)-1)</f>
        <v>0</v>
      </c>
      <c r="K382" s="11">
        <f>TModelo[[#This Row],[Act]]*IF(Rebalanceo="Mensual",1,IF(Rebalanceo="Anual",IF(MOD(TModelo[[#This Row],[Period]]-1,12)=0,1,0),0))</f>
        <v>0</v>
      </c>
      <c r="L382" s="24">
        <f>TModelo[[#This Row],[Act]]*AporteMensual*IF(CrecimientoAporte="Con IPC",F381,1)</f>
        <v>0</v>
      </c>
      <c r="M382" s="24">
        <f>IF(TModelo[[#This Row],[Period]]=HorizonteMeses,TModelo[[#This Row],[TotalPreLiq]],0)</f>
        <v>0</v>
      </c>
      <c r="N382" s="24">
        <f>TModelo[[#This Row],[Inflow]]-TModelo[[#This Row],[Outflow]]</f>
        <v>0</v>
      </c>
      <c r="O382" s="24">
        <f t="shared" si="5"/>
        <v>0</v>
      </c>
      <c r="P382" s="24">
        <f>TModelo[[#This Row],[IntCDT]]+TModelo[[#This Row],[IntCOLCAP]]+TModelo[[#This Row],[IntUSD]]</f>
        <v>0</v>
      </c>
      <c r="Q382" s="24">
        <f>TModelo[[#This Row],[InitialBalance]]+TModelo[[#This Row],[Interest]]+TModelo[[#This Row],[Outflow]]-TModelo[[#This Row],[Inflow]]</f>
        <v>0</v>
      </c>
      <c r="R382" s="24">
        <f>TModelo[[#This Row],[Act]]*IF(TModelo[[#This Row],[Rebal]]=1,PesoCDT*(X381+Y381+Z381),X381)</f>
        <v>0</v>
      </c>
      <c r="S382" s="24">
        <f>TModelo[[#This Row],[Act]]*IF(TModelo[[#This Row],[Rebal]]=1,PesoCOLCAP*(X381+Y381+Z381),Y381)</f>
        <v>0</v>
      </c>
      <c r="T382" s="24">
        <f>TModelo[[#This Row],[Act]]*IF(TModelo[[#This Row],[Rebal]]=1,PesoUSD*(X381+Y381+Z381),Z381)</f>
        <v>0</v>
      </c>
      <c r="U382" s="24">
        <f>TModelo[[#This Row],[IniCDT]]*TModelo[[#This Row],[RetCDT]]</f>
        <v>0</v>
      </c>
      <c r="V382" s="24">
        <f>TModelo[[#This Row],[IniCOLCAP]]*TModelo[[#This Row],[RetCOLCAP]]</f>
        <v>0</v>
      </c>
      <c r="W382" s="24">
        <f>TModelo[[#This Row],[IniUSD]]*TModelo[[#This Row],[RetUSD]]</f>
        <v>0</v>
      </c>
      <c r="X382" s="24">
        <f>TModelo[[#This Row],[Act]]*(TModelo[[#This Row],[IniCDT]]+TModelo[[#This Row],[IntCDT]]+PesoCDT*TModelo[[#This Row],[Outflow]])</f>
        <v>0</v>
      </c>
      <c r="Y382" s="24">
        <f>TModelo[[#This Row],[Act]]*(TModelo[[#This Row],[IniCOLCAP]]+TModelo[[#This Row],[IntCOLCAP]]+PesoCOLCAP*TModelo[[#This Row],[Outflow]])</f>
        <v>0</v>
      </c>
      <c r="Z382" s="24">
        <f>TModelo[[#This Row],[Act]]*(TModelo[[#This Row],[IniUSD]]+TModelo[[#This Row],[IntUSD]]+PesoUSD*TModelo[[#This Row],[Outflow]])</f>
        <v>0</v>
      </c>
      <c r="AA382" s="24">
        <f>TModelo[[#This Row],[BalCDT]]+TModelo[[#This Row],[BalCOLCAP]]+TModelo[[#This Row],[BalUSD]]</f>
        <v>0</v>
      </c>
      <c r="AB382" s="24">
        <f>IF(TModelo[[#This Row],[CumInfl]]&gt;0,TModelo[[#This Row],[TotalPreLiq]]/TModelo[[#This Row],[CumInfl]],0)</f>
        <v>0</v>
      </c>
      <c r="AC382" s="41">
        <f>(1+PerRate)^(-TModelo[[#This Row],[Period]])</f>
        <v>6.2887202547878052E-2</v>
      </c>
      <c r="AD382" s="42">
        <f>TModelo[[#This Row],[NetCF]]*TModelo[[#This Row],[fd]]</f>
        <v>0</v>
      </c>
    </row>
    <row r="383" spans="2:30" ht="16.95" customHeight="1">
      <c r="B383" s="11">
        <v>356</v>
      </c>
      <c r="C383" s="25">
        <f>EDATE(FechaInicio,TModelo[[#This Row],[Period]])</f>
        <v>57129</v>
      </c>
      <c r="D383" s="11">
        <f>IF(AND(TModelo[[#This Row],[Period]]&gt;=1,TModelo[[#This Row],[Period]]&lt;=HorizonteMeses),1,0)</f>
        <v>0</v>
      </c>
      <c r="E383" s="40">
        <f>TModelo[[#This Row],[Act]]*(INFb+(INFpi0-INFb)*(1-INFa)^TModelo[[#This Row],[Period]])</f>
        <v>0</v>
      </c>
      <c r="F383" s="28">
        <f>IF(TModelo[[#This Row],[Period]]&lt;=HorizonteMeses,F382*(1+TModelo[[#This Row],[InflMes]]),0)</f>
        <v>0</v>
      </c>
      <c r="G383" s="21">
        <f>TModelo[[#This Row],[Act]]*(CDTb+(CDTx0-CDTb)*(1-CDTa)^TModelo[[#This Row],[Period]]+CDTspread)</f>
        <v>0</v>
      </c>
      <c r="H383" s="40">
        <f>TModelo[[#This Row],[Act]]*((1+TModelo[[#This Row],[TasaCDT]])^(1/12)-1)*(1-Retencion)</f>
        <v>0</v>
      </c>
      <c r="I383" s="40">
        <f>TModelo[[#This Row],[Act]]*(EXP(MuCOLCAP+SigmaCOLCAP^2/2)-1)</f>
        <v>0</v>
      </c>
      <c r="J383" s="40">
        <f>TModelo[[#This Row],[Act]]*(EXP(MuTRM+SigmaTRM^2/2)-1)</f>
        <v>0</v>
      </c>
      <c r="K383" s="11">
        <f>TModelo[[#This Row],[Act]]*IF(Rebalanceo="Mensual",1,IF(Rebalanceo="Anual",IF(MOD(TModelo[[#This Row],[Period]]-1,12)=0,1,0),0))</f>
        <v>0</v>
      </c>
      <c r="L383" s="24">
        <f>TModelo[[#This Row],[Act]]*AporteMensual*IF(CrecimientoAporte="Con IPC",F382,1)</f>
        <v>0</v>
      </c>
      <c r="M383" s="24">
        <f>IF(TModelo[[#This Row],[Period]]=HorizonteMeses,TModelo[[#This Row],[TotalPreLiq]],0)</f>
        <v>0</v>
      </c>
      <c r="N383" s="24">
        <f>TModelo[[#This Row],[Inflow]]-TModelo[[#This Row],[Outflow]]</f>
        <v>0</v>
      </c>
      <c r="O383" s="24">
        <f t="shared" si="5"/>
        <v>0</v>
      </c>
      <c r="P383" s="24">
        <f>TModelo[[#This Row],[IntCDT]]+TModelo[[#This Row],[IntCOLCAP]]+TModelo[[#This Row],[IntUSD]]</f>
        <v>0</v>
      </c>
      <c r="Q383" s="24">
        <f>TModelo[[#This Row],[InitialBalance]]+TModelo[[#This Row],[Interest]]+TModelo[[#This Row],[Outflow]]-TModelo[[#This Row],[Inflow]]</f>
        <v>0</v>
      </c>
      <c r="R383" s="24">
        <f>TModelo[[#This Row],[Act]]*IF(TModelo[[#This Row],[Rebal]]=1,PesoCDT*(X382+Y382+Z382),X382)</f>
        <v>0</v>
      </c>
      <c r="S383" s="24">
        <f>TModelo[[#This Row],[Act]]*IF(TModelo[[#This Row],[Rebal]]=1,PesoCOLCAP*(X382+Y382+Z382),Y382)</f>
        <v>0</v>
      </c>
      <c r="T383" s="24">
        <f>TModelo[[#This Row],[Act]]*IF(TModelo[[#This Row],[Rebal]]=1,PesoUSD*(X382+Y382+Z382),Z382)</f>
        <v>0</v>
      </c>
      <c r="U383" s="24">
        <f>TModelo[[#This Row],[IniCDT]]*TModelo[[#This Row],[RetCDT]]</f>
        <v>0</v>
      </c>
      <c r="V383" s="24">
        <f>TModelo[[#This Row],[IniCOLCAP]]*TModelo[[#This Row],[RetCOLCAP]]</f>
        <v>0</v>
      </c>
      <c r="W383" s="24">
        <f>TModelo[[#This Row],[IniUSD]]*TModelo[[#This Row],[RetUSD]]</f>
        <v>0</v>
      </c>
      <c r="X383" s="24">
        <f>TModelo[[#This Row],[Act]]*(TModelo[[#This Row],[IniCDT]]+TModelo[[#This Row],[IntCDT]]+PesoCDT*TModelo[[#This Row],[Outflow]])</f>
        <v>0</v>
      </c>
      <c r="Y383" s="24">
        <f>TModelo[[#This Row],[Act]]*(TModelo[[#This Row],[IniCOLCAP]]+TModelo[[#This Row],[IntCOLCAP]]+PesoCOLCAP*TModelo[[#This Row],[Outflow]])</f>
        <v>0</v>
      </c>
      <c r="Z383" s="24">
        <f>TModelo[[#This Row],[Act]]*(TModelo[[#This Row],[IniUSD]]+TModelo[[#This Row],[IntUSD]]+PesoUSD*TModelo[[#This Row],[Outflow]])</f>
        <v>0</v>
      </c>
      <c r="AA383" s="24">
        <f>TModelo[[#This Row],[BalCDT]]+TModelo[[#This Row],[BalCOLCAP]]+TModelo[[#This Row],[BalUSD]]</f>
        <v>0</v>
      </c>
      <c r="AB383" s="24">
        <f>IF(TModelo[[#This Row],[CumInfl]]&gt;0,TModelo[[#This Row],[TotalPreLiq]]/TModelo[[#This Row],[CumInfl]],0)</f>
        <v>0</v>
      </c>
      <c r="AC383" s="41">
        <f>(1+PerRate)^(-TModelo[[#This Row],[Period]])</f>
        <v>6.2399045224438746E-2</v>
      </c>
      <c r="AD383" s="42">
        <f>TModelo[[#This Row],[NetCF]]*TModelo[[#This Row],[fd]]</f>
        <v>0</v>
      </c>
    </row>
    <row r="384" spans="2:30" ht="16.95" customHeight="1">
      <c r="B384" s="11">
        <v>357</v>
      </c>
      <c r="C384" s="25">
        <f>EDATE(FechaInicio,TModelo[[#This Row],[Period]])</f>
        <v>57160</v>
      </c>
      <c r="D384" s="11">
        <f>IF(AND(TModelo[[#This Row],[Period]]&gt;=1,TModelo[[#This Row],[Period]]&lt;=HorizonteMeses),1,0)</f>
        <v>0</v>
      </c>
      <c r="E384" s="40">
        <f>TModelo[[#This Row],[Act]]*(INFb+(INFpi0-INFb)*(1-INFa)^TModelo[[#This Row],[Period]])</f>
        <v>0</v>
      </c>
      <c r="F384" s="28">
        <f>IF(TModelo[[#This Row],[Period]]&lt;=HorizonteMeses,F383*(1+TModelo[[#This Row],[InflMes]]),0)</f>
        <v>0</v>
      </c>
      <c r="G384" s="21">
        <f>TModelo[[#This Row],[Act]]*(CDTb+(CDTx0-CDTb)*(1-CDTa)^TModelo[[#This Row],[Period]]+CDTspread)</f>
        <v>0</v>
      </c>
      <c r="H384" s="40">
        <f>TModelo[[#This Row],[Act]]*((1+TModelo[[#This Row],[TasaCDT]])^(1/12)-1)*(1-Retencion)</f>
        <v>0</v>
      </c>
      <c r="I384" s="40">
        <f>TModelo[[#This Row],[Act]]*(EXP(MuCOLCAP+SigmaCOLCAP^2/2)-1)</f>
        <v>0</v>
      </c>
      <c r="J384" s="40">
        <f>TModelo[[#This Row],[Act]]*(EXP(MuTRM+SigmaTRM^2/2)-1)</f>
        <v>0</v>
      </c>
      <c r="K384" s="11">
        <f>TModelo[[#This Row],[Act]]*IF(Rebalanceo="Mensual",1,IF(Rebalanceo="Anual",IF(MOD(TModelo[[#This Row],[Period]]-1,12)=0,1,0),0))</f>
        <v>0</v>
      </c>
      <c r="L384" s="24">
        <f>TModelo[[#This Row],[Act]]*AporteMensual*IF(CrecimientoAporte="Con IPC",F383,1)</f>
        <v>0</v>
      </c>
      <c r="M384" s="24">
        <f>IF(TModelo[[#This Row],[Period]]=HorizonteMeses,TModelo[[#This Row],[TotalPreLiq]],0)</f>
        <v>0</v>
      </c>
      <c r="N384" s="24">
        <f>TModelo[[#This Row],[Inflow]]-TModelo[[#This Row],[Outflow]]</f>
        <v>0</v>
      </c>
      <c r="O384" s="24">
        <f t="shared" si="5"/>
        <v>0</v>
      </c>
      <c r="P384" s="24">
        <f>TModelo[[#This Row],[IntCDT]]+TModelo[[#This Row],[IntCOLCAP]]+TModelo[[#This Row],[IntUSD]]</f>
        <v>0</v>
      </c>
      <c r="Q384" s="24">
        <f>TModelo[[#This Row],[InitialBalance]]+TModelo[[#This Row],[Interest]]+TModelo[[#This Row],[Outflow]]-TModelo[[#This Row],[Inflow]]</f>
        <v>0</v>
      </c>
      <c r="R384" s="24">
        <f>TModelo[[#This Row],[Act]]*IF(TModelo[[#This Row],[Rebal]]=1,PesoCDT*(X383+Y383+Z383),X383)</f>
        <v>0</v>
      </c>
      <c r="S384" s="24">
        <f>TModelo[[#This Row],[Act]]*IF(TModelo[[#This Row],[Rebal]]=1,PesoCOLCAP*(X383+Y383+Z383),Y383)</f>
        <v>0</v>
      </c>
      <c r="T384" s="24">
        <f>TModelo[[#This Row],[Act]]*IF(TModelo[[#This Row],[Rebal]]=1,PesoUSD*(X383+Y383+Z383),Z383)</f>
        <v>0</v>
      </c>
      <c r="U384" s="24">
        <f>TModelo[[#This Row],[IniCDT]]*TModelo[[#This Row],[RetCDT]]</f>
        <v>0</v>
      </c>
      <c r="V384" s="24">
        <f>TModelo[[#This Row],[IniCOLCAP]]*TModelo[[#This Row],[RetCOLCAP]]</f>
        <v>0</v>
      </c>
      <c r="W384" s="24">
        <f>TModelo[[#This Row],[IniUSD]]*TModelo[[#This Row],[RetUSD]]</f>
        <v>0</v>
      </c>
      <c r="X384" s="24">
        <f>TModelo[[#This Row],[Act]]*(TModelo[[#This Row],[IniCDT]]+TModelo[[#This Row],[IntCDT]]+PesoCDT*TModelo[[#This Row],[Outflow]])</f>
        <v>0</v>
      </c>
      <c r="Y384" s="24">
        <f>TModelo[[#This Row],[Act]]*(TModelo[[#This Row],[IniCOLCAP]]+TModelo[[#This Row],[IntCOLCAP]]+PesoCOLCAP*TModelo[[#This Row],[Outflow]])</f>
        <v>0</v>
      </c>
      <c r="Z384" s="24">
        <f>TModelo[[#This Row],[Act]]*(TModelo[[#This Row],[IniUSD]]+TModelo[[#This Row],[IntUSD]]+PesoUSD*TModelo[[#This Row],[Outflow]])</f>
        <v>0</v>
      </c>
      <c r="AA384" s="24">
        <f>TModelo[[#This Row],[BalCDT]]+TModelo[[#This Row],[BalCOLCAP]]+TModelo[[#This Row],[BalUSD]]</f>
        <v>0</v>
      </c>
      <c r="AB384" s="24">
        <f>IF(TModelo[[#This Row],[CumInfl]]&gt;0,TModelo[[#This Row],[TotalPreLiq]]/TModelo[[#This Row],[CumInfl]],0)</f>
        <v>0</v>
      </c>
      <c r="AC384" s="41">
        <f>(1+PerRate)^(-TModelo[[#This Row],[Period]])</f>
        <v>6.1914677186621504E-2</v>
      </c>
      <c r="AD384" s="42">
        <f>TModelo[[#This Row],[NetCF]]*TModelo[[#This Row],[fd]]</f>
        <v>0</v>
      </c>
    </row>
    <row r="385" spans="2:30" ht="16.95" customHeight="1">
      <c r="B385" s="11">
        <v>358</v>
      </c>
      <c r="C385" s="25">
        <f>EDATE(FechaInicio,TModelo[[#This Row],[Period]])</f>
        <v>57190</v>
      </c>
      <c r="D385" s="11">
        <f>IF(AND(TModelo[[#This Row],[Period]]&gt;=1,TModelo[[#This Row],[Period]]&lt;=HorizonteMeses),1,0)</f>
        <v>0</v>
      </c>
      <c r="E385" s="40">
        <f>TModelo[[#This Row],[Act]]*(INFb+(INFpi0-INFb)*(1-INFa)^TModelo[[#This Row],[Period]])</f>
        <v>0</v>
      </c>
      <c r="F385" s="28">
        <f>IF(TModelo[[#This Row],[Period]]&lt;=HorizonteMeses,F384*(1+TModelo[[#This Row],[InflMes]]),0)</f>
        <v>0</v>
      </c>
      <c r="G385" s="21">
        <f>TModelo[[#This Row],[Act]]*(CDTb+(CDTx0-CDTb)*(1-CDTa)^TModelo[[#This Row],[Period]]+CDTspread)</f>
        <v>0</v>
      </c>
      <c r="H385" s="40">
        <f>TModelo[[#This Row],[Act]]*((1+TModelo[[#This Row],[TasaCDT]])^(1/12)-1)*(1-Retencion)</f>
        <v>0</v>
      </c>
      <c r="I385" s="40">
        <f>TModelo[[#This Row],[Act]]*(EXP(MuCOLCAP+SigmaCOLCAP^2/2)-1)</f>
        <v>0</v>
      </c>
      <c r="J385" s="40">
        <f>TModelo[[#This Row],[Act]]*(EXP(MuTRM+SigmaTRM^2/2)-1)</f>
        <v>0</v>
      </c>
      <c r="K385" s="11">
        <f>TModelo[[#This Row],[Act]]*IF(Rebalanceo="Mensual",1,IF(Rebalanceo="Anual",IF(MOD(TModelo[[#This Row],[Period]]-1,12)=0,1,0),0))</f>
        <v>0</v>
      </c>
      <c r="L385" s="24">
        <f>TModelo[[#This Row],[Act]]*AporteMensual*IF(CrecimientoAporte="Con IPC",F384,1)</f>
        <v>0</v>
      </c>
      <c r="M385" s="24">
        <f>IF(TModelo[[#This Row],[Period]]=HorizonteMeses,TModelo[[#This Row],[TotalPreLiq]],0)</f>
        <v>0</v>
      </c>
      <c r="N385" s="24">
        <f>TModelo[[#This Row],[Inflow]]-TModelo[[#This Row],[Outflow]]</f>
        <v>0</v>
      </c>
      <c r="O385" s="24">
        <f t="shared" si="5"/>
        <v>0</v>
      </c>
      <c r="P385" s="24">
        <f>TModelo[[#This Row],[IntCDT]]+TModelo[[#This Row],[IntCOLCAP]]+TModelo[[#This Row],[IntUSD]]</f>
        <v>0</v>
      </c>
      <c r="Q385" s="24">
        <f>TModelo[[#This Row],[InitialBalance]]+TModelo[[#This Row],[Interest]]+TModelo[[#This Row],[Outflow]]-TModelo[[#This Row],[Inflow]]</f>
        <v>0</v>
      </c>
      <c r="R385" s="24">
        <f>TModelo[[#This Row],[Act]]*IF(TModelo[[#This Row],[Rebal]]=1,PesoCDT*(X384+Y384+Z384),X384)</f>
        <v>0</v>
      </c>
      <c r="S385" s="24">
        <f>TModelo[[#This Row],[Act]]*IF(TModelo[[#This Row],[Rebal]]=1,PesoCOLCAP*(X384+Y384+Z384),Y384)</f>
        <v>0</v>
      </c>
      <c r="T385" s="24">
        <f>TModelo[[#This Row],[Act]]*IF(TModelo[[#This Row],[Rebal]]=1,PesoUSD*(X384+Y384+Z384),Z384)</f>
        <v>0</v>
      </c>
      <c r="U385" s="24">
        <f>TModelo[[#This Row],[IniCDT]]*TModelo[[#This Row],[RetCDT]]</f>
        <v>0</v>
      </c>
      <c r="V385" s="24">
        <f>TModelo[[#This Row],[IniCOLCAP]]*TModelo[[#This Row],[RetCOLCAP]]</f>
        <v>0</v>
      </c>
      <c r="W385" s="24">
        <f>TModelo[[#This Row],[IniUSD]]*TModelo[[#This Row],[RetUSD]]</f>
        <v>0</v>
      </c>
      <c r="X385" s="24">
        <f>TModelo[[#This Row],[Act]]*(TModelo[[#This Row],[IniCDT]]+TModelo[[#This Row],[IntCDT]]+PesoCDT*TModelo[[#This Row],[Outflow]])</f>
        <v>0</v>
      </c>
      <c r="Y385" s="24">
        <f>TModelo[[#This Row],[Act]]*(TModelo[[#This Row],[IniCOLCAP]]+TModelo[[#This Row],[IntCOLCAP]]+PesoCOLCAP*TModelo[[#This Row],[Outflow]])</f>
        <v>0</v>
      </c>
      <c r="Z385" s="24">
        <f>TModelo[[#This Row],[Act]]*(TModelo[[#This Row],[IniUSD]]+TModelo[[#This Row],[IntUSD]]+PesoUSD*TModelo[[#This Row],[Outflow]])</f>
        <v>0</v>
      </c>
      <c r="AA385" s="24">
        <f>TModelo[[#This Row],[BalCDT]]+TModelo[[#This Row],[BalCOLCAP]]+TModelo[[#This Row],[BalUSD]]</f>
        <v>0</v>
      </c>
      <c r="AB385" s="24">
        <f>IF(TModelo[[#This Row],[CumInfl]]&gt;0,TModelo[[#This Row],[TotalPreLiq]]/TModelo[[#This Row],[CumInfl]],0)</f>
        <v>0</v>
      </c>
      <c r="AC385" s="41">
        <f>(1+PerRate)^(-TModelo[[#This Row],[Period]])</f>
        <v>6.1434069020373058E-2</v>
      </c>
      <c r="AD385" s="42">
        <f>TModelo[[#This Row],[NetCF]]*TModelo[[#This Row],[fd]]</f>
        <v>0</v>
      </c>
    </row>
    <row r="386" spans="2:30" ht="16.95" customHeight="1">
      <c r="B386" s="11">
        <v>359</v>
      </c>
      <c r="C386" s="25">
        <f>EDATE(FechaInicio,TModelo[[#This Row],[Period]])</f>
        <v>57221</v>
      </c>
      <c r="D386" s="11">
        <f>IF(AND(TModelo[[#This Row],[Period]]&gt;=1,TModelo[[#This Row],[Period]]&lt;=HorizonteMeses),1,0)</f>
        <v>0</v>
      </c>
      <c r="E386" s="40">
        <f>TModelo[[#This Row],[Act]]*(INFb+(INFpi0-INFb)*(1-INFa)^TModelo[[#This Row],[Period]])</f>
        <v>0</v>
      </c>
      <c r="F386" s="28">
        <f>IF(TModelo[[#This Row],[Period]]&lt;=HorizonteMeses,F385*(1+TModelo[[#This Row],[InflMes]]),0)</f>
        <v>0</v>
      </c>
      <c r="G386" s="21">
        <f>TModelo[[#This Row],[Act]]*(CDTb+(CDTx0-CDTb)*(1-CDTa)^TModelo[[#This Row],[Period]]+CDTspread)</f>
        <v>0</v>
      </c>
      <c r="H386" s="40">
        <f>TModelo[[#This Row],[Act]]*((1+TModelo[[#This Row],[TasaCDT]])^(1/12)-1)*(1-Retencion)</f>
        <v>0</v>
      </c>
      <c r="I386" s="40">
        <f>TModelo[[#This Row],[Act]]*(EXP(MuCOLCAP+SigmaCOLCAP^2/2)-1)</f>
        <v>0</v>
      </c>
      <c r="J386" s="40">
        <f>TModelo[[#This Row],[Act]]*(EXP(MuTRM+SigmaTRM^2/2)-1)</f>
        <v>0</v>
      </c>
      <c r="K386" s="11">
        <f>TModelo[[#This Row],[Act]]*IF(Rebalanceo="Mensual",1,IF(Rebalanceo="Anual",IF(MOD(TModelo[[#This Row],[Period]]-1,12)=0,1,0),0))</f>
        <v>0</v>
      </c>
      <c r="L386" s="24">
        <f>TModelo[[#This Row],[Act]]*AporteMensual*IF(CrecimientoAporte="Con IPC",F385,1)</f>
        <v>0</v>
      </c>
      <c r="M386" s="24">
        <f>IF(TModelo[[#This Row],[Period]]=HorizonteMeses,TModelo[[#This Row],[TotalPreLiq]],0)</f>
        <v>0</v>
      </c>
      <c r="N386" s="24">
        <f>TModelo[[#This Row],[Inflow]]-TModelo[[#This Row],[Outflow]]</f>
        <v>0</v>
      </c>
      <c r="O386" s="24">
        <f t="shared" si="5"/>
        <v>0</v>
      </c>
      <c r="P386" s="24">
        <f>TModelo[[#This Row],[IntCDT]]+TModelo[[#This Row],[IntCOLCAP]]+TModelo[[#This Row],[IntUSD]]</f>
        <v>0</v>
      </c>
      <c r="Q386" s="24">
        <f>TModelo[[#This Row],[InitialBalance]]+TModelo[[#This Row],[Interest]]+TModelo[[#This Row],[Outflow]]-TModelo[[#This Row],[Inflow]]</f>
        <v>0</v>
      </c>
      <c r="R386" s="24">
        <f>TModelo[[#This Row],[Act]]*IF(TModelo[[#This Row],[Rebal]]=1,PesoCDT*(X385+Y385+Z385),X385)</f>
        <v>0</v>
      </c>
      <c r="S386" s="24">
        <f>TModelo[[#This Row],[Act]]*IF(TModelo[[#This Row],[Rebal]]=1,PesoCOLCAP*(X385+Y385+Z385),Y385)</f>
        <v>0</v>
      </c>
      <c r="T386" s="24">
        <f>TModelo[[#This Row],[Act]]*IF(TModelo[[#This Row],[Rebal]]=1,PesoUSD*(X385+Y385+Z385),Z385)</f>
        <v>0</v>
      </c>
      <c r="U386" s="24">
        <f>TModelo[[#This Row],[IniCDT]]*TModelo[[#This Row],[RetCDT]]</f>
        <v>0</v>
      </c>
      <c r="V386" s="24">
        <f>TModelo[[#This Row],[IniCOLCAP]]*TModelo[[#This Row],[RetCOLCAP]]</f>
        <v>0</v>
      </c>
      <c r="W386" s="24">
        <f>TModelo[[#This Row],[IniUSD]]*TModelo[[#This Row],[RetUSD]]</f>
        <v>0</v>
      </c>
      <c r="X386" s="24">
        <f>TModelo[[#This Row],[Act]]*(TModelo[[#This Row],[IniCDT]]+TModelo[[#This Row],[IntCDT]]+PesoCDT*TModelo[[#This Row],[Outflow]])</f>
        <v>0</v>
      </c>
      <c r="Y386" s="24">
        <f>TModelo[[#This Row],[Act]]*(TModelo[[#This Row],[IniCOLCAP]]+TModelo[[#This Row],[IntCOLCAP]]+PesoCOLCAP*TModelo[[#This Row],[Outflow]])</f>
        <v>0</v>
      </c>
      <c r="Z386" s="24">
        <f>TModelo[[#This Row],[Act]]*(TModelo[[#This Row],[IniUSD]]+TModelo[[#This Row],[IntUSD]]+PesoUSD*TModelo[[#This Row],[Outflow]])</f>
        <v>0</v>
      </c>
      <c r="AA386" s="24">
        <f>TModelo[[#This Row],[BalCDT]]+TModelo[[#This Row],[BalCOLCAP]]+TModelo[[#This Row],[BalUSD]]</f>
        <v>0</v>
      </c>
      <c r="AB386" s="24">
        <f>IF(TModelo[[#This Row],[CumInfl]]&gt;0,TModelo[[#This Row],[TotalPreLiq]]/TModelo[[#This Row],[CumInfl]],0)</f>
        <v>0</v>
      </c>
      <c r="AC386" s="41">
        <f>(1+PerRate)^(-TModelo[[#This Row],[Period]])</f>
        <v>6.0957191539964567E-2</v>
      </c>
      <c r="AD386" s="42">
        <f>TModelo[[#This Row],[NetCF]]*TModelo[[#This Row],[fd]]</f>
        <v>0</v>
      </c>
    </row>
    <row r="387" spans="2:30" ht="16.95" customHeight="1">
      <c r="B387" s="11">
        <v>360</v>
      </c>
      <c r="C387" s="25">
        <f>EDATE(FechaInicio,TModelo[[#This Row],[Period]])</f>
        <v>57252</v>
      </c>
      <c r="D387" s="11">
        <f>IF(AND(TModelo[[#This Row],[Period]]&gt;=1,TModelo[[#This Row],[Period]]&lt;=HorizonteMeses),1,0)</f>
        <v>0</v>
      </c>
      <c r="E387" s="40">
        <f>TModelo[[#This Row],[Act]]*(INFb+(INFpi0-INFb)*(1-INFa)^TModelo[[#This Row],[Period]])</f>
        <v>0</v>
      </c>
      <c r="F387" s="28">
        <f>IF(TModelo[[#This Row],[Period]]&lt;=HorizonteMeses,F386*(1+TModelo[[#This Row],[InflMes]]),0)</f>
        <v>0</v>
      </c>
      <c r="G387" s="21">
        <f>TModelo[[#This Row],[Act]]*(CDTb+(CDTx0-CDTb)*(1-CDTa)^TModelo[[#This Row],[Period]]+CDTspread)</f>
        <v>0</v>
      </c>
      <c r="H387" s="40">
        <f>TModelo[[#This Row],[Act]]*((1+TModelo[[#This Row],[TasaCDT]])^(1/12)-1)*(1-Retencion)</f>
        <v>0</v>
      </c>
      <c r="I387" s="40">
        <f>TModelo[[#This Row],[Act]]*(EXP(MuCOLCAP+SigmaCOLCAP^2/2)-1)</f>
        <v>0</v>
      </c>
      <c r="J387" s="40">
        <f>TModelo[[#This Row],[Act]]*(EXP(MuTRM+SigmaTRM^2/2)-1)</f>
        <v>0</v>
      </c>
      <c r="K387" s="11">
        <f>TModelo[[#This Row],[Act]]*IF(Rebalanceo="Mensual",1,IF(Rebalanceo="Anual",IF(MOD(TModelo[[#This Row],[Period]]-1,12)=0,1,0),0))</f>
        <v>0</v>
      </c>
      <c r="L387" s="24">
        <f>TModelo[[#This Row],[Act]]*AporteMensual*IF(CrecimientoAporte="Con IPC",F386,1)</f>
        <v>0</v>
      </c>
      <c r="M387" s="24">
        <f>IF(TModelo[[#This Row],[Period]]=HorizonteMeses,TModelo[[#This Row],[TotalPreLiq]],0)</f>
        <v>0</v>
      </c>
      <c r="N387" s="24">
        <f>TModelo[[#This Row],[Inflow]]-TModelo[[#This Row],[Outflow]]</f>
        <v>0</v>
      </c>
      <c r="O387" s="24">
        <f t="shared" si="5"/>
        <v>0</v>
      </c>
      <c r="P387" s="24">
        <f>TModelo[[#This Row],[IntCDT]]+TModelo[[#This Row],[IntCOLCAP]]+TModelo[[#This Row],[IntUSD]]</f>
        <v>0</v>
      </c>
      <c r="Q387" s="24">
        <f>TModelo[[#This Row],[InitialBalance]]+TModelo[[#This Row],[Interest]]+TModelo[[#This Row],[Outflow]]-TModelo[[#This Row],[Inflow]]</f>
        <v>0</v>
      </c>
      <c r="R387" s="24">
        <f>TModelo[[#This Row],[Act]]*IF(TModelo[[#This Row],[Rebal]]=1,PesoCDT*(X386+Y386+Z386),X386)</f>
        <v>0</v>
      </c>
      <c r="S387" s="24">
        <f>TModelo[[#This Row],[Act]]*IF(TModelo[[#This Row],[Rebal]]=1,PesoCOLCAP*(X386+Y386+Z386),Y386)</f>
        <v>0</v>
      </c>
      <c r="T387" s="24">
        <f>TModelo[[#This Row],[Act]]*IF(TModelo[[#This Row],[Rebal]]=1,PesoUSD*(X386+Y386+Z386),Z386)</f>
        <v>0</v>
      </c>
      <c r="U387" s="24">
        <f>TModelo[[#This Row],[IniCDT]]*TModelo[[#This Row],[RetCDT]]</f>
        <v>0</v>
      </c>
      <c r="V387" s="24">
        <f>TModelo[[#This Row],[IniCOLCAP]]*TModelo[[#This Row],[RetCOLCAP]]</f>
        <v>0</v>
      </c>
      <c r="W387" s="24">
        <f>TModelo[[#This Row],[IniUSD]]*TModelo[[#This Row],[RetUSD]]</f>
        <v>0</v>
      </c>
      <c r="X387" s="24">
        <f>TModelo[[#This Row],[Act]]*(TModelo[[#This Row],[IniCDT]]+TModelo[[#This Row],[IntCDT]]+PesoCDT*TModelo[[#This Row],[Outflow]])</f>
        <v>0</v>
      </c>
      <c r="Y387" s="24">
        <f>TModelo[[#This Row],[Act]]*(TModelo[[#This Row],[IniCOLCAP]]+TModelo[[#This Row],[IntCOLCAP]]+PesoCOLCAP*TModelo[[#This Row],[Outflow]])</f>
        <v>0</v>
      </c>
      <c r="Z387" s="24">
        <f>TModelo[[#This Row],[Act]]*(TModelo[[#This Row],[IniUSD]]+TModelo[[#This Row],[IntUSD]]+PesoUSD*TModelo[[#This Row],[Outflow]])</f>
        <v>0</v>
      </c>
      <c r="AA387" s="24">
        <f>TModelo[[#This Row],[BalCDT]]+TModelo[[#This Row],[BalCOLCAP]]+TModelo[[#This Row],[BalUSD]]</f>
        <v>0</v>
      </c>
      <c r="AB387" s="24">
        <f>IF(TModelo[[#This Row],[CumInfl]]&gt;0,TModelo[[#This Row],[TotalPreLiq]]/TModelo[[#This Row],[CumInfl]],0)</f>
        <v>0</v>
      </c>
      <c r="AC387" s="41">
        <f>(1+PerRate)^(-TModelo[[#This Row],[Period]])</f>
        <v>6.0484015786219224E-2</v>
      </c>
      <c r="AD387" s="42">
        <f>TModelo[[#This Row],[NetCF]]*TModelo[[#This Row],[fd]]</f>
        <v>0</v>
      </c>
    </row>
  </sheetData>
  <mergeCells count="26">
    <mergeCell ref="AA25:AD25"/>
    <mergeCell ref="J11:M11"/>
    <mergeCell ref="G25:K25"/>
    <mergeCell ref="J7:M7"/>
    <mergeCell ref="C20:E20"/>
    <mergeCell ref="R25:W25"/>
    <mergeCell ref="C10:E10"/>
    <mergeCell ref="X25:Z25"/>
    <mergeCell ref="J10:M10"/>
    <mergeCell ref="C13:E13"/>
    <mergeCell ref="C19:E19"/>
    <mergeCell ref="J9:M9"/>
    <mergeCell ref="C18:E18"/>
    <mergeCell ref="C15:E15"/>
    <mergeCell ref="C14:E14"/>
    <mergeCell ref="L25:Q25"/>
    <mergeCell ref="J8:M8"/>
    <mergeCell ref="C8:E8"/>
    <mergeCell ref="C17:E17"/>
    <mergeCell ref="C7:E7"/>
    <mergeCell ref="C16:E16"/>
    <mergeCell ref="B25:F25"/>
    <mergeCell ref="C9:E9"/>
    <mergeCell ref="C21:E21"/>
    <mergeCell ref="C12:E12"/>
    <mergeCell ref="C11:E11"/>
  </mergeCells>
  <conditionalFormatting sqref="B28:AD387">
    <cfRule type="expression" dxfId="0" priority="1">
      <formula>$B28&gt;HorizonteMeses</formula>
    </cfRule>
  </conditionalFormatting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A3AF"/>
    <pageSetUpPr fitToPage="1"/>
  </sheetPr>
  <dimension ref="A2:G1008"/>
  <sheetViews>
    <sheetView showGridLines="0" workbookViewId="0">
      <pane ySplit="8" topLeftCell="A9" activePane="bottomLeft" state="frozen"/>
      <selection pane="bottomLeft"/>
    </sheetView>
  </sheetViews>
  <sheetFormatPr baseColWidth="10" defaultColWidth="8.88671875" defaultRowHeight="14.4"/>
  <cols>
    <col min="1" max="1" width="34" customWidth="1"/>
    <col min="2" max="4" width="20" customWidth="1"/>
    <col min="5" max="6" width="14" customWidth="1"/>
    <col min="7" max="7" width="24" customWidth="1"/>
  </cols>
  <sheetData>
    <row r="2" spans="1:7" ht="20.399999999999999">
      <c r="A2" s="16" t="s">
        <v>248</v>
      </c>
    </row>
    <row r="4" spans="1:7">
      <c r="A4" s="7" t="s">
        <v>249</v>
      </c>
    </row>
    <row r="5" spans="1:7">
      <c r="A5" s="8" t="s">
        <v>250</v>
      </c>
      <c r="B5" s="43">
        <f>AVERAGE(TSim[CumpleMeta])</f>
        <v>0.318</v>
      </c>
    </row>
    <row r="6" spans="1:7">
      <c r="A6" s="8" t="s">
        <v>251</v>
      </c>
      <c r="B6" s="44">
        <f>MEDIAN(TSim[ValorFinalReal])</f>
        <v>77131223.703709751</v>
      </c>
    </row>
    <row r="7" spans="1:7">
      <c r="A7" s="8" t="s">
        <v>252</v>
      </c>
      <c r="B7" s="44">
        <f>PERCENTILE(TSim[ValorFinalReal],0.05)</f>
        <v>67141287.949215874</v>
      </c>
    </row>
    <row r="8" spans="1:7" ht="22.05" customHeight="1">
      <c r="A8" s="9" t="s">
        <v>253</v>
      </c>
      <c r="B8" s="30" t="s">
        <v>254</v>
      </c>
      <c r="C8" s="30" t="s">
        <v>255</v>
      </c>
      <c r="D8" s="30" t="s">
        <v>256</v>
      </c>
      <c r="E8" s="30" t="s">
        <v>257</v>
      </c>
      <c r="F8" s="30" t="s">
        <v>258</v>
      </c>
      <c r="G8" s="30" t="s">
        <v>259</v>
      </c>
    </row>
    <row r="9" spans="1:7" ht="16.95" customHeight="1">
      <c r="A9" s="11">
        <v>1</v>
      </c>
      <c r="B9" s="24">
        <v>87215920.116091296</v>
      </c>
      <c r="C9" s="24">
        <v>64879364.123090908</v>
      </c>
      <c r="D9" s="24">
        <v>77268793.805154815</v>
      </c>
      <c r="E9" s="24">
        <f>TSim[[#This Row],[ValorFinalReal]]-TSim[[#This Row],[AportesReales]]</f>
        <v>12389429.682063907</v>
      </c>
      <c r="F9" s="19">
        <f>IF(TSim[[#This Row],[ValorFinalReal]]&gt;=Meta,1,0)</f>
        <v>0</v>
      </c>
      <c r="G9" s="21">
        <v>1.3936290366398649E-3</v>
      </c>
    </row>
    <row r="10" spans="1:7" ht="16.95" customHeight="1">
      <c r="A10" s="11">
        <v>2</v>
      </c>
      <c r="B10" s="24">
        <v>94421468.729591906</v>
      </c>
      <c r="C10" s="24">
        <v>64763230.328371197</v>
      </c>
      <c r="D10" s="24">
        <v>74460988.699656174</v>
      </c>
      <c r="E10" s="24">
        <f>TSim[[#This Row],[ValorFinalReal]]-TSim[[#This Row],[AportesReales]]</f>
        <v>9697758.3712849766</v>
      </c>
      <c r="F10" s="19">
        <f>IF(TSim[[#This Row],[ValorFinalReal]]&gt;=Meta,1,0)</f>
        <v>0</v>
      </c>
      <c r="G10" s="21">
        <v>0</v>
      </c>
    </row>
    <row r="11" spans="1:7" ht="16.95" customHeight="1">
      <c r="A11" s="11">
        <v>3</v>
      </c>
      <c r="B11" s="24">
        <v>76343200.088819206</v>
      </c>
      <c r="C11" s="24">
        <v>64945899.100417957</v>
      </c>
      <c r="D11" s="24">
        <v>72284978.939874679</v>
      </c>
      <c r="E11" s="24">
        <f>TSim[[#This Row],[ValorFinalReal]]-TSim[[#This Row],[AportesReales]]</f>
        <v>7339079.8394567221</v>
      </c>
      <c r="F11" s="19">
        <f>IF(TSim[[#This Row],[ValorFinalReal]]&gt;=Meta,1,0)</f>
        <v>0</v>
      </c>
      <c r="G11" s="21">
        <v>6.5911021081418442E-3</v>
      </c>
    </row>
    <row r="12" spans="1:7" ht="16.95" customHeight="1">
      <c r="A12" s="11">
        <v>4</v>
      </c>
      <c r="B12" s="24">
        <v>86297495.712565079</v>
      </c>
      <c r="C12" s="24">
        <v>64966407.324188977</v>
      </c>
      <c r="D12" s="24">
        <v>83400174.954816654</v>
      </c>
      <c r="E12" s="24">
        <f>TSim[[#This Row],[ValorFinalReal]]-TSim[[#This Row],[AportesReales]]</f>
        <v>18433767.630627677</v>
      </c>
      <c r="F12" s="19">
        <f>IF(TSim[[#This Row],[ValorFinalReal]]&gt;=Meta,1,0)</f>
        <v>1</v>
      </c>
      <c r="G12" s="21">
        <v>2.472489836818359E-3</v>
      </c>
    </row>
    <row r="13" spans="1:7" ht="16.95" customHeight="1">
      <c r="A13" s="11">
        <v>5</v>
      </c>
      <c r="B13" s="24">
        <v>87117254.753130093</v>
      </c>
      <c r="C13" s="24">
        <v>64759931.807831697</v>
      </c>
      <c r="D13" s="24">
        <v>68459626.761922434</v>
      </c>
      <c r="E13" s="24">
        <f>TSim[[#This Row],[ValorFinalReal]]-TSim[[#This Row],[AportesReales]]</f>
        <v>3699694.9540907368</v>
      </c>
      <c r="F13" s="19">
        <f>IF(TSim[[#This Row],[ValorFinalReal]]&gt;=Meta,1,0)</f>
        <v>0</v>
      </c>
      <c r="G13" s="21">
        <v>3.5672634591479291E-3</v>
      </c>
    </row>
    <row r="14" spans="1:7" ht="16.95" customHeight="1">
      <c r="A14" s="11">
        <v>6</v>
      </c>
      <c r="B14" s="24">
        <v>84481807.126416698</v>
      </c>
      <c r="C14" s="24">
        <v>64754906.53564886</v>
      </c>
      <c r="D14" s="24">
        <v>66057284.333767012</v>
      </c>
      <c r="E14" s="24">
        <f>TSim[[#This Row],[ValorFinalReal]]-TSim[[#This Row],[AportesReales]]</f>
        <v>1302377.7981181517</v>
      </c>
      <c r="F14" s="19">
        <f>IF(TSim[[#This Row],[ValorFinalReal]]&gt;=Meta,1,0)</f>
        <v>0</v>
      </c>
      <c r="G14" s="21">
        <v>3.8083072083799911E-3</v>
      </c>
    </row>
    <row r="15" spans="1:7" ht="16.95" customHeight="1">
      <c r="A15" s="11">
        <v>7</v>
      </c>
      <c r="B15" s="24">
        <v>85568678.745503247</v>
      </c>
      <c r="C15" s="24">
        <v>64915103.932015263</v>
      </c>
      <c r="D15" s="24">
        <v>78540540.095008373</v>
      </c>
      <c r="E15" s="24">
        <f>TSim[[#This Row],[ValorFinalReal]]-TSim[[#This Row],[AportesReales]]</f>
        <v>13625436.162993111</v>
      </c>
      <c r="F15" s="19">
        <f>IF(TSim[[#This Row],[ValorFinalReal]]&gt;=Meta,1,0)</f>
        <v>0</v>
      </c>
      <c r="G15" s="21">
        <v>4.1987997231758278E-3</v>
      </c>
    </row>
    <row r="16" spans="1:7" ht="16.95" customHeight="1">
      <c r="A16" s="11">
        <v>8</v>
      </c>
      <c r="B16" s="24">
        <v>68130505.402725026</v>
      </c>
      <c r="C16" s="24">
        <v>65096129.521756083</v>
      </c>
      <c r="D16" s="24">
        <v>74967310.790193558</v>
      </c>
      <c r="E16" s="24">
        <f>TSim[[#This Row],[ValorFinalReal]]-TSim[[#This Row],[AportesReales]]</f>
        <v>9871181.268437475</v>
      </c>
      <c r="F16" s="19">
        <f>IF(TSim[[#This Row],[ValorFinalReal]]&gt;=Meta,1,0)</f>
        <v>0</v>
      </c>
      <c r="G16" s="21">
        <v>0</v>
      </c>
    </row>
    <row r="17" spans="1:7" ht="16.95" customHeight="1">
      <c r="A17" s="11">
        <v>9</v>
      </c>
      <c r="B17" s="24">
        <v>78808338.396099806</v>
      </c>
      <c r="C17" s="24">
        <v>64873494.216677159</v>
      </c>
      <c r="D17" s="24">
        <v>69377951.757469356</v>
      </c>
      <c r="E17" s="24">
        <f>TSim[[#This Row],[ValorFinalReal]]-TSim[[#This Row],[AportesReales]]</f>
        <v>4504457.540792197</v>
      </c>
      <c r="F17" s="19">
        <f>IF(TSim[[#This Row],[ValorFinalReal]]&gt;=Meta,1,0)</f>
        <v>0</v>
      </c>
      <c r="G17" s="21">
        <v>2.6339598092962602E-3</v>
      </c>
    </row>
    <row r="18" spans="1:7" ht="16.95" customHeight="1">
      <c r="A18" s="11">
        <v>10</v>
      </c>
      <c r="B18" s="24">
        <v>99188235.311211899</v>
      </c>
      <c r="C18" s="24">
        <v>64975136.96343898</v>
      </c>
      <c r="D18" s="24">
        <v>96693015.530679211</v>
      </c>
      <c r="E18" s="24">
        <f>TSim[[#This Row],[ValorFinalReal]]-TSim[[#This Row],[AportesReales]]</f>
        <v>31717878.567240231</v>
      </c>
      <c r="F18" s="19">
        <f>IF(TSim[[#This Row],[ValorFinalReal]]&gt;=Meta,1,0)</f>
        <v>1</v>
      </c>
      <c r="G18" s="21">
        <v>6.3036204884604494E-3</v>
      </c>
    </row>
    <row r="19" spans="1:7" ht="16.95" customHeight="1">
      <c r="A19" s="11">
        <v>11</v>
      </c>
      <c r="B19" s="24">
        <v>94085189.623473272</v>
      </c>
      <c r="C19" s="24">
        <v>64661881.428211384</v>
      </c>
      <c r="D19" s="24">
        <v>66968597.395395577</v>
      </c>
      <c r="E19" s="24">
        <f>TSim[[#This Row],[ValorFinalReal]]-TSim[[#This Row],[AportesReales]]</f>
        <v>2306715.9671841934</v>
      </c>
      <c r="F19" s="19">
        <f>IF(TSim[[#This Row],[ValorFinalReal]]&gt;=Meta,1,0)</f>
        <v>0</v>
      </c>
      <c r="G19" s="21">
        <v>1.439703930088521E-3</v>
      </c>
    </row>
    <row r="20" spans="1:7" ht="16.95" customHeight="1">
      <c r="A20" s="11">
        <v>12</v>
      </c>
      <c r="B20" s="24">
        <v>82298517.563827917</v>
      </c>
      <c r="C20" s="24">
        <v>64849492.552201986</v>
      </c>
      <c r="D20" s="24">
        <v>70730977.610030323</v>
      </c>
      <c r="E20" s="24">
        <f>TSim[[#This Row],[ValorFinalReal]]-TSim[[#This Row],[AportesReales]]</f>
        <v>5881485.057828337</v>
      </c>
      <c r="F20" s="19">
        <f>IF(TSim[[#This Row],[ValorFinalReal]]&gt;=Meta,1,0)</f>
        <v>0</v>
      </c>
      <c r="G20" s="21">
        <v>1.323636187987676E-2</v>
      </c>
    </row>
    <row r="21" spans="1:7" ht="16.95" customHeight="1">
      <c r="A21" s="11">
        <v>13</v>
      </c>
      <c r="B21" s="24">
        <v>97856715.776428387</v>
      </c>
      <c r="C21" s="24">
        <v>64792974.553031303</v>
      </c>
      <c r="D21" s="24">
        <v>79484445.661074474</v>
      </c>
      <c r="E21" s="24">
        <f>TSim[[#This Row],[ValorFinalReal]]-TSim[[#This Row],[AportesReales]]</f>
        <v>14691471.108043171</v>
      </c>
      <c r="F21" s="19">
        <f>IF(TSim[[#This Row],[ValorFinalReal]]&gt;=Meta,1,0)</f>
        <v>0</v>
      </c>
      <c r="G21" s="21">
        <v>1.2986521933070481E-3</v>
      </c>
    </row>
    <row r="22" spans="1:7" ht="16.95" customHeight="1">
      <c r="A22" s="11">
        <v>14</v>
      </c>
      <c r="B22" s="24">
        <v>88707819.674843252</v>
      </c>
      <c r="C22" s="24">
        <v>64781668.304796092</v>
      </c>
      <c r="D22" s="24">
        <v>71248533.414719895</v>
      </c>
      <c r="E22" s="24">
        <f>TSim[[#This Row],[ValorFinalReal]]-TSim[[#This Row],[AportesReales]]</f>
        <v>6466865.1099238023</v>
      </c>
      <c r="F22" s="19">
        <f>IF(TSim[[#This Row],[ValorFinalReal]]&gt;=Meta,1,0)</f>
        <v>0</v>
      </c>
      <c r="G22" s="21">
        <v>8.6931380326819019E-3</v>
      </c>
    </row>
    <row r="23" spans="1:7" ht="16.95" customHeight="1">
      <c r="A23" s="11">
        <v>15</v>
      </c>
      <c r="B23" s="24">
        <v>96021267.159737214</v>
      </c>
      <c r="C23" s="24">
        <v>64944883.063091896</v>
      </c>
      <c r="D23" s="24">
        <v>90807615.496095136</v>
      </c>
      <c r="E23" s="24">
        <f>TSim[[#This Row],[ValorFinalReal]]-TSim[[#This Row],[AportesReales]]</f>
        <v>25862732.433003239</v>
      </c>
      <c r="F23" s="19">
        <f>IF(TSim[[#This Row],[ValorFinalReal]]&gt;=Meta,1,0)</f>
        <v>1</v>
      </c>
      <c r="G23" s="21">
        <v>7.7197770747583494E-4</v>
      </c>
    </row>
    <row r="24" spans="1:7" ht="16.95" customHeight="1">
      <c r="A24" s="11">
        <v>16</v>
      </c>
      <c r="B24" s="24">
        <v>91176388.273662612</v>
      </c>
      <c r="C24" s="24">
        <v>64833660.524627373</v>
      </c>
      <c r="D24" s="24">
        <v>77158165.150061145</v>
      </c>
      <c r="E24" s="24">
        <f>TSim[[#This Row],[ValorFinalReal]]-TSim[[#This Row],[AportesReales]]</f>
        <v>12324504.625433773</v>
      </c>
      <c r="F24" s="19">
        <f>IF(TSim[[#This Row],[ValorFinalReal]]&gt;=Meta,1,0)</f>
        <v>0</v>
      </c>
      <c r="G24" s="21">
        <v>5.1391886500166128E-3</v>
      </c>
    </row>
    <row r="25" spans="1:7" ht="16.95" customHeight="1">
      <c r="A25" s="11">
        <v>17</v>
      </c>
      <c r="B25" s="24">
        <v>82105760.4268426</v>
      </c>
      <c r="C25" s="24">
        <v>64910525.031791337</v>
      </c>
      <c r="D25" s="24">
        <v>75033676.840574443</v>
      </c>
      <c r="E25" s="24">
        <f>TSim[[#This Row],[ValorFinalReal]]-TSim[[#This Row],[AportesReales]]</f>
        <v>10123151.808783107</v>
      </c>
      <c r="F25" s="19">
        <f>IF(TSim[[#This Row],[ValorFinalReal]]&gt;=Meta,1,0)</f>
        <v>0</v>
      </c>
      <c r="G25" s="21">
        <v>9.9241423267648621E-3</v>
      </c>
    </row>
    <row r="26" spans="1:7" ht="16.95" customHeight="1">
      <c r="A26" s="11">
        <v>18</v>
      </c>
      <c r="B26" s="24">
        <v>97475065.390776962</v>
      </c>
      <c r="C26" s="24">
        <v>64754512.634020276</v>
      </c>
      <c r="D26" s="24">
        <v>76171935.656556785</v>
      </c>
      <c r="E26" s="24">
        <f>TSim[[#This Row],[ValorFinalReal]]-TSim[[#This Row],[AportesReales]]</f>
        <v>11417423.022536509</v>
      </c>
      <c r="F26" s="19">
        <f>IF(TSim[[#This Row],[ValorFinalReal]]&gt;=Meta,1,0)</f>
        <v>0</v>
      </c>
      <c r="G26" s="21">
        <v>0</v>
      </c>
    </row>
    <row r="27" spans="1:7" ht="16.95" customHeight="1">
      <c r="A27" s="11">
        <v>19</v>
      </c>
      <c r="B27" s="24">
        <v>83489084.993993118</v>
      </c>
      <c r="C27" s="24">
        <v>65017975.707740359</v>
      </c>
      <c r="D27" s="24">
        <v>84964943.286321968</v>
      </c>
      <c r="E27" s="24">
        <f>TSim[[#This Row],[ValorFinalReal]]-TSim[[#This Row],[AportesReales]]</f>
        <v>19946967.578581609</v>
      </c>
      <c r="F27" s="19">
        <f>IF(TSim[[#This Row],[ValorFinalReal]]&gt;=Meta,1,0)</f>
        <v>1</v>
      </c>
      <c r="G27" s="21">
        <v>0</v>
      </c>
    </row>
    <row r="28" spans="1:7" ht="16.95" customHeight="1">
      <c r="A28" s="11">
        <v>20</v>
      </c>
      <c r="B28" s="24">
        <v>99456121.56503965</v>
      </c>
      <c r="C28" s="24">
        <v>64772288.504233479</v>
      </c>
      <c r="D28" s="24">
        <v>79062147.757383496</v>
      </c>
      <c r="E28" s="24">
        <f>TSim[[#This Row],[ValorFinalReal]]-TSim[[#This Row],[AportesReales]]</f>
        <v>14289859.253150016</v>
      </c>
      <c r="F28" s="19">
        <f>IF(TSim[[#This Row],[ValorFinalReal]]&gt;=Meta,1,0)</f>
        <v>0</v>
      </c>
      <c r="G28" s="21">
        <v>9.341608058901385E-3</v>
      </c>
    </row>
    <row r="29" spans="1:7" ht="16.95" customHeight="1">
      <c r="A29" s="11">
        <v>21</v>
      </c>
      <c r="B29" s="24">
        <v>76721416.61554563</v>
      </c>
      <c r="C29" s="24">
        <v>65050549.548136897</v>
      </c>
      <c r="D29" s="24">
        <v>80668554.146192282</v>
      </c>
      <c r="E29" s="24">
        <f>TSim[[#This Row],[ValorFinalReal]]-TSim[[#This Row],[AportesReales]]</f>
        <v>15618004.598055385</v>
      </c>
      <c r="F29" s="19">
        <f>IF(TSim[[#This Row],[ValorFinalReal]]&gt;=Meta,1,0)</f>
        <v>1</v>
      </c>
      <c r="G29" s="21">
        <v>0</v>
      </c>
    </row>
    <row r="30" spans="1:7" ht="16.95" customHeight="1">
      <c r="A30" s="11">
        <v>22</v>
      </c>
      <c r="B30" s="24">
        <v>90782140.705298528</v>
      </c>
      <c r="C30" s="24">
        <v>64883429.999143757</v>
      </c>
      <c r="D30" s="24">
        <v>80755457.503433898</v>
      </c>
      <c r="E30" s="24">
        <f>TSim[[#This Row],[ValorFinalReal]]-TSim[[#This Row],[AportesReales]]</f>
        <v>15872027.504290141</v>
      </c>
      <c r="F30" s="19">
        <f>IF(TSim[[#This Row],[ValorFinalReal]]&gt;=Meta,1,0)</f>
        <v>1</v>
      </c>
      <c r="G30" s="21">
        <v>0</v>
      </c>
    </row>
    <row r="31" spans="1:7" ht="16.95" customHeight="1">
      <c r="A31" s="11">
        <v>23</v>
      </c>
      <c r="B31" s="24">
        <v>95357479.61604102</v>
      </c>
      <c r="C31" s="24">
        <v>64809517.414195247</v>
      </c>
      <c r="D31" s="24">
        <v>78754523.10406518</v>
      </c>
      <c r="E31" s="24">
        <f>TSim[[#This Row],[ValorFinalReal]]-TSim[[#This Row],[AportesReales]]</f>
        <v>13945005.689869933</v>
      </c>
      <c r="F31" s="19">
        <f>IF(TSim[[#This Row],[ValorFinalReal]]&gt;=Meta,1,0)</f>
        <v>0</v>
      </c>
      <c r="G31" s="21">
        <v>0</v>
      </c>
    </row>
    <row r="32" spans="1:7" ht="16.95" customHeight="1">
      <c r="A32" s="11">
        <v>24</v>
      </c>
      <c r="B32" s="24">
        <v>95355679.49217695</v>
      </c>
      <c r="C32" s="24">
        <v>64950880.665619709</v>
      </c>
      <c r="D32" s="24">
        <v>90738865.382960737</v>
      </c>
      <c r="E32" s="24">
        <f>TSim[[#This Row],[ValorFinalReal]]-TSim[[#This Row],[AportesReales]]</f>
        <v>25787984.717341028</v>
      </c>
      <c r="F32" s="19">
        <f>IF(TSim[[#This Row],[ValorFinalReal]]&gt;=Meta,1,0)</f>
        <v>1</v>
      </c>
      <c r="G32" s="21">
        <v>0</v>
      </c>
    </row>
    <row r="33" spans="1:7" ht="16.95" customHeight="1">
      <c r="A33" s="11">
        <v>25</v>
      </c>
      <c r="B33" s="24">
        <v>116248308.1158513</v>
      </c>
      <c r="C33" s="24">
        <v>64621581.301746637</v>
      </c>
      <c r="D33" s="24">
        <v>79436316.71986194</v>
      </c>
      <c r="E33" s="24">
        <f>TSim[[#This Row],[ValorFinalReal]]-TSim[[#This Row],[AportesReales]]</f>
        <v>14814735.418115303</v>
      </c>
      <c r="F33" s="19">
        <f>IF(TSim[[#This Row],[ValorFinalReal]]&gt;=Meta,1,0)</f>
        <v>0</v>
      </c>
      <c r="G33" s="21">
        <v>7.272613639841552E-4</v>
      </c>
    </row>
    <row r="34" spans="1:7" ht="16.95" customHeight="1">
      <c r="A34" s="11">
        <v>26</v>
      </c>
      <c r="B34" s="24">
        <v>93685742.071137443</v>
      </c>
      <c r="C34" s="24">
        <v>64857129.930824593</v>
      </c>
      <c r="D34" s="24">
        <v>81149442.602254257</v>
      </c>
      <c r="E34" s="24">
        <f>TSim[[#This Row],[ValorFinalReal]]-TSim[[#This Row],[AportesReales]]</f>
        <v>16292312.671429664</v>
      </c>
      <c r="F34" s="19">
        <f>IF(TSim[[#This Row],[ValorFinalReal]]&gt;=Meta,1,0)</f>
        <v>1</v>
      </c>
      <c r="G34" s="21">
        <v>0</v>
      </c>
    </row>
    <row r="35" spans="1:7" ht="16.95" customHeight="1">
      <c r="A35" s="11">
        <v>27</v>
      </c>
      <c r="B35" s="24">
        <v>105929379.83440129</v>
      </c>
      <c r="C35" s="24">
        <v>64907056.584031813</v>
      </c>
      <c r="D35" s="24">
        <v>96463739.854973689</v>
      </c>
      <c r="E35" s="24">
        <f>TSim[[#This Row],[ValorFinalReal]]-TSim[[#This Row],[AportesReales]]</f>
        <v>31556683.270941876</v>
      </c>
      <c r="F35" s="19">
        <f>IF(TSim[[#This Row],[ValorFinalReal]]&gt;=Meta,1,0)</f>
        <v>1</v>
      </c>
      <c r="G35" s="21">
        <v>0</v>
      </c>
    </row>
    <row r="36" spans="1:7" ht="16.95" customHeight="1">
      <c r="A36" s="11">
        <v>28</v>
      </c>
      <c r="B36" s="24">
        <v>86125738.897742599</v>
      </c>
      <c r="C36" s="24">
        <v>64798391.476787023</v>
      </c>
      <c r="D36" s="24">
        <v>70357151.250508636</v>
      </c>
      <c r="E36" s="24">
        <f>TSim[[#This Row],[ValorFinalReal]]-TSim[[#This Row],[AportesReales]]</f>
        <v>5558759.773721613</v>
      </c>
      <c r="F36" s="19">
        <f>IF(TSim[[#This Row],[ValorFinalReal]]&gt;=Meta,1,0)</f>
        <v>0</v>
      </c>
      <c r="G36" s="21">
        <v>0</v>
      </c>
    </row>
    <row r="37" spans="1:7" ht="16.95" customHeight="1">
      <c r="A37" s="11">
        <v>29</v>
      </c>
      <c r="B37" s="24">
        <v>92839357.756176904</v>
      </c>
      <c r="C37" s="24">
        <v>64760130.592529997</v>
      </c>
      <c r="D37" s="24">
        <v>72936904.790978298</v>
      </c>
      <c r="E37" s="24">
        <f>TSim[[#This Row],[ValorFinalReal]]-TSim[[#This Row],[AportesReales]]</f>
        <v>8176774.1984483004</v>
      </c>
      <c r="F37" s="19">
        <f>IF(TSim[[#This Row],[ValorFinalReal]]&gt;=Meta,1,0)</f>
        <v>0</v>
      </c>
      <c r="G37" s="21">
        <v>0</v>
      </c>
    </row>
    <row r="38" spans="1:7" ht="16.95" customHeight="1">
      <c r="A38" s="11">
        <v>30</v>
      </c>
      <c r="B38" s="24">
        <v>96517620.235682964</v>
      </c>
      <c r="C38" s="24">
        <v>64772514.002907693</v>
      </c>
      <c r="D38" s="24">
        <v>76805842.662166953</v>
      </c>
      <c r="E38" s="24">
        <f>TSim[[#This Row],[ValorFinalReal]]-TSim[[#This Row],[AportesReales]]</f>
        <v>12033328.65925926</v>
      </c>
      <c r="F38" s="19">
        <f>IF(TSim[[#This Row],[ValorFinalReal]]&gt;=Meta,1,0)</f>
        <v>0</v>
      </c>
      <c r="G38" s="21">
        <v>0</v>
      </c>
    </row>
    <row r="39" spans="1:7" ht="16.95" customHeight="1">
      <c r="A39" s="11">
        <v>31</v>
      </c>
      <c r="B39" s="24">
        <v>86070514.269623116</v>
      </c>
      <c r="C39" s="24">
        <v>64908528.550490066</v>
      </c>
      <c r="D39" s="24">
        <v>78499182.82562317</v>
      </c>
      <c r="E39" s="24">
        <f>TSim[[#This Row],[ValorFinalReal]]-TSim[[#This Row],[AportesReales]]</f>
        <v>13590654.275133103</v>
      </c>
      <c r="F39" s="19">
        <f>IF(TSim[[#This Row],[ValorFinalReal]]&gt;=Meta,1,0)</f>
        <v>0</v>
      </c>
      <c r="G39" s="21">
        <v>2.8510921922382249E-3</v>
      </c>
    </row>
    <row r="40" spans="1:7" ht="16.95" customHeight="1">
      <c r="A40" s="11">
        <v>32</v>
      </c>
      <c r="B40" s="24">
        <v>83355867.029234067</v>
      </c>
      <c r="C40" s="24">
        <v>65029936.305820853</v>
      </c>
      <c r="D40" s="24">
        <v>85861762.159535438</v>
      </c>
      <c r="E40" s="24">
        <f>TSim[[#This Row],[ValorFinalReal]]-TSim[[#This Row],[AportesReales]]</f>
        <v>20831825.853714585</v>
      </c>
      <c r="F40" s="19">
        <f>IF(TSim[[#This Row],[ValorFinalReal]]&gt;=Meta,1,0)</f>
        <v>1</v>
      </c>
      <c r="G40" s="21">
        <v>0</v>
      </c>
    </row>
    <row r="41" spans="1:7" ht="16.95" customHeight="1">
      <c r="A41" s="11">
        <v>33</v>
      </c>
      <c r="B41" s="24">
        <v>73853124.360661209</v>
      </c>
      <c r="C41" s="24">
        <v>64993736.155980237</v>
      </c>
      <c r="D41" s="24">
        <v>73357083.945356339</v>
      </c>
      <c r="E41" s="24">
        <f>TSim[[#This Row],[ValorFinalReal]]-TSim[[#This Row],[AportesReales]]</f>
        <v>8363347.7893761024</v>
      </c>
      <c r="F41" s="19">
        <f>IF(TSim[[#This Row],[ValorFinalReal]]&gt;=Meta,1,0)</f>
        <v>0</v>
      </c>
      <c r="G41" s="21">
        <v>1.547824760885774E-4</v>
      </c>
    </row>
    <row r="42" spans="1:7" ht="16.95" customHeight="1">
      <c r="A42" s="11">
        <v>34</v>
      </c>
      <c r="B42" s="24">
        <v>93137518.764351025</v>
      </c>
      <c r="C42" s="24">
        <v>64763553.224721953</v>
      </c>
      <c r="D42" s="24">
        <v>73422166.160014659</v>
      </c>
      <c r="E42" s="24">
        <f>TSim[[#This Row],[ValorFinalReal]]-TSim[[#This Row],[AportesReales]]</f>
        <v>8658612.9352927059</v>
      </c>
      <c r="F42" s="19">
        <f>IF(TSim[[#This Row],[ValorFinalReal]]&gt;=Meta,1,0)</f>
        <v>0</v>
      </c>
      <c r="G42" s="21">
        <v>1.592639228716497E-2</v>
      </c>
    </row>
    <row r="43" spans="1:7" ht="16.95" customHeight="1">
      <c r="A43" s="11">
        <v>35</v>
      </c>
      <c r="B43" s="24">
        <v>86150781.646789342</v>
      </c>
      <c r="C43" s="24">
        <v>64784745.650784269</v>
      </c>
      <c r="D43" s="24">
        <v>69419067.555032685</v>
      </c>
      <c r="E43" s="24">
        <f>TSim[[#This Row],[ValorFinalReal]]-TSim[[#This Row],[AportesReales]]</f>
        <v>4634321.9042484164</v>
      </c>
      <c r="F43" s="19">
        <f>IF(TSim[[#This Row],[ValorFinalReal]]&gt;=Meta,1,0)</f>
        <v>0</v>
      </c>
      <c r="G43" s="21">
        <v>9.500172578355226E-3</v>
      </c>
    </row>
    <row r="44" spans="1:7" ht="16.95" customHeight="1">
      <c r="A44" s="11">
        <v>36</v>
      </c>
      <c r="B44" s="24">
        <v>94590731.164984882</v>
      </c>
      <c r="C44" s="24">
        <v>64803440.143064722</v>
      </c>
      <c r="D44" s="24">
        <v>77641219.011540413</v>
      </c>
      <c r="E44" s="24">
        <f>TSim[[#This Row],[ValorFinalReal]]-TSim[[#This Row],[AportesReales]]</f>
        <v>12837778.86847569</v>
      </c>
      <c r="F44" s="19">
        <f>IF(TSim[[#This Row],[ValorFinalReal]]&gt;=Meta,1,0)</f>
        <v>0</v>
      </c>
      <c r="G44" s="21">
        <v>3.9210643650030566E-3</v>
      </c>
    </row>
    <row r="45" spans="1:7" ht="16.95" customHeight="1">
      <c r="A45" s="11">
        <v>37</v>
      </c>
      <c r="B45" s="24">
        <v>92557834.216031343</v>
      </c>
      <c r="C45" s="24">
        <v>64892655.539024428</v>
      </c>
      <c r="D45" s="24">
        <v>83095788.030969664</v>
      </c>
      <c r="E45" s="24">
        <f>TSim[[#This Row],[ValorFinalReal]]-TSim[[#This Row],[AportesReales]]</f>
        <v>18203132.491945237</v>
      </c>
      <c r="F45" s="19">
        <f>IF(TSim[[#This Row],[ValorFinalReal]]&gt;=Meta,1,0)</f>
        <v>1</v>
      </c>
      <c r="G45" s="21">
        <v>6.6115761944131046E-3</v>
      </c>
    </row>
    <row r="46" spans="1:7" ht="16.95" customHeight="1">
      <c r="A46" s="11">
        <v>38</v>
      </c>
      <c r="B46" s="24">
        <v>84273410.411783114</v>
      </c>
      <c r="C46" s="24">
        <v>64941895.544074766</v>
      </c>
      <c r="D46" s="24">
        <v>79437568.17732127</v>
      </c>
      <c r="E46" s="24">
        <f>TSim[[#This Row],[ValorFinalReal]]-TSim[[#This Row],[AportesReales]]</f>
        <v>14495672.633246504</v>
      </c>
      <c r="F46" s="19">
        <f>IF(TSim[[#This Row],[ValorFinalReal]]&gt;=Meta,1,0)</f>
        <v>0</v>
      </c>
      <c r="G46" s="21">
        <v>4.7637968842543232E-3</v>
      </c>
    </row>
    <row r="47" spans="1:7" ht="16.95" customHeight="1">
      <c r="A47" s="11">
        <v>39</v>
      </c>
      <c r="B47" s="24">
        <v>73314118.067314923</v>
      </c>
      <c r="C47" s="24">
        <v>65033072.49031692</v>
      </c>
      <c r="D47" s="24">
        <v>75743562.786012262</v>
      </c>
      <c r="E47" s="24">
        <f>TSim[[#This Row],[ValorFinalReal]]-TSim[[#This Row],[AportesReales]]</f>
        <v>10710490.295695342</v>
      </c>
      <c r="F47" s="19">
        <f>IF(TSim[[#This Row],[ValorFinalReal]]&gt;=Meta,1,0)</f>
        <v>0</v>
      </c>
      <c r="G47" s="21">
        <v>9.6955844572443883E-4</v>
      </c>
    </row>
    <row r="48" spans="1:7" ht="16.95" customHeight="1">
      <c r="A48" s="11">
        <v>40</v>
      </c>
      <c r="B48" s="24">
        <v>90195127.383786231</v>
      </c>
      <c r="C48" s="24">
        <v>64945486.297848478</v>
      </c>
      <c r="D48" s="24">
        <v>85355795.125100955</v>
      </c>
      <c r="E48" s="24">
        <f>TSim[[#This Row],[ValorFinalReal]]-TSim[[#This Row],[AportesReales]]</f>
        <v>20410308.827252477</v>
      </c>
      <c r="F48" s="19">
        <f>IF(TSim[[#This Row],[ValorFinalReal]]&gt;=Meta,1,0)</f>
        <v>1</v>
      </c>
      <c r="G48" s="21">
        <v>0</v>
      </c>
    </row>
    <row r="49" spans="1:7" ht="16.95" customHeight="1">
      <c r="A49" s="11">
        <v>41</v>
      </c>
      <c r="B49" s="24">
        <v>93500144.079780653</v>
      </c>
      <c r="C49" s="24">
        <v>64710325.75419943</v>
      </c>
      <c r="D49" s="24">
        <v>69877482.159714133</v>
      </c>
      <c r="E49" s="24">
        <f>TSim[[#This Row],[ValorFinalReal]]-TSim[[#This Row],[AportesReales]]</f>
        <v>5167156.4055147022</v>
      </c>
      <c r="F49" s="19">
        <f>IF(TSim[[#This Row],[ValorFinalReal]]&gt;=Meta,1,0)</f>
        <v>0</v>
      </c>
      <c r="G49" s="21">
        <v>6.9026447839014571E-3</v>
      </c>
    </row>
    <row r="50" spans="1:7" ht="16.95" customHeight="1">
      <c r="A50" s="11">
        <v>42</v>
      </c>
      <c r="B50" s="24">
        <v>89871619.90205282</v>
      </c>
      <c r="C50" s="24">
        <v>64862940.577750541</v>
      </c>
      <c r="D50" s="24">
        <v>78308899.344634041</v>
      </c>
      <c r="E50" s="24">
        <f>TSim[[#This Row],[ValorFinalReal]]-TSim[[#This Row],[AportesReales]]</f>
        <v>13445958.7668835</v>
      </c>
      <c r="F50" s="19">
        <f>IF(TSim[[#This Row],[ValorFinalReal]]&gt;=Meta,1,0)</f>
        <v>0</v>
      </c>
      <c r="G50" s="21">
        <v>0</v>
      </c>
    </row>
    <row r="51" spans="1:7" ht="16.95" customHeight="1">
      <c r="A51" s="11">
        <v>43</v>
      </c>
      <c r="B51" s="24">
        <v>92606513.149510443</v>
      </c>
      <c r="C51" s="24">
        <v>64922347.543104939</v>
      </c>
      <c r="D51" s="24">
        <v>85635986.666000009</v>
      </c>
      <c r="E51" s="24">
        <f>TSim[[#This Row],[ValorFinalReal]]-TSim[[#This Row],[AportesReales]]</f>
        <v>20713639.122895069</v>
      </c>
      <c r="F51" s="19">
        <f>IF(TSim[[#This Row],[ValorFinalReal]]&gt;=Meta,1,0)</f>
        <v>1</v>
      </c>
      <c r="G51" s="21">
        <v>0</v>
      </c>
    </row>
    <row r="52" spans="1:7" ht="16.95" customHeight="1">
      <c r="A52" s="11">
        <v>44</v>
      </c>
      <c r="B52" s="24">
        <v>91761664.031539202</v>
      </c>
      <c r="C52" s="24">
        <v>64922355.438910671</v>
      </c>
      <c r="D52" s="24">
        <v>84868257.094210878</v>
      </c>
      <c r="E52" s="24">
        <f>TSim[[#This Row],[ValorFinalReal]]-TSim[[#This Row],[AportesReales]]</f>
        <v>19945901.655300207</v>
      </c>
      <c r="F52" s="19">
        <f>IF(TSim[[#This Row],[ValorFinalReal]]&gt;=Meta,1,0)</f>
        <v>1</v>
      </c>
      <c r="G52" s="21">
        <v>1.761053866862428E-3</v>
      </c>
    </row>
    <row r="53" spans="1:7" ht="16.95" customHeight="1">
      <c r="A53" s="11">
        <v>45</v>
      </c>
      <c r="B53" s="24">
        <v>92351310.417112887</v>
      </c>
      <c r="C53" s="24">
        <v>64912221.310549892</v>
      </c>
      <c r="D53" s="24">
        <v>84521566.360579252</v>
      </c>
      <c r="E53" s="24">
        <f>TSim[[#This Row],[ValorFinalReal]]-TSim[[#This Row],[AportesReales]]</f>
        <v>19609345.05002936</v>
      </c>
      <c r="F53" s="19">
        <f>IF(TSim[[#This Row],[ValorFinalReal]]&gt;=Meta,1,0)</f>
        <v>1</v>
      </c>
      <c r="G53" s="21">
        <v>0</v>
      </c>
    </row>
    <row r="54" spans="1:7" ht="16.95" customHeight="1">
      <c r="A54" s="11">
        <v>46</v>
      </c>
      <c r="B54" s="24">
        <v>91262804.679598749</v>
      </c>
      <c r="C54" s="24">
        <v>64854676.492559992</v>
      </c>
      <c r="D54" s="24">
        <v>78839432.601284772</v>
      </c>
      <c r="E54" s="24">
        <f>TSim[[#This Row],[ValorFinalReal]]-TSim[[#This Row],[AportesReales]]</f>
        <v>13984756.10872478</v>
      </c>
      <c r="F54" s="19">
        <f>IF(TSim[[#This Row],[ValorFinalReal]]&gt;=Meta,1,0)</f>
        <v>0</v>
      </c>
      <c r="G54" s="21">
        <v>1.1646235197314111E-2</v>
      </c>
    </row>
    <row r="55" spans="1:7" ht="16.95" customHeight="1">
      <c r="A55" s="11">
        <v>47</v>
      </c>
      <c r="B55" s="24">
        <v>81860312.633337349</v>
      </c>
      <c r="C55" s="24">
        <v>64893969.010783337</v>
      </c>
      <c r="D55" s="24">
        <v>73573900.014411256</v>
      </c>
      <c r="E55" s="24">
        <f>TSim[[#This Row],[ValorFinalReal]]-TSim[[#This Row],[AportesReales]]</f>
        <v>8679931.0036279187</v>
      </c>
      <c r="F55" s="19">
        <f>IF(TSim[[#This Row],[ValorFinalReal]]&gt;=Meta,1,0)</f>
        <v>0</v>
      </c>
      <c r="G55" s="21">
        <v>6.6627397155299972E-3</v>
      </c>
    </row>
    <row r="56" spans="1:7" ht="16.95" customHeight="1">
      <c r="A56" s="11">
        <v>48</v>
      </c>
      <c r="B56" s="24">
        <v>69466020.866332904</v>
      </c>
      <c r="C56" s="24">
        <v>64928994.208912343</v>
      </c>
      <c r="D56" s="24">
        <v>64660562.689127304</v>
      </c>
      <c r="E56" s="24">
        <f>TSim[[#This Row],[ValorFinalReal]]-TSim[[#This Row],[AportesReales]]</f>
        <v>-268431.51978503913</v>
      </c>
      <c r="F56" s="19">
        <f>IF(TSim[[#This Row],[ValorFinalReal]]&gt;=Meta,1,0)</f>
        <v>0</v>
      </c>
      <c r="G56" s="21">
        <v>2.1077970530002381E-3</v>
      </c>
    </row>
    <row r="57" spans="1:7" ht="16.95" customHeight="1">
      <c r="A57" s="11">
        <v>49</v>
      </c>
      <c r="B57" s="24">
        <v>92176840.306953385</v>
      </c>
      <c r="C57" s="24">
        <v>64821428.774475813</v>
      </c>
      <c r="D57" s="24">
        <v>77038837.311662152</v>
      </c>
      <c r="E57" s="24">
        <f>TSim[[#This Row],[ValorFinalReal]]-TSim[[#This Row],[AportesReales]]</f>
        <v>12217408.537186339</v>
      </c>
      <c r="F57" s="19">
        <f>IF(TSim[[#This Row],[ValorFinalReal]]&gt;=Meta,1,0)</f>
        <v>0</v>
      </c>
      <c r="G57" s="21">
        <v>3.5364156005412979E-3</v>
      </c>
    </row>
    <row r="58" spans="1:7" ht="16.95" customHeight="1">
      <c r="A58" s="11">
        <v>50</v>
      </c>
      <c r="B58" s="24">
        <v>88693378.572802022</v>
      </c>
      <c r="C58" s="24">
        <v>64916413.747402303</v>
      </c>
      <c r="D58" s="24">
        <v>81545648.231750771</v>
      </c>
      <c r="E58" s="24">
        <f>TSim[[#This Row],[ValorFinalReal]]-TSim[[#This Row],[AportesReales]]</f>
        <v>16629234.484348468</v>
      </c>
      <c r="F58" s="19">
        <f>IF(TSim[[#This Row],[ValorFinalReal]]&gt;=Meta,1,0)</f>
        <v>1</v>
      </c>
      <c r="G58" s="21">
        <v>0</v>
      </c>
    </row>
    <row r="59" spans="1:7" ht="16.95" customHeight="1">
      <c r="A59" s="11">
        <v>51</v>
      </c>
      <c r="B59" s="24">
        <v>76833341.411897942</v>
      </c>
      <c r="C59" s="24">
        <v>64958542.706392527</v>
      </c>
      <c r="D59" s="24">
        <v>73659002.674252599</v>
      </c>
      <c r="E59" s="24">
        <f>TSim[[#This Row],[ValorFinalReal]]-TSim[[#This Row],[AportesReales]]</f>
        <v>8700459.9678600729</v>
      </c>
      <c r="F59" s="19">
        <f>IF(TSim[[#This Row],[ValorFinalReal]]&gt;=Meta,1,0)</f>
        <v>0</v>
      </c>
      <c r="G59" s="21">
        <v>3.3637954996479369E-3</v>
      </c>
    </row>
    <row r="60" spans="1:7" ht="16.95" customHeight="1">
      <c r="A60" s="11">
        <v>52</v>
      </c>
      <c r="B60" s="24">
        <v>81626030.997618705</v>
      </c>
      <c r="C60" s="24">
        <v>64836259.798232377</v>
      </c>
      <c r="D60" s="24">
        <v>69251547.381257802</v>
      </c>
      <c r="E60" s="24">
        <f>TSim[[#This Row],[ValorFinalReal]]-TSim[[#This Row],[AportesReales]]</f>
        <v>4415287.5830254257</v>
      </c>
      <c r="F60" s="19">
        <f>IF(TSim[[#This Row],[ValorFinalReal]]&gt;=Meta,1,0)</f>
        <v>0</v>
      </c>
      <c r="G60" s="21">
        <v>3.247862441183802E-3</v>
      </c>
    </row>
    <row r="61" spans="1:7" ht="16.95" customHeight="1">
      <c r="A61" s="11">
        <v>53</v>
      </c>
      <c r="B61" s="24">
        <v>106628685.70442741</v>
      </c>
      <c r="C61" s="24">
        <v>64776437.975996859</v>
      </c>
      <c r="D61" s="24">
        <v>85187561.651278317</v>
      </c>
      <c r="E61" s="24">
        <f>TSim[[#This Row],[ValorFinalReal]]-TSim[[#This Row],[AportesReales]]</f>
        <v>20411123.675281458</v>
      </c>
      <c r="F61" s="19">
        <f>IF(TSim[[#This Row],[ValorFinalReal]]&gt;=Meta,1,0)</f>
        <v>1</v>
      </c>
      <c r="G61" s="21">
        <v>0</v>
      </c>
    </row>
    <row r="62" spans="1:7" ht="16.95" customHeight="1">
      <c r="A62" s="11">
        <v>54</v>
      </c>
      <c r="B62" s="24">
        <v>90821084.015805185</v>
      </c>
      <c r="C62" s="24">
        <v>64918162.289979011</v>
      </c>
      <c r="D62" s="24">
        <v>83607759.252380237</v>
      </c>
      <c r="E62" s="24">
        <f>TSim[[#This Row],[ValorFinalReal]]-TSim[[#This Row],[AportesReales]]</f>
        <v>18689596.962401226</v>
      </c>
      <c r="F62" s="19">
        <f>IF(TSim[[#This Row],[ValorFinalReal]]&gt;=Meta,1,0)</f>
        <v>1</v>
      </c>
      <c r="G62" s="21">
        <v>0</v>
      </c>
    </row>
    <row r="63" spans="1:7" ht="16.95" customHeight="1">
      <c r="A63" s="11">
        <v>55</v>
      </c>
      <c r="B63" s="24">
        <v>87281815.418765634</v>
      </c>
      <c r="C63" s="24">
        <v>64633139.235310443</v>
      </c>
      <c r="D63" s="24">
        <v>60376903.467231818</v>
      </c>
      <c r="E63" s="24">
        <f>TSim[[#This Row],[ValorFinalReal]]-TSim[[#This Row],[AportesReales]]</f>
        <v>-4256235.7680786252</v>
      </c>
      <c r="F63" s="19">
        <f>IF(TSim[[#This Row],[ValorFinalReal]]&gt;=Meta,1,0)</f>
        <v>0</v>
      </c>
      <c r="G63" s="21">
        <v>0</v>
      </c>
    </row>
    <row r="64" spans="1:7" ht="16.95" customHeight="1">
      <c r="A64" s="11">
        <v>56</v>
      </c>
      <c r="B64" s="24">
        <v>87654273.69789733</v>
      </c>
      <c r="C64" s="24">
        <v>64936129.640340507</v>
      </c>
      <c r="D64" s="24">
        <v>82190449.011980936</v>
      </c>
      <c r="E64" s="24">
        <f>TSim[[#This Row],[ValorFinalReal]]-TSim[[#This Row],[AportesReales]]</f>
        <v>17254319.371640429</v>
      </c>
      <c r="F64" s="19">
        <f>IF(TSim[[#This Row],[ValorFinalReal]]&gt;=Meta,1,0)</f>
        <v>1</v>
      </c>
      <c r="G64" s="21">
        <v>1.054377905366555E-3</v>
      </c>
    </row>
    <row r="65" spans="1:7" ht="16.95" customHeight="1">
      <c r="A65" s="11">
        <v>57</v>
      </c>
      <c r="B65" s="24">
        <v>86208616.951162711</v>
      </c>
      <c r="C65" s="24">
        <v>64735859.061950602</v>
      </c>
      <c r="D65" s="24">
        <v>66121601.363816217</v>
      </c>
      <c r="E65" s="24">
        <f>TSim[[#This Row],[ValorFinalReal]]-TSim[[#This Row],[AportesReales]]</f>
        <v>1385742.301865615</v>
      </c>
      <c r="F65" s="19">
        <f>IF(TSim[[#This Row],[ValorFinalReal]]&gt;=Meta,1,0)</f>
        <v>0</v>
      </c>
      <c r="G65" s="21">
        <v>1.7994536742985681E-3</v>
      </c>
    </row>
    <row r="66" spans="1:7" ht="16.95" customHeight="1">
      <c r="A66" s="11">
        <v>58</v>
      </c>
      <c r="B66" s="24">
        <v>110080918.0612108</v>
      </c>
      <c r="C66" s="24">
        <v>64865198.884293258</v>
      </c>
      <c r="D66" s="24">
        <v>96120547.409943938</v>
      </c>
      <c r="E66" s="24">
        <f>TSim[[#This Row],[ValorFinalReal]]-TSim[[#This Row],[AportesReales]]</f>
        <v>31255348.52565068</v>
      </c>
      <c r="F66" s="19">
        <f>IF(TSim[[#This Row],[ValorFinalReal]]&gt;=Meta,1,0)</f>
        <v>1</v>
      </c>
      <c r="G66" s="21">
        <v>0</v>
      </c>
    </row>
    <row r="67" spans="1:7" ht="16.95" customHeight="1">
      <c r="A67" s="11">
        <v>59</v>
      </c>
      <c r="B67" s="24">
        <v>84125528.724473745</v>
      </c>
      <c r="C67" s="24">
        <v>64953393.158821173</v>
      </c>
      <c r="D67" s="24">
        <v>80231782.536447778</v>
      </c>
      <c r="E67" s="24">
        <f>TSim[[#This Row],[ValorFinalReal]]-TSim[[#This Row],[AportesReales]]</f>
        <v>15278389.377626605</v>
      </c>
      <c r="F67" s="19">
        <f>IF(TSim[[#This Row],[ValorFinalReal]]&gt;=Meta,1,0)</f>
        <v>1</v>
      </c>
      <c r="G67" s="21">
        <v>3.2134370132546049E-3</v>
      </c>
    </row>
    <row r="68" spans="1:7" ht="16.95" customHeight="1">
      <c r="A68" s="11">
        <v>60</v>
      </c>
      <c r="B68" s="24">
        <v>87884225.374931112</v>
      </c>
      <c r="C68" s="24">
        <v>64785305.773699909</v>
      </c>
      <c r="D68" s="24">
        <v>70828796.19621633</v>
      </c>
      <c r="E68" s="24">
        <f>TSim[[#This Row],[ValorFinalReal]]-TSim[[#This Row],[AportesReales]]</f>
        <v>6043490.4225164205</v>
      </c>
      <c r="F68" s="19">
        <f>IF(TSim[[#This Row],[ValorFinalReal]]&gt;=Meta,1,0)</f>
        <v>0</v>
      </c>
      <c r="G68" s="21">
        <v>4.3892063515973412E-3</v>
      </c>
    </row>
    <row r="69" spans="1:7" ht="16.95" customHeight="1">
      <c r="A69" s="11">
        <v>61</v>
      </c>
      <c r="B69" s="24">
        <v>99538060.03053537</v>
      </c>
      <c r="C69" s="24">
        <v>64604575.263491817</v>
      </c>
      <c r="D69" s="24">
        <v>66912626.847692437</v>
      </c>
      <c r="E69" s="24">
        <f>TSim[[#This Row],[ValorFinalReal]]-TSim[[#This Row],[AportesReales]]</f>
        <v>2308051.5842006207</v>
      </c>
      <c r="F69" s="19">
        <f>IF(TSim[[#This Row],[ValorFinalReal]]&gt;=Meta,1,0)</f>
        <v>0</v>
      </c>
      <c r="G69" s="21">
        <v>1.348384448652618E-2</v>
      </c>
    </row>
    <row r="70" spans="1:7" ht="16.95" customHeight="1">
      <c r="A70" s="11">
        <v>62</v>
      </c>
      <c r="B70" s="24">
        <v>90290141.337165847</v>
      </c>
      <c r="C70" s="24">
        <v>64873126.813072637</v>
      </c>
      <c r="D70" s="24">
        <v>79488806.724224612</v>
      </c>
      <c r="E70" s="24">
        <f>TSim[[#This Row],[ValorFinalReal]]-TSim[[#This Row],[AportesReales]]</f>
        <v>14615679.911151975</v>
      </c>
      <c r="F70" s="19">
        <f>IF(TSim[[#This Row],[ValorFinalReal]]&gt;=Meta,1,0)</f>
        <v>0</v>
      </c>
      <c r="G70" s="21">
        <v>5.2798648235450329E-3</v>
      </c>
    </row>
    <row r="71" spans="1:7" ht="16.95" customHeight="1">
      <c r="A71" s="11">
        <v>63</v>
      </c>
      <c r="B71" s="24">
        <v>89850741.358796239</v>
      </c>
      <c r="C71" s="24">
        <v>64901460.188528217</v>
      </c>
      <c r="D71" s="24">
        <v>81354725.272316948</v>
      </c>
      <c r="E71" s="24">
        <f>TSim[[#This Row],[ValorFinalReal]]-TSim[[#This Row],[AportesReales]]</f>
        <v>16453265.08378873</v>
      </c>
      <c r="F71" s="19">
        <f>IF(TSim[[#This Row],[ValorFinalReal]]&gt;=Meta,1,0)</f>
        <v>1</v>
      </c>
      <c r="G71" s="21">
        <v>2.5096983676375921E-3</v>
      </c>
    </row>
    <row r="72" spans="1:7" ht="16.95" customHeight="1">
      <c r="A72" s="11">
        <v>64</v>
      </c>
      <c r="B72" s="24">
        <v>88694324.664135963</v>
      </c>
      <c r="C72" s="24">
        <v>64773400.586081497</v>
      </c>
      <c r="D72" s="24">
        <v>70650203.464657798</v>
      </c>
      <c r="E72" s="24">
        <f>TSim[[#This Row],[ValorFinalReal]]-TSim[[#This Row],[AportesReales]]</f>
        <v>5876802.878576301</v>
      </c>
      <c r="F72" s="19">
        <f>IF(TSim[[#This Row],[ValorFinalReal]]&gt;=Meta,1,0)</f>
        <v>0</v>
      </c>
      <c r="G72" s="21">
        <v>2.748183162012086E-3</v>
      </c>
    </row>
    <row r="73" spans="1:7" ht="16.95" customHeight="1">
      <c r="A73" s="11">
        <v>65</v>
      </c>
      <c r="B73" s="24">
        <v>88619042.647859648</v>
      </c>
      <c r="C73" s="24">
        <v>64717378.902118377</v>
      </c>
      <c r="D73" s="24">
        <v>66723199.397492073</v>
      </c>
      <c r="E73" s="24">
        <f>TSim[[#This Row],[ValorFinalReal]]-TSim[[#This Row],[AportesReales]]</f>
        <v>2005820.4953736961</v>
      </c>
      <c r="F73" s="19">
        <f>IF(TSim[[#This Row],[ValorFinalReal]]&gt;=Meta,1,0)</f>
        <v>0</v>
      </c>
      <c r="G73" s="21">
        <v>3.6906868844728269E-3</v>
      </c>
    </row>
    <row r="74" spans="1:7" ht="16.95" customHeight="1">
      <c r="A74" s="11">
        <v>66</v>
      </c>
      <c r="B74" s="24">
        <v>88004764.891599983</v>
      </c>
      <c r="C74" s="24">
        <v>64824156.781532817</v>
      </c>
      <c r="D74" s="24">
        <v>73748449.015058905</v>
      </c>
      <c r="E74" s="24">
        <f>TSim[[#This Row],[ValorFinalReal]]-TSim[[#This Row],[AportesReales]]</f>
        <v>8924292.2335260883</v>
      </c>
      <c r="F74" s="19">
        <f>IF(TSim[[#This Row],[ValorFinalReal]]&gt;=Meta,1,0)</f>
        <v>0</v>
      </c>
      <c r="G74" s="21">
        <v>0</v>
      </c>
    </row>
    <row r="75" spans="1:7" ht="16.95" customHeight="1">
      <c r="A75" s="11">
        <v>67</v>
      </c>
      <c r="B75" s="24">
        <v>84931582.038847879</v>
      </c>
      <c r="C75" s="24">
        <v>64902371.752224199</v>
      </c>
      <c r="D75" s="24">
        <v>76988333.403916672</v>
      </c>
      <c r="E75" s="24">
        <f>TSim[[#This Row],[ValorFinalReal]]-TSim[[#This Row],[AportesReales]]</f>
        <v>12085961.651692472</v>
      </c>
      <c r="F75" s="19">
        <f>IF(TSim[[#This Row],[ValorFinalReal]]&gt;=Meta,1,0)</f>
        <v>0</v>
      </c>
      <c r="G75" s="21">
        <v>1.037479371174843E-2</v>
      </c>
    </row>
    <row r="76" spans="1:7" ht="16.95" customHeight="1">
      <c r="A76" s="11">
        <v>68</v>
      </c>
      <c r="B76" s="24">
        <v>82773524.229311824</v>
      </c>
      <c r="C76" s="24">
        <v>64904585.656135991</v>
      </c>
      <c r="D76" s="24">
        <v>75198217.463801965</v>
      </c>
      <c r="E76" s="24">
        <f>TSim[[#This Row],[ValorFinalReal]]-TSim[[#This Row],[AportesReales]]</f>
        <v>10293631.807665974</v>
      </c>
      <c r="F76" s="19">
        <f>IF(TSim[[#This Row],[ValorFinalReal]]&gt;=Meta,1,0)</f>
        <v>0</v>
      </c>
      <c r="G76" s="21">
        <v>7.2801461667485468E-3</v>
      </c>
    </row>
    <row r="77" spans="1:7" ht="16.95" customHeight="1">
      <c r="A77" s="11">
        <v>69</v>
      </c>
      <c r="B77" s="24">
        <v>98477270.686261103</v>
      </c>
      <c r="C77" s="24">
        <v>64787951.648499057</v>
      </c>
      <c r="D77" s="24">
        <v>79602104.250515699</v>
      </c>
      <c r="E77" s="24">
        <f>TSim[[#This Row],[ValorFinalReal]]-TSim[[#This Row],[AportesReales]]</f>
        <v>14814152.602016643</v>
      </c>
      <c r="F77" s="19">
        <f>IF(TSim[[#This Row],[ValorFinalReal]]&gt;=Meta,1,0)</f>
        <v>0</v>
      </c>
      <c r="G77" s="21">
        <v>5.8025930874442411E-3</v>
      </c>
    </row>
    <row r="78" spans="1:7" ht="16.95" customHeight="1">
      <c r="A78" s="11">
        <v>70</v>
      </c>
      <c r="B78" s="24">
        <v>91880546.848170906</v>
      </c>
      <c r="C78" s="24">
        <v>64732210.07039164</v>
      </c>
      <c r="D78" s="24">
        <v>70214388.573843673</v>
      </c>
      <c r="E78" s="24">
        <f>TSim[[#This Row],[ValorFinalReal]]-TSim[[#This Row],[AportesReales]]</f>
        <v>5482178.5034520328</v>
      </c>
      <c r="F78" s="19">
        <f>IF(TSim[[#This Row],[ValorFinalReal]]&gt;=Meta,1,0)</f>
        <v>0</v>
      </c>
      <c r="G78" s="21">
        <v>6.1134715863185862E-3</v>
      </c>
    </row>
    <row r="79" spans="1:7" ht="16.95" customHeight="1">
      <c r="A79" s="11">
        <v>71</v>
      </c>
      <c r="B79" s="24">
        <v>108779961.0618148</v>
      </c>
      <c r="C79" s="24">
        <v>64633803.506221861</v>
      </c>
      <c r="D79" s="24">
        <v>75284443.433519602</v>
      </c>
      <c r="E79" s="24">
        <f>TSim[[#This Row],[ValorFinalReal]]-TSim[[#This Row],[AportesReales]]</f>
        <v>10650639.927297741</v>
      </c>
      <c r="F79" s="19">
        <f>IF(TSim[[#This Row],[ValorFinalReal]]&gt;=Meta,1,0)</f>
        <v>0</v>
      </c>
      <c r="G79" s="21">
        <v>9.3817534969445893E-3</v>
      </c>
    </row>
    <row r="80" spans="1:7" ht="16.95" customHeight="1">
      <c r="A80" s="11">
        <v>72</v>
      </c>
      <c r="B80" s="24">
        <v>96633609.411477208</v>
      </c>
      <c r="C80" s="24">
        <v>64871604.291347861</v>
      </c>
      <c r="D80" s="24">
        <v>84944227.385019377</v>
      </c>
      <c r="E80" s="24">
        <f>TSim[[#This Row],[ValorFinalReal]]-TSim[[#This Row],[AportesReales]]</f>
        <v>20072623.093671516</v>
      </c>
      <c r="F80" s="19">
        <f>IF(TSim[[#This Row],[ValorFinalReal]]&gt;=Meta,1,0)</f>
        <v>1</v>
      </c>
      <c r="G80" s="21">
        <v>0</v>
      </c>
    </row>
    <row r="81" spans="1:7" ht="16.95" customHeight="1">
      <c r="A81" s="11">
        <v>73</v>
      </c>
      <c r="B81" s="24">
        <v>79637687.628644913</v>
      </c>
      <c r="C81" s="24">
        <v>64899407.895728879</v>
      </c>
      <c r="D81" s="24">
        <v>71967498.95582743</v>
      </c>
      <c r="E81" s="24">
        <f>TSim[[#This Row],[ValorFinalReal]]-TSim[[#This Row],[AportesReales]]</f>
        <v>7068091.0600985512</v>
      </c>
      <c r="F81" s="19">
        <f>IF(TSim[[#This Row],[ValorFinalReal]]&gt;=Meta,1,0)</f>
        <v>0</v>
      </c>
      <c r="G81" s="21">
        <v>4.9545204789241959E-3</v>
      </c>
    </row>
    <row r="82" spans="1:7" ht="16.95" customHeight="1">
      <c r="A82" s="11">
        <v>74</v>
      </c>
      <c r="B82" s="24">
        <v>110906485.76597001</v>
      </c>
      <c r="C82" s="24">
        <v>64595894.832832888</v>
      </c>
      <c r="D82" s="24">
        <v>73887195.461121336</v>
      </c>
      <c r="E82" s="24">
        <f>TSim[[#This Row],[ValorFinalReal]]-TSim[[#This Row],[AportesReales]]</f>
        <v>9291300.6282884479</v>
      </c>
      <c r="F82" s="19">
        <f>IF(TSim[[#This Row],[ValorFinalReal]]&gt;=Meta,1,0)</f>
        <v>0</v>
      </c>
      <c r="G82" s="21">
        <v>1.8674452800337971E-4</v>
      </c>
    </row>
    <row r="83" spans="1:7" ht="16.95" customHeight="1">
      <c r="A83" s="11">
        <v>75</v>
      </c>
      <c r="B83" s="24">
        <v>81230122.159759209</v>
      </c>
      <c r="C83" s="24">
        <v>64824783.093506053</v>
      </c>
      <c r="D83" s="24">
        <v>68116498.266049564</v>
      </c>
      <c r="E83" s="24">
        <f>TSim[[#This Row],[ValorFinalReal]]-TSim[[#This Row],[AportesReales]]</f>
        <v>3291715.1725435108</v>
      </c>
      <c r="F83" s="19">
        <f>IF(TSim[[#This Row],[ValorFinalReal]]&gt;=Meta,1,0)</f>
        <v>0</v>
      </c>
      <c r="G83" s="21">
        <v>7.5577159275623806E-3</v>
      </c>
    </row>
    <row r="84" spans="1:7" ht="16.95" customHeight="1">
      <c r="A84" s="11">
        <v>76</v>
      </c>
      <c r="B84" s="24">
        <v>92378359.840925545</v>
      </c>
      <c r="C84" s="24">
        <v>64829556.740678437</v>
      </c>
      <c r="D84" s="24">
        <v>77822102.042619616</v>
      </c>
      <c r="E84" s="24">
        <f>TSim[[#This Row],[ValorFinalReal]]-TSim[[#This Row],[AportesReales]]</f>
        <v>12992545.301941179</v>
      </c>
      <c r="F84" s="19">
        <f>IF(TSim[[#This Row],[ValorFinalReal]]&gt;=Meta,1,0)</f>
        <v>0</v>
      </c>
      <c r="G84" s="21">
        <v>0</v>
      </c>
    </row>
    <row r="85" spans="1:7" ht="16.95" customHeight="1">
      <c r="A85" s="11">
        <v>77</v>
      </c>
      <c r="B85" s="24">
        <v>87387637.109591767</v>
      </c>
      <c r="C85" s="24">
        <v>64845697.944376267</v>
      </c>
      <c r="D85" s="24">
        <v>74842511.524449587</v>
      </c>
      <c r="E85" s="24">
        <f>TSim[[#This Row],[ValorFinalReal]]-TSim[[#This Row],[AportesReales]]</f>
        <v>9996813.5800733194</v>
      </c>
      <c r="F85" s="19">
        <f>IF(TSim[[#This Row],[ValorFinalReal]]&gt;=Meta,1,0)</f>
        <v>0</v>
      </c>
      <c r="G85" s="21">
        <v>7.1764568740422252E-3</v>
      </c>
    </row>
    <row r="86" spans="1:7" ht="16.95" customHeight="1">
      <c r="A86" s="11">
        <v>78</v>
      </c>
      <c r="B86" s="24">
        <v>94338481.563336298</v>
      </c>
      <c r="C86" s="24">
        <v>64913883.121654794</v>
      </c>
      <c r="D86" s="24">
        <v>86517618.83181648</v>
      </c>
      <c r="E86" s="24">
        <f>TSim[[#This Row],[ValorFinalReal]]-TSim[[#This Row],[AportesReales]]</f>
        <v>21603735.710161686</v>
      </c>
      <c r="F86" s="19">
        <f>IF(TSim[[#This Row],[ValorFinalReal]]&gt;=Meta,1,0)</f>
        <v>1</v>
      </c>
      <c r="G86" s="21">
        <v>1.1228110822091851E-2</v>
      </c>
    </row>
    <row r="87" spans="1:7" ht="16.95" customHeight="1">
      <c r="A87" s="11">
        <v>79</v>
      </c>
      <c r="B87" s="24">
        <v>109489994.82132261</v>
      </c>
      <c r="C87" s="24">
        <v>64835781.172167391</v>
      </c>
      <c r="D87" s="24">
        <v>92860167.896862894</v>
      </c>
      <c r="E87" s="24">
        <f>TSim[[#This Row],[ValorFinalReal]]-TSim[[#This Row],[AportesReales]]</f>
        <v>28024386.724695504</v>
      </c>
      <c r="F87" s="19">
        <f>IF(TSim[[#This Row],[ValorFinalReal]]&gt;=Meta,1,0)</f>
        <v>1</v>
      </c>
      <c r="G87" s="21">
        <v>0</v>
      </c>
    </row>
    <row r="88" spans="1:7" ht="16.95" customHeight="1">
      <c r="A88" s="11">
        <v>80</v>
      </c>
      <c r="B88" s="24">
        <v>81949473.329750046</v>
      </c>
      <c r="C88" s="24">
        <v>64722860.794664092</v>
      </c>
      <c r="D88" s="24">
        <v>62035341.128829367</v>
      </c>
      <c r="E88" s="24">
        <f>TSim[[#This Row],[ValorFinalReal]]-TSim[[#This Row],[AportesReales]]</f>
        <v>-2687519.6658347249</v>
      </c>
      <c r="F88" s="19">
        <f>IF(TSim[[#This Row],[ValorFinalReal]]&gt;=Meta,1,0)</f>
        <v>0</v>
      </c>
      <c r="G88" s="21">
        <v>1.248129295812439E-2</v>
      </c>
    </row>
    <row r="89" spans="1:7" ht="16.95" customHeight="1">
      <c r="A89" s="11">
        <v>81</v>
      </c>
      <c r="B89" s="24">
        <v>98691856.368967205</v>
      </c>
      <c r="C89" s="24">
        <v>64718310.13501323</v>
      </c>
      <c r="D89" s="24">
        <v>74388866.304621026</v>
      </c>
      <c r="E89" s="24">
        <f>TSim[[#This Row],[ValorFinalReal]]-TSim[[#This Row],[AportesReales]]</f>
        <v>9670556.1696077958</v>
      </c>
      <c r="F89" s="19">
        <f>IF(TSim[[#This Row],[ValorFinalReal]]&gt;=Meta,1,0)</f>
        <v>0</v>
      </c>
      <c r="G89" s="21">
        <v>8.3559409759846881E-3</v>
      </c>
    </row>
    <row r="90" spans="1:7" ht="16.95" customHeight="1">
      <c r="A90" s="11">
        <v>82</v>
      </c>
      <c r="B90" s="24">
        <v>99931986.127505422</v>
      </c>
      <c r="C90" s="24">
        <v>64636059.281914577</v>
      </c>
      <c r="D90" s="24">
        <v>69351656.503487438</v>
      </c>
      <c r="E90" s="24">
        <f>TSim[[#This Row],[ValorFinalReal]]-TSim[[#This Row],[AportesReales]]</f>
        <v>4715597.2215728611</v>
      </c>
      <c r="F90" s="19">
        <f>IF(TSim[[#This Row],[ValorFinalReal]]&gt;=Meta,1,0)</f>
        <v>0</v>
      </c>
      <c r="G90" s="21">
        <v>0</v>
      </c>
    </row>
    <row r="91" spans="1:7" ht="16.95" customHeight="1">
      <c r="A91" s="11">
        <v>83</v>
      </c>
      <c r="B91" s="24">
        <v>112919677.8310924</v>
      </c>
      <c r="C91" s="24">
        <v>64690403.481266573</v>
      </c>
      <c r="D91" s="24">
        <v>82750864.865182981</v>
      </c>
      <c r="E91" s="24">
        <f>TSim[[#This Row],[ValorFinalReal]]-TSim[[#This Row],[AportesReales]]</f>
        <v>18060461.383916408</v>
      </c>
      <c r="F91" s="19">
        <f>IF(TSim[[#This Row],[ValorFinalReal]]&gt;=Meta,1,0)</f>
        <v>1</v>
      </c>
      <c r="G91" s="21">
        <v>3.058267693038963E-3</v>
      </c>
    </row>
    <row r="92" spans="1:7" ht="16.95" customHeight="1">
      <c r="A92" s="11">
        <v>84</v>
      </c>
      <c r="B92" s="24">
        <v>117610731.8990383</v>
      </c>
      <c r="C92" s="24">
        <v>64677499.691931732</v>
      </c>
      <c r="D92" s="24">
        <v>85054343.77900213</v>
      </c>
      <c r="E92" s="24">
        <f>TSim[[#This Row],[ValorFinalReal]]-TSim[[#This Row],[AportesReales]]</f>
        <v>20376844.087070398</v>
      </c>
      <c r="F92" s="19">
        <f>IF(TSim[[#This Row],[ValorFinalReal]]&gt;=Meta,1,0)</f>
        <v>1</v>
      </c>
      <c r="G92" s="21">
        <v>1.1761530054932301E-3</v>
      </c>
    </row>
    <row r="93" spans="1:7" ht="16.95" customHeight="1">
      <c r="A93" s="11">
        <v>85</v>
      </c>
      <c r="B93" s="24">
        <v>95579053.119968772</v>
      </c>
      <c r="C93" s="24">
        <v>64866162.330553383</v>
      </c>
      <c r="D93" s="24">
        <v>83563402.858602986</v>
      </c>
      <c r="E93" s="24">
        <f>TSim[[#This Row],[ValorFinalReal]]-TSim[[#This Row],[AportesReales]]</f>
        <v>18697240.528049603</v>
      </c>
      <c r="F93" s="19">
        <f>IF(TSim[[#This Row],[ValorFinalReal]]&gt;=Meta,1,0)</f>
        <v>1</v>
      </c>
      <c r="G93" s="21">
        <v>3.1757496176999518E-3</v>
      </c>
    </row>
    <row r="94" spans="1:7" ht="16.95" customHeight="1">
      <c r="A94" s="11">
        <v>86</v>
      </c>
      <c r="B94" s="24">
        <v>74858469.753961682</v>
      </c>
      <c r="C94" s="24">
        <v>64974241.062979117</v>
      </c>
      <c r="D94" s="24">
        <v>72908740.31946665</v>
      </c>
      <c r="E94" s="24">
        <f>TSim[[#This Row],[ValorFinalReal]]-TSim[[#This Row],[AportesReales]]</f>
        <v>7934499.2564875335</v>
      </c>
      <c r="F94" s="19">
        <f>IF(TSim[[#This Row],[ValorFinalReal]]&gt;=Meta,1,0)</f>
        <v>0</v>
      </c>
      <c r="G94" s="21">
        <v>0</v>
      </c>
    </row>
    <row r="95" spans="1:7" ht="16.95" customHeight="1">
      <c r="A95" s="11">
        <v>87</v>
      </c>
      <c r="B95" s="24">
        <v>84142067.313922897</v>
      </c>
      <c r="C95" s="24">
        <v>64745660.443715177</v>
      </c>
      <c r="D95" s="24">
        <v>65188095.176391251</v>
      </c>
      <c r="E95" s="24">
        <f>TSim[[#This Row],[ValorFinalReal]]-TSim[[#This Row],[AportesReales]]</f>
        <v>442434.73267607391</v>
      </c>
      <c r="F95" s="19">
        <f>IF(TSim[[#This Row],[ValorFinalReal]]&gt;=Meta,1,0)</f>
        <v>0</v>
      </c>
      <c r="G95" s="21">
        <v>1.121960755436013E-2</v>
      </c>
    </row>
    <row r="96" spans="1:7" ht="16.95" customHeight="1">
      <c r="A96" s="11">
        <v>88</v>
      </c>
      <c r="B96" s="24">
        <v>83681374.879584864</v>
      </c>
      <c r="C96" s="24">
        <v>64924531.911428921</v>
      </c>
      <c r="D96" s="24">
        <v>77570609.759129018</v>
      </c>
      <c r="E96" s="24">
        <f>TSim[[#This Row],[ValorFinalReal]]-TSim[[#This Row],[AportesReales]]</f>
        <v>12646077.847700097</v>
      </c>
      <c r="F96" s="19">
        <f>IF(TSim[[#This Row],[ValorFinalReal]]&gt;=Meta,1,0)</f>
        <v>0</v>
      </c>
      <c r="G96" s="21">
        <v>7.6899302213537801E-3</v>
      </c>
    </row>
    <row r="97" spans="1:7" ht="16.95" customHeight="1">
      <c r="A97" s="11">
        <v>89</v>
      </c>
      <c r="B97" s="24">
        <v>89553346.549774319</v>
      </c>
      <c r="C97" s="24">
        <v>64837773.198557802</v>
      </c>
      <c r="D97" s="24">
        <v>76079040.252648935</v>
      </c>
      <c r="E97" s="24">
        <f>TSim[[#This Row],[ValorFinalReal]]-TSim[[#This Row],[AportesReales]]</f>
        <v>11241267.054091133</v>
      </c>
      <c r="F97" s="19">
        <f>IF(TSim[[#This Row],[ValorFinalReal]]&gt;=Meta,1,0)</f>
        <v>0</v>
      </c>
      <c r="G97" s="21">
        <v>2.8562451361919261E-2</v>
      </c>
    </row>
    <row r="98" spans="1:7" ht="16.95" customHeight="1">
      <c r="A98" s="11">
        <v>90</v>
      </c>
      <c r="B98" s="24">
        <v>90862059.205986634</v>
      </c>
      <c r="C98" s="24">
        <v>64790274.784277663</v>
      </c>
      <c r="D98" s="24">
        <v>73592328.378855467</v>
      </c>
      <c r="E98" s="24">
        <f>TSim[[#This Row],[ValorFinalReal]]-TSim[[#This Row],[AportesReales]]</f>
        <v>8802053.5945778042</v>
      </c>
      <c r="F98" s="19">
        <f>IF(TSim[[#This Row],[ValorFinalReal]]&gt;=Meta,1,0)</f>
        <v>0</v>
      </c>
      <c r="G98" s="21">
        <v>1.132485976304687E-2</v>
      </c>
    </row>
    <row r="99" spans="1:7" ht="16.95" customHeight="1">
      <c r="A99" s="11">
        <v>91</v>
      </c>
      <c r="B99" s="24">
        <v>87720988.887942865</v>
      </c>
      <c r="C99" s="24">
        <v>64809534.160543948</v>
      </c>
      <c r="D99" s="24">
        <v>72441743.051103011</v>
      </c>
      <c r="E99" s="24">
        <f>TSim[[#This Row],[ValorFinalReal]]-TSim[[#This Row],[AportesReales]]</f>
        <v>7632208.8905590624</v>
      </c>
      <c r="F99" s="19">
        <f>IF(TSim[[#This Row],[ValorFinalReal]]&gt;=Meta,1,0)</f>
        <v>0</v>
      </c>
      <c r="G99" s="21">
        <v>0</v>
      </c>
    </row>
    <row r="100" spans="1:7" ht="16.95" customHeight="1">
      <c r="A100" s="11">
        <v>92</v>
      </c>
      <c r="B100" s="24">
        <v>84945252.220837086</v>
      </c>
      <c r="C100" s="24">
        <v>64901655.749594606</v>
      </c>
      <c r="D100" s="24">
        <v>76927459.627169192</v>
      </c>
      <c r="E100" s="24">
        <f>TSim[[#This Row],[ValorFinalReal]]-TSim[[#This Row],[AportesReales]]</f>
        <v>12025803.877574585</v>
      </c>
      <c r="F100" s="19">
        <f>IF(TSim[[#This Row],[ValorFinalReal]]&gt;=Meta,1,0)</f>
        <v>0</v>
      </c>
      <c r="G100" s="21">
        <v>0</v>
      </c>
    </row>
    <row r="101" spans="1:7" ht="16.95" customHeight="1">
      <c r="A101" s="11">
        <v>93</v>
      </c>
      <c r="B101" s="24">
        <v>97549576.21396184</v>
      </c>
      <c r="C101" s="24">
        <v>64849632.33009617</v>
      </c>
      <c r="D101" s="24">
        <v>83860237.82261081</v>
      </c>
      <c r="E101" s="24">
        <f>TSim[[#This Row],[ValorFinalReal]]-TSim[[#This Row],[AportesReales]]</f>
        <v>19010605.49251464</v>
      </c>
      <c r="F101" s="19">
        <f>IF(TSim[[#This Row],[ValorFinalReal]]&gt;=Meta,1,0)</f>
        <v>1</v>
      </c>
      <c r="G101" s="21">
        <v>2.6870653572499399E-3</v>
      </c>
    </row>
    <row r="102" spans="1:7" ht="16.95" customHeight="1">
      <c r="A102" s="11">
        <v>94</v>
      </c>
      <c r="B102" s="24">
        <v>95959383.773909152</v>
      </c>
      <c r="C102" s="24">
        <v>64806104.263619937</v>
      </c>
      <c r="D102" s="24">
        <v>78986935.643874168</v>
      </c>
      <c r="E102" s="24">
        <f>TSim[[#This Row],[ValorFinalReal]]-TSim[[#This Row],[AportesReales]]</f>
        <v>14180831.380254231</v>
      </c>
      <c r="F102" s="19">
        <f>IF(TSim[[#This Row],[ValorFinalReal]]&gt;=Meta,1,0)</f>
        <v>0</v>
      </c>
      <c r="G102" s="21">
        <v>3.2755219147353461E-3</v>
      </c>
    </row>
    <row r="103" spans="1:7" ht="16.95" customHeight="1">
      <c r="A103" s="11">
        <v>95</v>
      </c>
      <c r="B103" s="24">
        <v>86891381.830617517</v>
      </c>
      <c r="C103" s="24">
        <v>64819026.951089174</v>
      </c>
      <c r="D103" s="24">
        <v>72433150.614461288</v>
      </c>
      <c r="E103" s="24">
        <f>TSim[[#This Row],[ValorFinalReal]]-TSim[[#This Row],[AportesReales]]</f>
        <v>7614123.6633721143</v>
      </c>
      <c r="F103" s="19">
        <f>IF(TSim[[#This Row],[ValorFinalReal]]&gt;=Meta,1,0)</f>
        <v>0</v>
      </c>
      <c r="G103" s="21">
        <v>1.461197049408391E-3</v>
      </c>
    </row>
    <row r="104" spans="1:7" ht="16.95" customHeight="1">
      <c r="A104" s="11">
        <v>96</v>
      </c>
      <c r="B104" s="24">
        <v>95531032.559647948</v>
      </c>
      <c r="C104" s="24">
        <v>64841159.445624791</v>
      </c>
      <c r="D104" s="24">
        <v>81451871.61946243</v>
      </c>
      <c r="E104" s="24">
        <f>TSim[[#This Row],[ValorFinalReal]]-TSim[[#This Row],[AportesReales]]</f>
        <v>16610712.173837639</v>
      </c>
      <c r="F104" s="19">
        <f>IF(TSim[[#This Row],[ValorFinalReal]]&gt;=Meta,1,0)</f>
        <v>1</v>
      </c>
      <c r="G104" s="21">
        <v>0</v>
      </c>
    </row>
    <row r="105" spans="1:7" ht="16.95" customHeight="1">
      <c r="A105" s="11">
        <v>97</v>
      </c>
      <c r="B105" s="24">
        <v>105605823.7441684</v>
      </c>
      <c r="C105" s="24">
        <v>64663384.360880613</v>
      </c>
      <c r="D105" s="24">
        <v>75331932.024470061</v>
      </c>
      <c r="E105" s="24">
        <f>TSim[[#This Row],[ValorFinalReal]]-TSim[[#This Row],[AportesReales]]</f>
        <v>10668547.663589448</v>
      </c>
      <c r="F105" s="19">
        <f>IF(TSim[[#This Row],[ValorFinalReal]]&gt;=Meta,1,0)</f>
        <v>0</v>
      </c>
      <c r="G105" s="21">
        <v>1.063996238599318E-3</v>
      </c>
    </row>
    <row r="106" spans="1:7" ht="16.95" customHeight="1">
      <c r="A106" s="11">
        <v>98</v>
      </c>
      <c r="B106" s="24">
        <v>101568903.32195599</v>
      </c>
      <c r="C106" s="24">
        <v>64786811.508631438</v>
      </c>
      <c r="D106" s="24">
        <v>81979299.597372591</v>
      </c>
      <c r="E106" s="24">
        <f>TSim[[#This Row],[ValorFinalReal]]-TSim[[#This Row],[AportesReales]]</f>
        <v>17192488.088741153</v>
      </c>
      <c r="F106" s="19">
        <f>IF(TSim[[#This Row],[ValorFinalReal]]&gt;=Meta,1,0)</f>
        <v>1</v>
      </c>
      <c r="G106" s="21">
        <v>1.5628214469451059E-2</v>
      </c>
    </row>
    <row r="107" spans="1:7" ht="16.95" customHeight="1">
      <c r="A107" s="11">
        <v>99</v>
      </c>
      <c r="B107" s="24">
        <v>95770279.106704339</v>
      </c>
      <c r="C107" s="24">
        <v>64867142.383592293</v>
      </c>
      <c r="D107" s="24">
        <v>83807919.688065499</v>
      </c>
      <c r="E107" s="24">
        <f>TSim[[#This Row],[ValorFinalReal]]-TSim[[#This Row],[AportesReales]]</f>
        <v>18940777.304473206</v>
      </c>
      <c r="F107" s="19">
        <f>IF(TSim[[#This Row],[ValorFinalReal]]&gt;=Meta,1,0)</f>
        <v>1</v>
      </c>
      <c r="G107" s="21">
        <v>0</v>
      </c>
    </row>
    <row r="108" spans="1:7" ht="16.95" customHeight="1">
      <c r="A108" s="11">
        <v>100</v>
      </c>
      <c r="B108" s="24">
        <v>101259641.0946376</v>
      </c>
      <c r="C108" s="24">
        <v>64923493.470113702</v>
      </c>
      <c r="D108" s="24">
        <v>93774253.036260068</v>
      </c>
      <c r="E108" s="24">
        <f>TSim[[#This Row],[ValorFinalReal]]-TSim[[#This Row],[AportesReales]]</f>
        <v>28850759.566146366</v>
      </c>
      <c r="F108" s="19">
        <f>IF(TSim[[#This Row],[ValorFinalReal]]&gt;=Meta,1,0)</f>
        <v>1</v>
      </c>
      <c r="G108" s="21">
        <v>1.355000897916292E-3</v>
      </c>
    </row>
    <row r="109" spans="1:7" ht="16.95" customHeight="1">
      <c r="A109" s="11">
        <v>101</v>
      </c>
      <c r="B109" s="24">
        <v>86276959.175889656</v>
      </c>
      <c r="C109" s="24">
        <v>64958866.598003156</v>
      </c>
      <c r="D109" s="24">
        <v>82749085.766823515</v>
      </c>
      <c r="E109" s="24">
        <f>TSim[[#This Row],[ValorFinalReal]]-TSim[[#This Row],[AportesReales]]</f>
        <v>17790219.168820359</v>
      </c>
      <c r="F109" s="19">
        <f>IF(TSim[[#This Row],[ValorFinalReal]]&gt;=Meta,1,0)</f>
        <v>1</v>
      </c>
      <c r="G109" s="21">
        <v>9.1088928873451769E-3</v>
      </c>
    </row>
    <row r="110" spans="1:7" ht="16.95" customHeight="1">
      <c r="A110" s="11">
        <v>102</v>
      </c>
      <c r="B110" s="24">
        <v>102199105.8022887</v>
      </c>
      <c r="C110" s="24">
        <v>64758014.586818039</v>
      </c>
      <c r="D110" s="24">
        <v>80152543.020005539</v>
      </c>
      <c r="E110" s="24">
        <f>TSim[[#This Row],[ValorFinalReal]]-TSim[[#This Row],[AportesReales]]</f>
        <v>15394528.4331875</v>
      </c>
      <c r="F110" s="19">
        <f>IF(TSim[[#This Row],[ValorFinalReal]]&gt;=Meta,1,0)</f>
        <v>1</v>
      </c>
      <c r="G110" s="21">
        <v>8.8721671722860052E-3</v>
      </c>
    </row>
    <row r="111" spans="1:7" ht="16.95" customHeight="1">
      <c r="A111" s="11">
        <v>103</v>
      </c>
      <c r="B111" s="24">
        <v>106072207.9493532</v>
      </c>
      <c r="C111" s="24">
        <v>64937081.769392617</v>
      </c>
      <c r="D111" s="24">
        <v>99550996.02606912</v>
      </c>
      <c r="E111" s="24">
        <f>TSim[[#This Row],[ValorFinalReal]]-TSim[[#This Row],[AportesReales]]</f>
        <v>34613914.256676503</v>
      </c>
      <c r="F111" s="19">
        <f>IF(TSim[[#This Row],[ValorFinalReal]]&gt;=Meta,1,0)</f>
        <v>1</v>
      </c>
      <c r="G111" s="21">
        <v>0</v>
      </c>
    </row>
    <row r="112" spans="1:7" ht="16.95" customHeight="1">
      <c r="A112" s="11">
        <v>104</v>
      </c>
      <c r="B112" s="24">
        <v>91726942.359171584</v>
      </c>
      <c r="C112" s="24">
        <v>64646528.537612393</v>
      </c>
      <c r="D112" s="24">
        <v>64325856.575653084</v>
      </c>
      <c r="E112" s="24">
        <f>TSim[[#This Row],[ValorFinalReal]]-TSim[[#This Row],[AportesReales]]</f>
        <v>-320671.96195930988</v>
      </c>
      <c r="F112" s="19">
        <f>IF(TSim[[#This Row],[ValorFinalReal]]&gt;=Meta,1,0)</f>
        <v>0</v>
      </c>
      <c r="G112" s="21">
        <v>2.256692597362719E-3</v>
      </c>
    </row>
    <row r="113" spans="1:7" ht="16.95" customHeight="1">
      <c r="A113" s="11">
        <v>105</v>
      </c>
      <c r="B113" s="24">
        <v>85129253.005439535</v>
      </c>
      <c r="C113" s="24">
        <v>64934657.030937813</v>
      </c>
      <c r="D113" s="24">
        <v>79717044.084685966</v>
      </c>
      <c r="E113" s="24">
        <f>TSim[[#This Row],[ValorFinalReal]]-TSim[[#This Row],[AportesReales]]</f>
        <v>14782387.053748153</v>
      </c>
      <c r="F113" s="19">
        <f>IF(TSim[[#This Row],[ValorFinalReal]]&gt;=Meta,1,0)</f>
        <v>0</v>
      </c>
      <c r="G113" s="21">
        <v>6.6070666604670647E-3</v>
      </c>
    </row>
    <row r="114" spans="1:7" ht="16.95" customHeight="1">
      <c r="A114" s="11">
        <v>106</v>
      </c>
      <c r="B114" s="24">
        <v>91314003.127143174</v>
      </c>
      <c r="C114" s="24">
        <v>64757145.504671343</v>
      </c>
      <c r="D114" s="24">
        <v>71539438.37353459</v>
      </c>
      <c r="E114" s="24">
        <f>TSim[[#This Row],[ValorFinalReal]]-TSim[[#This Row],[AportesReales]]</f>
        <v>6782292.8688632473</v>
      </c>
      <c r="F114" s="19">
        <f>IF(TSim[[#This Row],[ValorFinalReal]]&gt;=Meta,1,0)</f>
        <v>0</v>
      </c>
      <c r="G114" s="21">
        <v>0</v>
      </c>
    </row>
    <row r="115" spans="1:7" ht="16.95" customHeight="1">
      <c r="A115" s="11">
        <v>107</v>
      </c>
      <c r="B115" s="24">
        <v>107889846.8858915</v>
      </c>
      <c r="C115" s="24">
        <v>64566468.572777152</v>
      </c>
      <c r="D115" s="24">
        <v>69777982.74912475</v>
      </c>
      <c r="E115" s="24">
        <f>TSim[[#This Row],[ValorFinalReal]]-TSim[[#This Row],[AportesReales]]</f>
        <v>5211514.1763475984</v>
      </c>
      <c r="F115" s="19">
        <f>IF(TSim[[#This Row],[ValorFinalReal]]&gt;=Meta,1,0)</f>
        <v>0</v>
      </c>
      <c r="G115" s="21">
        <v>0</v>
      </c>
    </row>
    <row r="116" spans="1:7" ht="16.95" customHeight="1">
      <c r="A116" s="11">
        <v>108</v>
      </c>
      <c r="B116" s="24">
        <v>96859879.229833603</v>
      </c>
      <c r="C116" s="24">
        <v>64804448.41367168</v>
      </c>
      <c r="D116" s="24">
        <v>79599837.240860999</v>
      </c>
      <c r="E116" s="24">
        <f>TSim[[#This Row],[ValorFinalReal]]-TSim[[#This Row],[AportesReales]]</f>
        <v>14795388.827189319</v>
      </c>
      <c r="F116" s="19">
        <f>IF(TSim[[#This Row],[ValorFinalReal]]&gt;=Meta,1,0)</f>
        <v>0</v>
      </c>
      <c r="G116" s="21">
        <v>2.5560155315037521E-3</v>
      </c>
    </row>
    <row r="117" spans="1:7" ht="16.95" customHeight="1">
      <c r="A117" s="11">
        <v>109</v>
      </c>
      <c r="B117" s="24">
        <v>82897078.478669807</v>
      </c>
      <c r="C117" s="24">
        <v>64954610.387009174</v>
      </c>
      <c r="D117" s="24">
        <v>79162739.457283214</v>
      </c>
      <c r="E117" s="24">
        <f>TSim[[#This Row],[ValorFinalReal]]-TSim[[#This Row],[AportesReales]]</f>
        <v>14208129.07027404</v>
      </c>
      <c r="F117" s="19">
        <f>IF(TSim[[#This Row],[ValorFinalReal]]&gt;=Meta,1,0)</f>
        <v>0</v>
      </c>
      <c r="G117" s="21">
        <v>2.4696194078032141E-3</v>
      </c>
    </row>
    <row r="118" spans="1:7" ht="16.95" customHeight="1">
      <c r="A118" s="11">
        <v>110</v>
      </c>
      <c r="B118" s="24">
        <v>100809570.6346115</v>
      </c>
      <c r="C118" s="24">
        <v>64771160.10825786</v>
      </c>
      <c r="D118" s="24">
        <v>80110712.515363023</v>
      </c>
      <c r="E118" s="24">
        <f>TSim[[#This Row],[ValorFinalReal]]-TSim[[#This Row],[AportesReales]]</f>
        <v>15339552.407105163</v>
      </c>
      <c r="F118" s="19">
        <f>IF(TSim[[#This Row],[ValorFinalReal]]&gt;=Meta,1,0)</f>
        <v>1</v>
      </c>
      <c r="G118" s="21">
        <v>6.3050751128773666E-3</v>
      </c>
    </row>
    <row r="119" spans="1:7" ht="16.95" customHeight="1">
      <c r="A119" s="11">
        <v>111</v>
      </c>
      <c r="B119" s="24">
        <v>85863255.229058444</v>
      </c>
      <c r="C119" s="24">
        <v>64865541.079828069</v>
      </c>
      <c r="D119" s="24">
        <v>75010417.390540093</v>
      </c>
      <c r="E119" s="24">
        <f>TSim[[#This Row],[ValorFinalReal]]-TSim[[#This Row],[AportesReales]]</f>
        <v>10144876.310712025</v>
      </c>
      <c r="F119" s="19">
        <f>IF(TSim[[#This Row],[ValorFinalReal]]&gt;=Meta,1,0)</f>
        <v>0</v>
      </c>
      <c r="G119" s="21">
        <v>0</v>
      </c>
    </row>
    <row r="120" spans="1:7" ht="16.95" customHeight="1">
      <c r="A120" s="11">
        <v>112</v>
      </c>
      <c r="B120" s="24">
        <v>98642923.822512239</v>
      </c>
      <c r="C120" s="24">
        <v>64779276.492536061</v>
      </c>
      <c r="D120" s="24">
        <v>79022459.754327983</v>
      </c>
      <c r="E120" s="24">
        <f>TSim[[#This Row],[ValorFinalReal]]-TSim[[#This Row],[AportesReales]]</f>
        <v>14243183.261791922</v>
      </c>
      <c r="F120" s="19">
        <f>IF(TSim[[#This Row],[ValorFinalReal]]&gt;=Meta,1,0)</f>
        <v>0</v>
      </c>
      <c r="G120" s="21">
        <v>3.0826106712684709E-3</v>
      </c>
    </row>
    <row r="121" spans="1:7" ht="16.95" customHeight="1">
      <c r="A121" s="11">
        <v>113</v>
      </c>
      <c r="B121" s="24">
        <v>108007293.7308249</v>
      </c>
      <c r="C121" s="24">
        <v>64843688.289107896</v>
      </c>
      <c r="D121" s="24">
        <v>92285168.580506623</v>
      </c>
      <c r="E121" s="24">
        <f>TSim[[#This Row],[ValorFinalReal]]-TSim[[#This Row],[AportesReales]]</f>
        <v>27441480.291398726</v>
      </c>
      <c r="F121" s="19">
        <f>IF(TSim[[#This Row],[ValorFinalReal]]&gt;=Meta,1,0)</f>
        <v>1</v>
      </c>
      <c r="G121" s="21">
        <v>1.8768628260057429E-4</v>
      </c>
    </row>
    <row r="122" spans="1:7" ht="16.95" customHeight="1">
      <c r="A122" s="11">
        <v>114</v>
      </c>
      <c r="B122" s="24">
        <v>91853783.870326519</v>
      </c>
      <c r="C122" s="24">
        <v>64830587.25006333</v>
      </c>
      <c r="D122" s="24">
        <v>77484182.548634827</v>
      </c>
      <c r="E122" s="24">
        <f>TSim[[#This Row],[ValorFinalReal]]-TSim[[#This Row],[AportesReales]]</f>
        <v>12653595.298571497</v>
      </c>
      <c r="F122" s="19">
        <f>IF(TSim[[#This Row],[ValorFinalReal]]&gt;=Meta,1,0)</f>
        <v>0</v>
      </c>
      <c r="G122" s="21">
        <v>0</v>
      </c>
    </row>
    <row r="123" spans="1:7" ht="16.95" customHeight="1">
      <c r="A123" s="11">
        <v>115</v>
      </c>
      <c r="B123" s="24">
        <v>87843971.074371919</v>
      </c>
      <c r="C123" s="24">
        <v>64737538.4279771</v>
      </c>
      <c r="D123" s="24">
        <v>67496575.467178687</v>
      </c>
      <c r="E123" s="24">
        <f>TSim[[#This Row],[ValorFinalReal]]-TSim[[#This Row],[AportesReales]]</f>
        <v>2759037.0392015874</v>
      </c>
      <c r="F123" s="19">
        <f>IF(TSim[[#This Row],[ValorFinalReal]]&gt;=Meta,1,0)</f>
        <v>0</v>
      </c>
      <c r="G123" s="21">
        <v>2.398219309268534E-3</v>
      </c>
    </row>
    <row r="124" spans="1:7" ht="16.95" customHeight="1">
      <c r="A124" s="11">
        <v>116</v>
      </c>
      <c r="B124" s="24">
        <v>83583271.489839017</v>
      </c>
      <c r="C124" s="24">
        <v>64833122.772674911</v>
      </c>
      <c r="D124" s="24">
        <v>70673589.969638005</v>
      </c>
      <c r="E124" s="24">
        <f>TSim[[#This Row],[ValorFinalReal]]-TSim[[#This Row],[AportesReales]]</f>
        <v>5840467.1969630942</v>
      </c>
      <c r="F124" s="19">
        <f>IF(TSim[[#This Row],[ValorFinalReal]]&gt;=Meta,1,0)</f>
        <v>0</v>
      </c>
      <c r="G124" s="21">
        <v>0</v>
      </c>
    </row>
    <row r="125" spans="1:7" ht="16.95" customHeight="1">
      <c r="A125" s="11">
        <v>117</v>
      </c>
      <c r="B125" s="24">
        <v>80283529.463629141</v>
      </c>
      <c r="C125" s="24">
        <v>64940348.710664041</v>
      </c>
      <c r="D125" s="24">
        <v>75594724.007414892</v>
      </c>
      <c r="E125" s="24">
        <f>TSim[[#This Row],[ValorFinalReal]]-TSim[[#This Row],[AportesReales]]</f>
        <v>10654375.296750851</v>
      </c>
      <c r="F125" s="19">
        <f>IF(TSim[[#This Row],[ValorFinalReal]]&gt;=Meta,1,0)</f>
        <v>0</v>
      </c>
      <c r="G125" s="21">
        <v>9.3783021350435369E-5</v>
      </c>
    </row>
    <row r="126" spans="1:7" ht="16.95" customHeight="1">
      <c r="A126" s="11">
        <v>118</v>
      </c>
      <c r="B126" s="24">
        <v>86989363.157258838</v>
      </c>
      <c r="C126" s="24">
        <v>64902040.850917473</v>
      </c>
      <c r="D126" s="24">
        <v>78842657.87407209</v>
      </c>
      <c r="E126" s="24">
        <f>TSim[[#This Row],[ValorFinalReal]]-TSim[[#This Row],[AportesReales]]</f>
        <v>13940617.023154616</v>
      </c>
      <c r="F126" s="19">
        <f>IF(TSim[[#This Row],[ValorFinalReal]]&gt;=Meta,1,0)</f>
        <v>0</v>
      </c>
      <c r="G126" s="21">
        <v>0</v>
      </c>
    </row>
    <row r="127" spans="1:7" ht="16.95" customHeight="1">
      <c r="A127" s="11">
        <v>119</v>
      </c>
      <c r="B127" s="24">
        <v>93100762.025355369</v>
      </c>
      <c r="C127" s="24">
        <v>64836122.178722948</v>
      </c>
      <c r="D127" s="24">
        <v>78924020.772450998</v>
      </c>
      <c r="E127" s="24">
        <f>TSim[[#This Row],[ValorFinalReal]]-TSim[[#This Row],[AportesReales]]</f>
        <v>14087898.593728051</v>
      </c>
      <c r="F127" s="19">
        <f>IF(TSim[[#This Row],[ValorFinalReal]]&gt;=Meta,1,0)</f>
        <v>0</v>
      </c>
      <c r="G127" s="21">
        <v>0</v>
      </c>
    </row>
    <row r="128" spans="1:7" ht="16.95" customHeight="1">
      <c r="A128" s="11">
        <v>120</v>
      </c>
      <c r="B128" s="24">
        <v>86548427.811417043</v>
      </c>
      <c r="C128" s="24">
        <v>64937961.747676343</v>
      </c>
      <c r="D128" s="24">
        <v>81288840.530087039</v>
      </c>
      <c r="E128" s="24">
        <f>TSim[[#This Row],[ValorFinalReal]]-TSim[[#This Row],[AportesReales]]</f>
        <v>16350878.782410696</v>
      </c>
      <c r="F128" s="19">
        <f>IF(TSim[[#This Row],[ValorFinalReal]]&gt;=Meta,1,0)</f>
        <v>1</v>
      </c>
      <c r="G128" s="21">
        <v>0</v>
      </c>
    </row>
    <row r="129" spans="1:7" ht="16.95" customHeight="1">
      <c r="A129" s="11">
        <v>121</v>
      </c>
      <c r="B129" s="24">
        <v>84885661.915896609</v>
      </c>
      <c r="C129" s="24">
        <v>64828997.462548018</v>
      </c>
      <c r="D129" s="24">
        <v>71502867.662582368</v>
      </c>
      <c r="E129" s="24">
        <f>TSim[[#This Row],[ValorFinalReal]]-TSim[[#This Row],[AportesReales]]</f>
        <v>6673870.2000343502</v>
      </c>
      <c r="F129" s="19">
        <f>IF(TSim[[#This Row],[ValorFinalReal]]&gt;=Meta,1,0)</f>
        <v>0</v>
      </c>
      <c r="G129" s="21">
        <v>0</v>
      </c>
    </row>
    <row r="130" spans="1:7" ht="16.95" customHeight="1">
      <c r="A130" s="11">
        <v>122</v>
      </c>
      <c r="B130" s="24">
        <v>92390538.735347092</v>
      </c>
      <c r="C130" s="24">
        <v>64902753.529946119</v>
      </c>
      <c r="D130" s="24">
        <v>83763738.99442777</v>
      </c>
      <c r="E130" s="24">
        <f>TSim[[#This Row],[ValorFinalReal]]-TSim[[#This Row],[AportesReales]]</f>
        <v>18860985.464481652</v>
      </c>
      <c r="F130" s="19">
        <f>IF(TSim[[#This Row],[ValorFinalReal]]&gt;=Meta,1,0)</f>
        <v>1</v>
      </c>
      <c r="G130" s="21">
        <v>6.4287616091892597E-3</v>
      </c>
    </row>
    <row r="131" spans="1:7" ht="16.95" customHeight="1">
      <c r="A131" s="11">
        <v>123</v>
      </c>
      <c r="B131" s="24">
        <v>100145599.9221562</v>
      </c>
      <c r="C131" s="24">
        <v>64696977.886354797</v>
      </c>
      <c r="D131" s="24">
        <v>73873753.102209508</v>
      </c>
      <c r="E131" s="24">
        <f>TSim[[#This Row],[ValorFinalReal]]-TSim[[#This Row],[AportesReales]]</f>
        <v>9176775.2158547118</v>
      </c>
      <c r="F131" s="19">
        <f>IF(TSim[[#This Row],[ValorFinalReal]]&gt;=Meta,1,0)</f>
        <v>0</v>
      </c>
      <c r="G131" s="21">
        <v>2.1826704336138651E-3</v>
      </c>
    </row>
    <row r="132" spans="1:7" ht="16.95" customHeight="1">
      <c r="A132" s="11">
        <v>124</v>
      </c>
      <c r="B132" s="24">
        <v>91338737.552226529</v>
      </c>
      <c r="C132" s="24">
        <v>64726068.952250831</v>
      </c>
      <c r="D132" s="24">
        <v>69365819.790582538</v>
      </c>
      <c r="E132" s="24">
        <f>TSim[[#This Row],[ValorFinalReal]]-TSim[[#This Row],[AportesReales]]</f>
        <v>4639750.8383317068</v>
      </c>
      <c r="F132" s="19">
        <f>IF(TSim[[#This Row],[ValorFinalReal]]&gt;=Meta,1,0)</f>
        <v>0</v>
      </c>
      <c r="G132" s="21">
        <v>2.258947749281925E-3</v>
      </c>
    </row>
    <row r="133" spans="1:7" ht="16.95" customHeight="1">
      <c r="A133" s="11">
        <v>125</v>
      </c>
      <c r="B133" s="24">
        <v>78388071.81528227</v>
      </c>
      <c r="C133" s="24">
        <v>65053068.417169623</v>
      </c>
      <c r="D133" s="24">
        <v>82608491.065003023</v>
      </c>
      <c r="E133" s="24">
        <f>TSim[[#This Row],[ValorFinalReal]]-TSim[[#This Row],[AportesReales]]</f>
        <v>17555422.647833399</v>
      </c>
      <c r="F133" s="19">
        <f>IF(TSim[[#This Row],[ValorFinalReal]]&gt;=Meta,1,0)</f>
        <v>1</v>
      </c>
      <c r="G133" s="21">
        <v>4.651272233402115E-3</v>
      </c>
    </row>
    <row r="134" spans="1:7" ht="16.95" customHeight="1">
      <c r="A134" s="11">
        <v>126</v>
      </c>
      <c r="B134" s="24">
        <v>98239449.61973314</v>
      </c>
      <c r="C134" s="24">
        <v>64745757.817880809</v>
      </c>
      <c r="D134" s="24">
        <v>76102233.801406831</v>
      </c>
      <c r="E134" s="24">
        <f>TSim[[#This Row],[ValorFinalReal]]-TSim[[#This Row],[AportesReales]]</f>
        <v>11356475.983526021</v>
      </c>
      <c r="F134" s="19">
        <f>IF(TSim[[#This Row],[ValorFinalReal]]&gt;=Meta,1,0)</f>
        <v>0</v>
      </c>
      <c r="G134" s="21">
        <v>7.5136637897813552E-3</v>
      </c>
    </row>
    <row r="135" spans="1:7" ht="16.95" customHeight="1">
      <c r="A135" s="11">
        <v>127</v>
      </c>
      <c r="B135" s="24">
        <v>101758257.1393262</v>
      </c>
      <c r="C135" s="24">
        <v>64767773.598827422</v>
      </c>
      <c r="D135" s="24">
        <v>80589143.152326867</v>
      </c>
      <c r="E135" s="24">
        <f>TSim[[#This Row],[ValorFinalReal]]-TSim[[#This Row],[AportesReales]]</f>
        <v>15821369.553499445</v>
      </c>
      <c r="F135" s="19">
        <f>IF(TSim[[#This Row],[ValorFinalReal]]&gt;=Meta,1,0)</f>
        <v>1</v>
      </c>
      <c r="G135" s="21">
        <v>0</v>
      </c>
    </row>
    <row r="136" spans="1:7" ht="16.95" customHeight="1">
      <c r="A136" s="11">
        <v>128</v>
      </c>
      <c r="B136" s="24">
        <v>86939864.815035671</v>
      </c>
      <c r="C136" s="24">
        <v>64870748.308033079</v>
      </c>
      <c r="D136" s="24">
        <v>76363335.299396768</v>
      </c>
      <c r="E136" s="24">
        <f>TSim[[#This Row],[ValorFinalReal]]-TSim[[#This Row],[AportesReales]]</f>
        <v>11492586.991363689</v>
      </c>
      <c r="F136" s="19">
        <f>IF(TSim[[#This Row],[ValorFinalReal]]&gt;=Meta,1,0)</f>
        <v>0</v>
      </c>
      <c r="G136" s="21">
        <v>0</v>
      </c>
    </row>
    <row r="137" spans="1:7" ht="16.95" customHeight="1">
      <c r="A137" s="11">
        <v>129</v>
      </c>
      <c r="B137" s="24">
        <v>111275802.94355071</v>
      </c>
      <c r="C137" s="24">
        <v>64770265.162311733</v>
      </c>
      <c r="D137" s="24">
        <v>88319810.80029653</v>
      </c>
      <c r="E137" s="24">
        <f>TSim[[#This Row],[ValorFinalReal]]-TSim[[#This Row],[AportesReales]]</f>
        <v>23549545.637984797</v>
      </c>
      <c r="F137" s="19">
        <f>IF(TSim[[#This Row],[ValorFinalReal]]&gt;=Meta,1,0)</f>
        <v>1</v>
      </c>
      <c r="G137" s="21">
        <v>0</v>
      </c>
    </row>
    <row r="138" spans="1:7" ht="16.95" customHeight="1">
      <c r="A138" s="11">
        <v>130</v>
      </c>
      <c r="B138" s="24">
        <v>79573454.898278311</v>
      </c>
      <c r="C138" s="24">
        <v>64848173.3594267</v>
      </c>
      <c r="D138" s="24">
        <v>68322382.229409084</v>
      </c>
      <c r="E138" s="24">
        <f>TSim[[#This Row],[ValorFinalReal]]-TSim[[#This Row],[AportesReales]]</f>
        <v>3474208.8699823841</v>
      </c>
      <c r="F138" s="19">
        <f>IF(TSim[[#This Row],[ValorFinalReal]]&gt;=Meta,1,0)</f>
        <v>0</v>
      </c>
      <c r="G138" s="21">
        <v>5.0366230391593048E-3</v>
      </c>
    </row>
    <row r="139" spans="1:7" ht="16.95" customHeight="1">
      <c r="A139" s="11">
        <v>131</v>
      </c>
      <c r="B139" s="24">
        <v>88819060.323722929</v>
      </c>
      <c r="C139" s="24">
        <v>64839491.748197049</v>
      </c>
      <c r="D139" s="24">
        <v>75587806.14146772</v>
      </c>
      <c r="E139" s="24">
        <f>TSim[[#This Row],[ValorFinalReal]]-TSim[[#This Row],[AportesReales]]</f>
        <v>10748314.393270671</v>
      </c>
      <c r="F139" s="19">
        <f>IF(TSim[[#This Row],[ValorFinalReal]]&gt;=Meta,1,0)</f>
        <v>0</v>
      </c>
      <c r="G139" s="21">
        <v>8.020545393669698E-3</v>
      </c>
    </row>
    <row r="140" spans="1:7" ht="16.95" customHeight="1">
      <c r="A140" s="11">
        <v>132</v>
      </c>
      <c r="B140" s="24">
        <v>99774534.069505259</v>
      </c>
      <c r="C140" s="24">
        <v>64693502.059166081</v>
      </c>
      <c r="D140" s="24">
        <v>73352568.873331308</v>
      </c>
      <c r="E140" s="24">
        <f>TSim[[#This Row],[ValorFinalReal]]-TSim[[#This Row],[AportesReales]]</f>
        <v>8659066.8141652271</v>
      </c>
      <c r="F140" s="19">
        <f>IF(TSim[[#This Row],[ValorFinalReal]]&gt;=Meta,1,0)</f>
        <v>0</v>
      </c>
      <c r="G140" s="21">
        <v>0</v>
      </c>
    </row>
    <row r="141" spans="1:7" ht="16.95" customHeight="1">
      <c r="A141" s="11">
        <v>133</v>
      </c>
      <c r="B141" s="24">
        <v>76057335.036762103</v>
      </c>
      <c r="C141" s="24">
        <v>64943015.076170608</v>
      </c>
      <c r="D141" s="24">
        <v>71823123.775841907</v>
      </c>
      <c r="E141" s="24">
        <f>TSim[[#This Row],[ValorFinalReal]]-TSim[[#This Row],[AportesReales]]</f>
        <v>6880108.6996712983</v>
      </c>
      <c r="F141" s="19">
        <f>IF(TSim[[#This Row],[ValorFinalReal]]&gt;=Meta,1,0)</f>
        <v>0</v>
      </c>
      <c r="G141" s="21">
        <v>3.9703978498688564E-3</v>
      </c>
    </row>
    <row r="142" spans="1:7" ht="16.95" customHeight="1">
      <c r="A142" s="11">
        <v>134</v>
      </c>
      <c r="B142" s="24">
        <v>98735375.532563776</v>
      </c>
      <c r="C142" s="24">
        <v>64692002.20935335</v>
      </c>
      <c r="D142" s="24">
        <v>72463379.319907695</v>
      </c>
      <c r="E142" s="24">
        <f>TSim[[#This Row],[ValorFinalReal]]-TSim[[#This Row],[AportesReales]]</f>
        <v>7771377.110554345</v>
      </c>
      <c r="F142" s="19">
        <f>IF(TSim[[#This Row],[ValorFinalReal]]&gt;=Meta,1,0)</f>
        <v>0</v>
      </c>
      <c r="G142" s="21">
        <v>9.9418432163734805E-3</v>
      </c>
    </row>
    <row r="143" spans="1:7" ht="16.95" customHeight="1">
      <c r="A143" s="11">
        <v>135</v>
      </c>
      <c r="B143" s="24">
        <v>87145772.111871362</v>
      </c>
      <c r="C143" s="24">
        <v>64837886.133172907</v>
      </c>
      <c r="D143" s="24">
        <v>74057255.338095427</v>
      </c>
      <c r="E143" s="24">
        <f>TSim[[#This Row],[ValorFinalReal]]-TSim[[#This Row],[AportesReales]]</f>
        <v>9219369.2049225196</v>
      </c>
      <c r="F143" s="19">
        <f>IF(TSim[[#This Row],[ValorFinalReal]]&gt;=Meta,1,0)</f>
        <v>0</v>
      </c>
      <c r="G143" s="21">
        <v>1.654608206262953E-3</v>
      </c>
    </row>
    <row r="144" spans="1:7" ht="16.95" customHeight="1">
      <c r="A144" s="11">
        <v>136</v>
      </c>
      <c r="B144" s="24">
        <v>92892778.686608121</v>
      </c>
      <c r="C144" s="24">
        <v>64824619.113288283</v>
      </c>
      <c r="D144" s="24">
        <v>77899090.560421467</v>
      </c>
      <c r="E144" s="24">
        <f>TSim[[#This Row],[ValorFinalReal]]-TSim[[#This Row],[AportesReales]]</f>
        <v>13074471.447133183</v>
      </c>
      <c r="F144" s="19">
        <f>IF(TSim[[#This Row],[ValorFinalReal]]&gt;=Meta,1,0)</f>
        <v>0</v>
      </c>
      <c r="G144" s="21">
        <v>1.2587325717821059E-2</v>
      </c>
    </row>
    <row r="145" spans="1:7" ht="16.95" customHeight="1">
      <c r="A145" s="11">
        <v>137</v>
      </c>
      <c r="B145" s="24">
        <v>97161983.086049229</v>
      </c>
      <c r="C145" s="24">
        <v>64775318.83264675</v>
      </c>
      <c r="D145" s="24">
        <v>77539070.507786065</v>
      </c>
      <c r="E145" s="24">
        <f>TSim[[#This Row],[ValorFinalReal]]-TSim[[#This Row],[AportesReales]]</f>
        <v>12763751.675139315</v>
      </c>
      <c r="F145" s="19">
        <f>IF(TSim[[#This Row],[ValorFinalReal]]&gt;=Meta,1,0)</f>
        <v>0</v>
      </c>
      <c r="G145" s="21">
        <v>3.1961364701760249E-3</v>
      </c>
    </row>
    <row r="146" spans="1:7" ht="16.95" customHeight="1">
      <c r="A146" s="11">
        <v>138</v>
      </c>
      <c r="B146" s="24">
        <v>94681118.910402596</v>
      </c>
      <c r="C146" s="24">
        <v>64907256.018789597</v>
      </c>
      <c r="D146" s="24">
        <v>86242065.970883235</v>
      </c>
      <c r="E146" s="24">
        <f>TSim[[#This Row],[ValorFinalReal]]-TSim[[#This Row],[AportesReales]]</f>
        <v>21334809.952093638</v>
      </c>
      <c r="F146" s="19">
        <f>IF(TSim[[#This Row],[ValorFinalReal]]&gt;=Meta,1,0)</f>
        <v>1</v>
      </c>
      <c r="G146" s="21">
        <v>2.7940353600974799E-3</v>
      </c>
    </row>
    <row r="147" spans="1:7" ht="16.95" customHeight="1">
      <c r="A147" s="11">
        <v>139</v>
      </c>
      <c r="B147" s="24">
        <v>91765250.402510718</v>
      </c>
      <c r="C147" s="24">
        <v>64814037.332509458</v>
      </c>
      <c r="D147" s="24">
        <v>76146113.582881257</v>
      </c>
      <c r="E147" s="24">
        <f>TSim[[#This Row],[ValorFinalReal]]-TSim[[#This Row],[AportesReales]]</f>
        <v>11332076.250371799</v>
      </c>
      <c r="F147" s="19">
        <f>IF(TSim[[#This Row],[ValorFinalReal]]&gt;=Meta,1,0)</f>
        <v>0</v>
      </c>
      <c r="G147" s="21">
        <v>1.3506958684803561E-3</v>
      </c>
    </row>
    <row r="148" spans="1:7" ht="16.95" customHeight="1">
      <c r="A148" s="11">
        <v>140</v>
      </c>
      <c r="B148" s="24">
        <v>94286824.921137199</v>
      </c>
      <c r="C148" s="24">
        <v>64822346.889388852</v>
      </c>
      <c r="D148" s="24">
        <v>78863943.161708578</v>
      </c>
      <c r="E148" s="24">
        <f>TSim[[#This Row],[ValorFinalReal]]-TSim[[#This Row],[AportesReales]]</f>
        <v>14041596.272319727</v>
      </c>
      <c r="F148" s="19">
        <f>IF(TSim[[#This Row],[ValorFinalReal]]&gt;=Meta,1,0)</f>
        <v>0</v>
      </c>
      <c r="G148" s="21">
        <v>6.9672083046649069E-3</v>
      </c>
    </row>
    <row r="149" spans="1:7" ht="16.95" customHeight="1">
      <c r="A149" s="11">
        <v>141</v>
      </c>
      <c r="B149" s="24">
        <v>93647698.342340842</v>
      </c>
      <c r="C149" s="24">
        <v>64857208.078420639</v>
      </c>
      <c r="D149" s="24">
        <v>81132199.573299617</v>
      </c>
      <c r="E149" s="24">
        <f>TSim[[#This Row],[ValorFinalReal]]-TSim[[#This Row],[AportesReales]]</f>
        <v>16274991.494878978</v>
      </c>
      <c r="F149" s="19">
        <f>IF(TSim[[#This Row],[ValorFinalReal]]&gt;=Meta,1,0)</f>
        <v>1</v>
      </c>
      <c r="G149" s="21">
        <v>1.2816216165728591E-3</v>
      </c>
    </row>
    <row r="150" spans="1:7" ht="16.95" customHeight="1">
      <c r="A150" s="11">
        <v>142</v>
      </c>
      <c r="B150" s="24">
        <v>85384235.670361593</v>
      </c>
      <c r="C150" s="24">
        <v>64880424.913033687</v>
      </c>
      <c r="D150" s="24">
        <v>75720948.496965662</v>
      </c>
      <c r="E150" s="24">
        <f>TSim[[#This Row],[ValorFinalReal]]-TSim[[#This Row],[AportesReales]]</f>
        <v>10840523.583931975</v>
      </c>
      <c r="F150" s="19">
        <f>IF(TSim[[#This Row],[ValorFinalReal]]&gt;=Meta,1,0)</f>
        <v>0</v>
      </c>
      <c r="G150" s="21">
        <v>0</v>
      </c>
    </row>
    <row r="151" spans="1:7" ht="16.95" customHeight="1">
      <c r="A151" s="11">
        <v>143</v>
      </c>
      <c r="B151" s="24">
        <v>86844453.307135522</v>
      </c>
      <c r="C151" s="24">
        <v>64842752.538165383</v>
      </c>
      <c r="D151" s="24">
        <v>74157837.246874496</v>
      </c>
      <c r="E151" s="24">
        <f>TSim[[#This Row],[ValorFinalReal]]-TSim[[#This Row],[AportesReales]]</f>
        <v>9315084.7087091133</v>
      </c>
      <c r="F151" s="19">
        <f>IF(TSim[[#This Row],[ValorFinalReal]]&gt;=Meta,1,0)</f>
        <v>0</v>
      </c>
      <c r="G151" s="21">
        <v>0</v>
      </c>
    </row>
    <row r="152" spans="1:7" ht="16.95" customHeight="1">
      <c r="A152" s="11">
        <v>144</v>
      </c>
      <c r="B152" s="24">
        <v>91491683.145960182</v>
      </c>
      <c r="C152" s="24">
        <v>64910755.609140597</v>
      </c>
      <c r="D152" s="24">
        <v>83630020.894308791</v>
      </c>
      <c r="E152" s="24">
        <f>TSim[[#This Row],[ValorFinalReal]]-TSim[[#This Row],[AportesReales]]</f>
        <v>18719265.285168193</v>
      </c>
      <c r="F152" s="19">
        <f>IF(TSim[[#This Row],[ValorFinalReal]]&gt;=Meta,1,0)</f>
        <v>1</v>
      </c>
      <c r="G152" s="21">
        <v>0</v>
      </c>
    </row>
    <row r="153" spans="1:7" ht="16.95" customHeight="1">
      <c r="A153" s="11">
        <v>145</v>
      </c>
      <c r="B153" s="24">
        <v>94147282.33504115</v>
      </c>
      <c r="C153" s="24">
        <v>64746577.515625238</v>
      </c>
      <c r="D153" s="24">
        <v>72999402.81925717</v>
      </c>
      <c r="E153" s="24">
        <f>TSim[[#This Row],[ValorFinalReal]]-TSim[[#This Row],[AportesReales]]</f>
        <v>8252825.3036319315</v>
      </c>
      <c r="F153" s="19">
        <f>IF(TSim[[#This Row],[ValorFinalReal]]&gt;=Meta,1,0)</f>
        <v>0</v>
      </c>
      <c r="G153" s="21">
        <v>2.4452390317917239E-3</v>
      </c>
    </row>
    <row r="154" spans="1:7" ht="16.95" customHeight="1">
      <c r="A154" s="11">
        <v>146</v>
      </c>
      <c r="B154" s="24">
        <v>89985434.04834488</v>
      </c>
      <c r="C154" s="24">
        <v>64822044.012503907</v>
      </c>
      <c r="D154" s="24">
        <v>75278711.713904738</v>
      </c>
      <c r="E154" s="24">
        <f>TSim[[#This Row],[ValorFinalReal]]-TSim[[#This Row],[AportesReales]]</f>
        <v>10456667.701400831</v>
      </c>
      <c r="F154" s="19">
        <f>IF(TSim[[#This Row],[ValorFinalReal]]&gt;=Meta,1,0)</f>
        <v>0</v>
      </c>
      <c r="G154" s="21">
        <v>0</v>
      </c>
    </row>
    <row r="155" spans="1:7" ht="16.95" customHeight="1">
      <c r="A155" s="11">
        <v>147</v>
      </c>
      <c r="B155" s="24">
        <v>83430812.896573156</v>
      </c>
      <c r="C155" s="24">
        <v>64812068.59311229</v>
      </c>
      <c r="D155" s="24">
        <v>69089780.000734448</v>
      </c>
      <c r="E155" s="24">
        <f>TSim[[#This Row],[ValorFinalReal]]-TSim[[#This Row],[AportesReales]]</f>
        <v>4277711.4076221585</v>
      </c>
      <c r="F155" s="19">
        <f>IF(TSim[[#This Row],[ValorFinalReal]]&gt;=Meta,1,0)</f>
        <v>0</v>
      </c>
      <c r="G155" s="21">
        <v>5.7975006303697674E-3</v>
      </c>
    </row>
    <row r="156" spans="1:7" ht="16.95" customHeight="1">
      <c r="A156" s="11">
        <v>148</v>
      </c>
      <c r="B156" s="24">
        <v>89706284.881684169</v>
      </c>
      <c r="C156" s="24">
        <v>64838067.880134381</v>
      </c>
      <c r="D156" s="24">
        <v>76215508.641083226</v>
      </c>
      <c r="E156" s="24">
        <f>TSim[[#This Row],[ValorFinalReal]]-TSim[[#This Row],[AportesReales]]</f>
        <v>11377440.760948844</v>
      </c>
      <c r="F156" s="19">
        <f>IF(TSim[[#This Row],[ValorFinalReal]]&gt;=Meta,1,0)</f>
        <v>0</v>
      </c>
      <c r="G156" s="21">
        <v>0</v>
      </c>
    </row>
    <row r="157" spans="1:7" ht="16.95" customHeight="1">
      <c r="A157" s="11">
        <v>149</v>
      </c>
      <c r="B157" s="24">
        <v>85508024.199306592</v>
      </c>
      <c r="C157" s="24">
        <v>64892094.858233273</v>
      </c>
      <c r="D157" s="24">
        <v>76720734.625299618</v>
      </c>
      <c r="E157" s="24">
        <f>TSim[[#This Row],[ValorFinalReal]]-TSim[[#This Row],[AportesReales]]</f>
        <v>11828639.767066345</v>
      </c>
      <c r="F157" s="19">
        <f>IF(TSim[[#This Row],[ValorFinalReal]]&gt;=Meta,1,0)</f>
        <v>0</v>
      </c>
      <c r="G157" s="21">
        <v>6.6324651933090673E-3</v>
      </c>
    </row>
    <row r="158" spans="1:7" ht="16.95" customHeight="1">
      <c r="A158" s="11">
        <v>150</v>
      </c>
      <c r="B158" s="24">
        <v>95216918.684811383</v>
      </c>
      <c r="C158" s="24">
        <v>64719042.169807568</v>
      </c>
      <c r="D158" s="24">
        <v>71818615.113466769</v>
      </c>
      <c r="E158" s="24">
        <f>TSim[[#This Row],[ValorFinalReal]]-TSim[[#This Row],[AportesReales]]</f>
        <v>7099572.9436592013</v>
      </c>
      <c r="F158" s="19">
        <f>IF(TSim[[#This Row],[ValorFinalReal]]&gt;=Meta,1,0)</f>
        <v>0</v>
      </c>
      <c r="G158" s="21">
        <v>5.041422444972965E-3</v>
      </c>
    </row>
    <row r="159" spans="1:7" ht="16.95" customHeight="1">
      <c r="A159" s="11">
        <v>151</v>
      </c>
      <c r="B159" s="24">
        <v>100410260.127728</v>
      </c>
      <c r="C159" s="24">
        <v>64812618.133022033</v>
      </c>
      <c r="D159" s="24">
        <v>83186932.392219156</v>
      </c>
      <c r="E159" s="24">
        <f>TSim[[#This Row],[ValorFinalReal]]-TSim[[#This Row],[AportesReales]]</f>
        <v>18374314.259197123</v>
      </c>
      <c r="F159" s="19">
        <f>IF(TSim[[#This Row],[ValorFinalReal]]&gt;=Meta,1,0)</f>
        <v>1</v>
      </c>
      <c r="G159" s="21">
        <v>7.2513588182314681E-3</v>
      </c>
    </row>
    <row r="160" spans="1:7" ht="16.95" customHeight="1">
      <c r="A160" s="11">
        <v>152</v>
      </c>
      <c r="B160" s="24">
        <v>100720887.9453713</v>
      </c>
      <c r="C160" s="24">
        <v>64710536.09143877</v>
      </c>
      <c r="D160" s="24">
        <v>75328421.599161059</v>
      </c>
      <c r="E160" s="24">
        <f>TSim[[#This Row],[ValorFinalReal]]-TSim[[#This Row],[AportesReales]]</f>
        <v>10617885.507722288</v>
      </c>
      <c r="F160" s="19">
        <f>IF(TSim[[#This Row],[ValorFinalReal]]&gt;=Meta,1,0)</f>
        <v>0</v>
      </c>
      <c r="G160" s="21">
        <v>3.8357034033653647E-4</v>
      </c>
    </row>
    <row r="161" spans="1:7" ht="16.95" customHeight="1">
      <c r="A161" s="11">
        <v>153</v>
      </c>
      <c r="B161" s="24">
        <v>90781810.849714994</v>
      </c>
      <c r="C161" s="24">
        <v>64950097.671728589</v>
      </c>
      <c r="D161" s="24">
        <v>86316350.463370204</v>
      </c>
      <c r="E161" s="24">
        <f>TSim[[#This Row],[ValorFinalReal]]-TSim[[#This Row],[AportesReales]]</f>
        <v>21366252.791641615</v>
      </c>
      <c r="F161" s="19">
        <f>IF(TSim[[#This Row],[ValorFinalReal]]&gt;=Meta,1,0)</f>
        <v>1</v>
      </c>
      <c r="G161" s="21">
        <v>0</v>
      </c>
    </row>
    <row r="162" spans="1:7" ht="16.95" customHeight="1">
      <c r="A162" s="11">
        <v>154</v>
      </c>
      <c r="B162" s="24">
        <v>82624669.011456966</v>
      </c>
      <c r="C162" s="24">
        <v>64898088.234832257</v>
      </c>
      <c r="D162" s="24">
        <v>74584046.127247885</v>
      </c>
      <c r="E162" s="24">
        <f>TSim[[#This Row],[ValorFinalReal]]-TSim[[#This Row],[AportesReales]]</f>
        <v>9685957.8924156278</v>
      </c>
      <c r="F162" s="19">
        <f>IF(TSim[[#This Row],[ValorFinalReal]]&gt;=Meta,1,0)</f>
        <v>0</v>
      </c>
      <c r="G162" s="21">
        <v>1.0223234205771761E-3</v>
      </c>
    </row>
    <row r="163" spans="1:7" ht="16.95" customHeight="1">
      <c r="A163" s="11">
        <v>155</v>
      </c>
      <c r="B163" s="24">
        <v>84956793.377966657</v>
      </c>
      <c r="C163" s="24">
        <v>64712416.642206863</v>
      </c>
      <c r="D163" s="24">
        <v>63661084.935506731</v>
      </c>
      <c r="E163" s="24">
        <f>TSim[[#This Row],[ValorFinalReal]]-TSim[[#This Row],[AportesReales]]</f>
        <v>-1051331.7067001313</v>
      </c>
      <c r="F163" s="19">
        <f>IF(TSim[[#This Row],[ValorFinalReal]]&gt;=Meta,1,0)</f>
        <v>0</v>
      </c>
      <c r="G163" s="21">
        <v>1.654841279763453E-5</v>
      </c>
    </row>
    <row r="164" spans="1:7" ht="16.95" customHeight="1">
      <c r="A164" s="11">
        <v>156</v>
      </c>
      <c r="B164" s="24">
        <v>87041478.422565833</v>
      </c>
      <c r="C164" s="24">
        <v>64926912.218602233</v>
      </c>
      <c r="D164" s="24">
        <v>80849025.222849444</v>
      </c>
      <c r="E164" s="24">
        <f>TSim[[#This Row],[ValorFinalReal]]-TSim[[#This Row],[AportesReales]]</f>
        <v>15922113.004247211</v>
      </c>
      <c r="F164" s="19">
        <f>IF(TSim[[#This Row],[ValorFinalReal]]&gt;=Meta,1,0)</f>
        <v>1</v>
      </c>
      <c r="G164" s="21">
        <v>6.5825478042844674E-3</v>
      </c>
    </row>
    <row r="165" spans="1:7" ht="16.95" customHeight="1">
      <c r="A165" s="11">
        <v>157</v>
      </c>
      <c r="B165" s="24">
        <v>86527096.802432388</v>
      </c>
      <c r="C165" s="24">
        <v>64890231.569553994</v>
      </c>
      <c r="D165" s="24">
        <v>77464523.707566187</v>
      </c>
      <c r="E165" s="24">
        <f>TSim[[#This Row],[ValorFinalReal]]-TSim[[#This Row],[AportesReales]]</f>
        <v>12574292.138012193</v>
      </c>
      <c r="F165" s="19">
        <f>IF(TSim[[#This Row],[ValorFinalReal]]&gt;=Meta,1,0)</f>
        <v>0</v>
      </c>
      <c r="G165" s="21">
        <v>1.408398754299567E-2</v>
      </c>
    </row>
    <row r="166" spans="1:7" ht="16.95" customHeight="1">
      <c r="A166" s="11">
        <v>158</v>
      </c>
      <c r="B166" s="24">
        <v>84347321.944839299</v>
      </c>
      <c r="C166" s="24">
        <v>64869280.58329355</v>
      </c>
      <c r="D166" s="24">
        <v>73959286.25232631</v>
      </c>
      <c r="E166" s="24">
        <f>TSim[[#This Row],[ValorFinalReal]]-TSim[[#This Row],[AportesReales]]</f>
        <v>9090005.66903276</v>
      </c>
      <c r="F166" s="19">
        <f>IF(TSim[[#This Row],[ValorFinalReal]]&gt;=Meta,1,0)</f>
        <v>0</v>
      </c>
      <c r="G166" s="21">
        <v>4.762957108677135E-4</v>
      </c>
    </row>
    <row r="167" spans="1:7" ht="16.95" customHeight="1">
      <c r="A167" s="11">
        <v>159</v>
      </c>
      <c r="B167" s="24">
        <v>84897953.008240715</v>
      </c>
      <c r="C167" s="24">
        <v>64920457.369664952</v>
      </c>
      <c r="D167" s="24">
        <v>78367033.25547111</v>
      </c>
      <c r="E167" s="24">
        <f>TSim[[#This Row],[ValorFinalReal]]-TSim[[#This Row],[AportesReales]]</f>
        <v>13446575.885806158</v>
      </c>
      <c r="F167" s="19">
        <f>IF(TSim[[#This Row],[ValorFinalReal]]&gt;=Meta,1,0)</f>
        <v>0</v>
      </c>
      <c r="G167" s="21">
        <v>4.5204695072182943E-3</v>
      </c>
    </row>
    <row r="168" spans="1:7" ht="16.95" customHeight="1">
      <c r="A168" s="11">
        <v>160</v>
      </c>
      <c r="B168" s="24">
        <v>84742072.828254372</v>
      </c>
      <c r="C168" s="24">
        <v>64844303.839488752</v>
      </c>
      <c r="D168" s="24">
        <v>72469214.164232329</v>
      </c>
      <c r="E168" s="24">
        <f>TSim[[#This Row],[ValorFinalReal]]-TSim[[#This Row],[AportesReales]]</f>
        <v>7624910.3247435763</v>
      </c>
      <c r="F168" s="19">
        <f>IF(TSim[[#This Row],[ValorFinalReal]]&gt;=Meta,1,0)</f>
        <v>0</v>
      </c>
      <c r="G168" s="21">
        <v>1.7776993441088958E-2</v>
      </c>
    </row>
    <row r="169" spans="1:7" ht="16.95" customHeight="1">
      <c r="A169" s="11">
        <v>161</v>
      </c>
      <c r="B169" s="24">
        <v>85023350.093710721</v>
      </c>
      <c r="C169" s="24">
        <v>64980415.524885267</v>
      </c>
      <c r="D169" s="24">
        <v>83330430.335453734</v>
      </c>
      <c r="E169" s="24">
        <f>TSim[[#This Row],[ValorFinalReal]]-TSim[[#This Row],[AportesReales]]</f>
        <v>18350014.810568467</v>
      </c>
      <c r="F169" s="19">
        <f>IF(TSim[[#This Row],[ValorFinalReal]]&gt;=Meta,1,0)</f>
        <v>1</v>
      </c>
      <c r="G169" s="21">
        <v>4.2806868661943156E-3</v>
      </c>
    </row>
    <row r="170" spans="1:7" ht="16.95" customHeight="1">
      <c r="A170" s="11">
        <v>162</v>
      </c>
      <c r="B170" s="24">
        <v>83069772.201986983</v>
      </c>
      <c r="C170" s="24">
        <v>64930842.926244304</v>
      </c>
      <c r="D170" s="24">
        <v>77475172.471090704</v>
      </c>
      <c r="E170" s="24">
        <f>TSim[[#This Row],[ValorFinalReal]]-TSim[[#This Row],[AportesReales]]</f>
        <v>12544329.544846401</v>
      </c>
      <c r="F170" s="19">
        <f>IF(TSim[[#This Row],[ValorFinalReal]]&gt;=Meta,1,0)</f>
        <v>0</v>
      </c>
      <c r="G170" s="21">
        <v>5.6865818552451763E-3</v>
      </c>
    </row>
    <row r="171" spans="1:7" ht="16.95" customHeight="1">
      <c r="A171" s="11">
        <v>163</v>
      </c>
      <c r="B171" s="24">
        <v>83917878.142013714</v>
      </c>
      <c r="C171" s="24">
        <v>64939220.063805893</v>
      </c>
      <c r="D171" s="24">
        <v>78935676.846232727</v>
      </c>
      <c r="E171" s="24">
        <f>TSim[[#This Row],[ValorFinalReal]]-TSim[[#This Row],[AportesReales]]</f>
        <v>13996456.782426834</v>
      </c>
      <c r="F171" s="19">
        <f>IF(TSim[[#This Row],[ValorFinalReal]]&gt;=Meta,1,0)</f>
        <v>0</v>
      </c>
      <c r="G171" s="21">
        <v>2.9224252193787992E-3</v>
      </c>
    </row>
    <row r="172" spans="1:7" ht="16.95" customHeight="1">
      <c r="A172" s="11">
        <v>164</v>
      </c>
      <c r="B172" s="24">
        <v>93165645.101896107</v>
      </c>
      <c r="C172" s="24">
        <v>64856348.283197232</v>
      </c>
      <c r="D172" s="24">
        <v>80654072.843583748</v>
      </c>
      <c r="E172" s="24">
        <f>TSim[[#This Row],[ValorFinalReal]]-TSim[[#This Row],[AportesReales]]</f>
        <v>15797724.560386516</v>
      </c>
      <c r="F172" s="19">
        <f>IF(TSim[[#This Row],[ValorFinalReal]]&gt;=Meta,1,0)</f>
        <v>1</v>
      </c>
      <c r="G172" s="21">
        <v>1.596239220276185E-3</v>
      </c>
    </row>
    <row r="173" spans="1:7" ht="16.95" customHeight="1">
      <c r="A173" s="11">
        <v>165</v>
      </c>
      <c r="B173" s="24">
        <v>80466229.008156806</v>
      </c>
      <c r="C173" s="24">
        <v>64773126.752955593</v>
      </c>
      <c r="D173" s="24">
        <v>64086935.899038963</v>
      </c>
      <c r="E173" s="24">
        <f>TSim[[#This Row],[ValorFinalReal]]-TSim[[#This Row],[AportesReales]]</f>
        <v>-686190.85391663015</v>
      </c>
      <c r="F173" s="19">
        <f>IF(TSim[[#This Row],[ValorFinalReal]]&gt;=Meta,1,0)</f>
        <v>0</v>
      </c>
      <c r="G173" s="21">
        <v>7.9907836778081442E-3</v>
      </c>
    </row>
    <row r="174" spans="1:7" ht="16.95" customHeight="1">
      <c r="A174" s="11">
        <v>166</v>
      </c>
      <c r="B174" s="24">
        <v>78116546.418799683</v>
      </c>
      <c r="C174" s="24">
        <v>64915258.731640697</v>
      </c>
      <c r="D174" s="24">
        <v>71724890.044292018</v>
      </c>
      <c r="E174" s="24">
        <f>TSim[[#This Row],[ValorFinalReal]]-TSim[[#This Row],[AportesReales]]</f>
        <v>6809631.3126513213</v>
      </c>
      <c r="F174" s="19">
        <f>IF(TSim[[#This Row],[ValorFinalReal]]&gt;=Meta,1,0)</f>
        <v>0</v>
      </c>
      <c r="G174" s="21">
        <v>3.489263768542195E-3</v>
      </c>
    </row>
    <row r="175" spans="1:7" ht="16.95" customHeight="1">
      <c r="A175" s="11">
        <v>167</v>
      </c>
      <c r="B175" s="24">
        <v>73672672.007371739</v>
      </c>
      <c r="C175" s="24">
        <v>64950221.702825941</v>
      </c>
      <c r="D175" s="24">
        <v>70074669.298302725</v>
      </c>
      <c r="E175" s="24">
        <f>TSim[[#This Row],[ValorFinalReal]]-TSim[[#This Row],[AportesReales]]</f>
        <v>5124447.5954767838</v>
      </c>
      <c r="F175" s="19">
        <f>IF(TSim[[#This Row],[ValorFinalReal]]&gt;=Meta,1,0)</f>
        <v>0</v>
      </c>
      <c r="G175" s="21">
        <v>7.8247809309136551E-3</v>
      </c>
    </row>
    <row r="176" spans="1:7" ht="16.95" customHeight="1">
      <c r="A176" s="11">
        <v>168</v>
      </c>
      <c r="B176" s="24">
        <v>93288401.313852936</v>
      </c>
      <c r="C176" s="24">
        <v>64810049.819125518</v>
      </c>
      <c r="D176" s="24">
        <v>77068221.649761498</v>
      </c>
      <c r="E176" s="24">
        <f>TSim[[#This Row],[ValorFinalReal]]-TSim[[#This Row],[AportesReales]]</f>
        <v>12258171.83063598</v>
      </c>
      <c r="F176" s="19">
        <f>IF(TSim[[#This Row],[ValorFinalReal]]&gt;=Meta,1,0)</f>
        <v>0</v>
      </c>
      <c r="G176" s="21">
        <v>7.483836119575149E-3</v>
      </c>
    </row>
    <row r="177" spans="1:7" ht="16.95" customHeight="1">
      <c r="A177" s="11">
        <v>169</v>
      </c>
      <c r="B177" s="24">
        <v>86276797.066440195</v>
      </c>
      <c r="C177" s="24">
        <v>64966411.375521533</v>
      </c>
      <c r="D177" s="24">
        <v>83368848.723231167</v>
      </c>
      <c r="E177" s="24">
        <f>TSim[[#This Row],[ValorFinalReal]]-TSim[[#This Row],[AportesReales]]</f>
        <v>18402437.347709633</v>
      </c>
      <c r="F177" s="19">
        <f>IF(TSim[[#This Row],[ValorFinalReal]]&gt;=Meta,1,0)</f>
        <v>1</v>
      </c>
      <c r="G177" s="21">
        <v>0</v>
      </c>
    </row>
    <row r="178" spans="1:7" ht="16.95" customHeight="1">
      <c r="A178" s="11">
        <v>170</v>
      </c>
      <c r="B178" s="24">
        <v>93044631.930438474</v>
      </c>
      <c r="C178" s="24">
        <v>64890331.464591406</v>
      </c>
      <c r="D178" s="24">
        <v>83339368.74550426</v>
      </c>
      <c r="E178" s="24">
        <f>TSim[[#This Row],[ValorFinalReal]]-TSim[[#This Row],[AportesReales]]</f>
        <v>18449037.280912854</v>
      </c>
      <c r="F178" s="19">
        <f>IF(TSim[[#This Row],[ValorFinalReal]]&gt;=Meta,1,0)</f>
        <v>1</v>
      </c>
      <c r="G178" s="21">
        <v>0</v>
      </c>
    </row>
    <row r="179" spans="1:7" ht="16.95" customHeight="1">
      <c r="A179" s="11">
        <v>171</v>
      </c>
      <c r="B179" s="24">
        <v>99544869.579507649</v>
      </c>
      <c r="C179" s="24">
        <v>64845229.601230457</v>
      </c>
      <c r="D179" s="24">
        <v>85222388.235455126</v>
      </c>
      <c r="E179" s="24">
        <f>TSim[[#This Row],[ValorFinalReal]]-TSim[[#This Row],[AportesReales]]</f>
        <v>20377158.634224668</v>
      </c>
      <c r="F179" s="19">
        <f>IF(TSim[[#This Row],[ValorFinalReal]]&gt;=Meta,1,0)</f>
        <v>1</v>
      </c>
      <c r="G179" s="21">
        <v>0</v>
      </c>
    </row>
    <row r="180" spans="1:7" ht="16.95" customHeight="1">
      <c r="A180" s="11">
        <v>172</v>
      </c>
      <c r="B180" s="24">
        <v>84831546.562096089</v>
      </c>
      <c r="C180" s="24">
        <v>64952626.697858199</v>
      </c>
      <c r="D180" s="24">
        <v>80851622.2561903</v>
      </c>
      <c r="E180" s="24">
        <f>TSim[[#This Row],[ValorFinalReal]]-TSim[[#This Row],[AportesReales]]</f>
        <v>15898995.558332101</v>
      </c>
      <c r="F180" s="19">
        <f>IF(TSim[[#This Row],[ValorFinalReal]]&gt;=Meta,1,0)</f>
        <v>1</v>
      </c>
      <c r="G180" s="21">
        <v>1.034450434863698E-2</v>
      </c>
    </row>
    <row r="181" spans="1:7" ht="16.95" customHeight="1">
      <c r="A181" s="11">
        <v>173</v>
      </c>
      <c r="B181" s="24">
        <v>87202362.274380714</v>
      </c>
      <c r="C181" s="24">
        <v>64880827.199211478</v>
      </c>
      <c r="D181" s="24">
        <v>77362387.599577248</v>
      </c>
      <c r="E181" s="24">
        <f>TSim[[#This Row],[ValorFinalReal]]-TSim[[#This Row],[AportesReales]]</f>
        <v>12481560.40036577</v>
      </c>
      <c r="F181" s="19">
        <f>IF(TSim[[#This Row],[ValorFinalReal]]&gt;=Meta,1,0)</f>
        <v>0</v>
      </c>
      <c r="G181" s="21">
        <v>8.1125187140499433E-3</v>
      </c>
    </row>
    <row r="182" spans="1:7" ht="16.95" customHeight="1">
      <c r="A182" s="11">
        <v>174</v>
      </c>
      <c r="B182" s="24">
        <v>78349590.146043211</v>
      </c>
      <c r="C182" s="24">
        <v>64975318.599980839</v>
      </c>
      <c r="D182" s="24">
        <v>76364036.86039108</v>
      </c>
      <c r="E182" s="24">
        <f>TSim[[#This Row],[ValorFinalReal]]-TSim[[#This Row],[AportesReales]]</f>
        <v>11388718.260410242</v>
      </c>
      <c r="F182" s="19">
        <f>IF(TSim[[#This Row],[ValorFinalReal]]&gt;=Meta,1,0)</f>
        <v>0</v>
      </c>
      <c r="G182" s="21">
        <v>1.1711731889068379E-2</v>
      </c>
    </row>
    <row r="183" spans="1:7" ht="16.95" customHeight="1">
      <c r="A183" s="11">
        <v>175</v>
      </c>
      <c r="B183" s="24">
        <v>80031895.239249855</v>
      </c>
      <c r="C183" s="24">
        <v>64917210.136571974</v>
      </c>
      <c r="D183" s="24">
        <v>73611743.091755971</v>
      </c>
      <c r="E183" s="24">
        <f>TSim[[#This Row],[ValorFinalReal]]-TSim[[#This Row],[AportesReales]]</f>
        <v>8694532.9551839978</v>
      </c>
      <c r="F183" s="19">
        <f>IF(TSim[[#This Row],[ValorFinalReal]]&gt;=Meta,1,0)</f>
        <v>0</v>
      </c>
      <c r="G183" s="21">
        <v>5.9978053507256934E-3</v>
      </c>
    </row>
    <row r="184" spans="1:7" ht="16.95" customHeight="1">
      <c r="A184" s="11">
        <v>176</v>
      </c>
      <c r="B184" s="24">
        <v>86191006.288596198</v>
      </c>
      <c r="C184" s="24">
        <v>64813182.563279107</v>
      </c>
      <c r="D184" s="24">
        <v>71453031.636841118</v>
      </c>
      <c r="E184" s="24">
        <f>TSim[[#This Row],[ValorFinalReal]]-TSim[[#This Row],[AportesReales]]</f>
        <v>6639849.0735620111</v>
      </c>
      <c r="F184" s="19">
        <f>IF(TSim[[#This Row],[ValorFinalReal]]&gt;=Meta,1,0)</f>
        <v>0</v>
      </c>
      <c r="G184" s="21">
        <v>6.8084266712190589E-3</v>
      </c>
    </row>
    <row r="185" spans="1:7" ht="16.95" customHeight="1">
      <c r="A185" s="11">
        <v>177</v>
      </c>
      <c r="B185" s="24">
        <v>84323706.215743929</v>
      </c>
      <c r="C185" s="24">
        <v>64990139.349082433</v>
      </c>
      <c r="D185" s="24">
        <v>83474272.180418611</v>
      </c>
      <c r="E185" s="24">
        <f>TSim[[#This Row],[ValorFinalReal]]-TSim[[#This Row],[AportesReales]]</f>
        <v>18484132.831336178</v>
      </c>
      <c r="F185" s="19">
        <f>IF(TSim[[#This Row],[ValorFinalReal]]&gt;=Meta,1,0)</f>
        <v>1</v>
      </c>
      <c r="G185" s="21">
        <v>6.8631611604772491E-3</v>
      </c>
    </row>
    <row r="186" spans="1:7" ht="16.95" customHeight="1">
      <c r="A186" s="11">
        <v>178</v>
      </c>
      <c r="B186" s="24">
        <v>87193644.676576629</v>
      </c>
      <c r="C186" s="24">
        <v>64932230.262629487</v>
      </c>
      <c r="D186" s="24">
        <v>81453381.481736243</v>
      </c>
      <c r="E186" s="24">
        <f>TSim[[#This Row],[ValorFinalReal]]-TSim[[#This Row],[AportesReales]]</f>
        <v>16521151.219106756</v>
      </c>
      <c r="F186" s="19">
        <f>IF(TSim[[#This Row],[ValorFinalReal]]&gt;=Meta,1,0)</f>
        <v>1</v>
      </c>
      <c r="G186" s="21">
        <v>4.4547514933621626E-3</v>
      </c>
    </row>
    <row r="187" spans="1:7" ht="16.95" customHeight="1">
      <c r="A187" s="11">
        <v>179</v>
      </c>
      <c r="B187" s="24">
        <v>85287935.899845451</v>
      </c>
      <c r="C187" s="24">
        <v>64727323.732943527</v>
      </c>
      <c r="D187" s="24">
        <v>64840874.289738476</v>
      </c>
      <c r="E187" s="24">
        <f>TSim[[#This Row],[ValorFinalReal]]-TSim[[#This Row],[AportesReales]]</f>
        <v>113550.55679494888</v>
      </c>
      <c r="F187" s="19">
        <f>IF(TSim[[#This Row],[ValorFinalReal]]&gt;=Meta,1,0)</f>
        <v>0</v>
      </c>
      <c r="G187" s="21">
        <v>2.0855941849099451E-3</v>
      </c>
    </row>
    <row r="188" spans="1:7" ht="16.95" customHeight="1">
      <c r="A188" s="11">
        <v>180</v>
      </c>
      <c r="B188" s="24">
        <v>81775602.077194765</v>
      </c>
      <c r="C188" s="24">
        <v>64922457.587446548</v>
      </c>
      <c r="D188" s="24">
        <v>75642421.059030667</v>
      </c>
      <c r="E188" s="24">
        <f>TSim[[#This Row],[ValorFinalReal]]-TSim[[#This Row],[AportesReales]]</f>
        <v>10719963.471584119</v>
      </c>
      <c r="F188" s="19">
        <f>IF(TSim[[#This Row],[ValorFinalReal]]&gt;=Meta,1,0)</f>
        <v>0</v>
      </c>
      <c r="G188" s="21">
        <v>0</v>
      </c>
    </row>
    <row r="189" spans="1:7" ht="16.95" customHeight="1">
      <c r="A189" s="11">
        <v>181</v>
      </c>
      <c r="B189" s="24">
        <v>84386377.716037199</v>
      </c>
      <c r="C189" s="24">
        <v>64868652.957863048</v>
      </c>
      <c r="D189" s="24">
        <v>73915838.554189995</v>
      </c>
      <c r="E189" s="24">
        <f>TSim[[#This Row],[ValorFinalReal]]-TSim[[#This Row],[AportesReales]]</f>
        <v>9047185.5963269472</v>
      </c>
      <c r="F189" s="19">
        <f>IF(TSim[[#This Row],[ValorFinalReal]]&gt;=Meta,1,0)</f>
        <v>0</v>
      </c>
      <c r="G189" s="21">
        <v>3.6272152051063382E-3</v>
      </c>
    </row>
    <row r="190" spans="1:7" ht="16.95" customHeight="1">
      <c r="A190" s="11">
        <v>182</v>
      </c>
      <c r="B190" s="24">
        <v>107129228.7349682</v>
      </c>
      <c r="C190" s="24">
        <v>64766049.70646435</v>
      </c>
      <c r="D190" s="24">
        <v>84714458.075408623</v>
      </c>
      <c r="E190" s="24">
        <f>TSim[[#This Row],[ValorFinalReal]]-TSim[[#This Row],[AportesReales]]</f>
        <v>19948408.368944272</v>
      </c>
      <c r="F190" s="19">
        <f>IF(TSim[[#This Row],[ValorFinalReal]]&gt;=Meta,1,0)</f>
        <v>1</v>
      </c>
      <c r="G190" s="21">
        <v>0</v>
      </c>
    </row>
    <row r="191" spans="1:7" ht="16.95" customHeight="1">
      <c r="A191" s="11">
        <v>183</v>
      </c>
      <c r="B191" s="24">
        <v>83782724.92749536</v>
      </c>
      <c r="C191" s="24">
        <v>64901612.316279203</v>
      </c>
      <c r="D191" s="24">
        <v>75872868.558638468</v>
      </c>
      <c r="E191" s="24">
        <f>TSim[[#This Row],[ValorFinalReal]]-TSim[[#This Row],[AportesReales]]</f>
        <v>10971256.242359266</v>
      </c>
      <c r="F191" s="19">
        <f>IF(TSim[[#This Row],[ValorFinalReal]]&gt;=Meta,1,0)</f>
        <v>0</v>
      </c>
      <c r="G191" s="21">
        <v>8.2564289943775071E-3</v>
      </c>
    </row>
    <row r="192" spans="1:7" ht="16.95" customHeight="1">
      <c r="A192" s="11">
        <v>184</v>
      </c>
      <c r="B192" s="24">
        <v>93507749.297773018</v>
      </c>
      <c r="C192" s="24">
        <v>64739596.299821682</v>
      </c>
      <c r="D192" s="24">
        <v>71997939.199738339</v>
      </c>
      <c r="E192" s="24">
        <f>TSim[[#This Row],[ValorFinalReal]]-TSim[[#This Row],[AportesReales]]</f>
        <v>7258342.8999166563</v>
      </c>
      <c r="F192" s="19">
        <f>IF(TSim[[#This Row],[ValorFinalReal]]&gt;=Meta,1,0)</f>
        <v>0</v>
      </c>
      <c r="G192" s="21">
        <v>0</v>
      </c>
    </row>
    <row r="193" spans="1:7" ht="16.95" customHeight="1">
      <c r="A193" s="11">
        <v>185</v>
      </c>
      <c r="B193" s="24">
        <v>88920569.533078536</v>
      </c>
      <c r="C193" s="24">
        <v>64764245.194464639</v>
      </c>
      <c r="D193" s="24">
        <v>70172759.184365273</v>
      </c>
      <c r="E193" s="24">
        <f>TSim[[#This Row],[ValorFinalReal]]-TSim[[#This Row],[AportesReales]]</f>
        <v>5408513.9899006337</v>
      </c>
      <c r="F193" s="19">
        <f>IF(TSim[[#This Row],[ValorFinalReal]]&gt;=Meta,1,0)</f>
        <v>0</v>
      </c>
      <c r="G193" s="21">
        <v>9.12100168007135E-3</v>
      </c>
    </row>
    <row r="194" spans="1:7" ht="16.95" customHeight="1">
      <c r="A194" s="11">
        <v>186</v>
      </c>
      <c r="B194" s="24">
        <v>103807718.4930433</v>
      </c>
      <c r="C194" s="24">
        <v>64655315.936431311</v>
      </c>
      <c r="D194" s="24">
        <v>73440085.538811252</v>
      </c>
      <c r="E194" s="24">
        <f>TSim[[#This Row],[ValorFinalReal]]-TSim[[#This Row],[AportesReales]]</f>
        <v>8784769.6023799405</v>
      </c>
      <c r="F194" s="19">
        <f>IF(TSim[[#This Row],[ValorFinalReal]]&gt;=Meta,1,0)</f>
        <v>0</v>
      </c>
      <c r="G194" s="21">
        <v>1.450796440163782E-2</v>
      </c>
    </row>
    <row r="195" spans="1:7" ht="16.95" customHeight="1">
      <c r="A195" s="11">
        <v>187</v>
      </c>
      <c r="B195" s="24">
        <v>85409146.007690564</v>
      </c>
      <c r="C195" s="24">
        <v>64994823.27415739</v>
      </c>
      <c r="D195" s="24">
        <v>84935055.346979752</v>
      </c>
      <c r="E195" s="24">
        <f>TSim[[#This Row],[ValorFinalReal]]-TSim[[#This Row],[AportesReales]]</f>
        <v>19940232.072822362</v>
      </c>
      <c r="F195" s="19">
        <f>IF(TSim[[#This Row],[ValorFinalReal]]&gt;=Meta,1,0)</f>
        <v>1</v>
      </c>
      <c r="G195" s="21">
        <v>0</v>
      </c>
    </row>
    <row r="196" spans="1:7" ht="16.95" customHeight="1">
      <c r="A196" s="11">
        <v>188</v>
      </c>
      <c r="B196" s="24">
        <v>105173066.381869</v>
      </c>
      <c r="C196" s="24">
        <v>64718914.932719648</v>
      </c>
      <c r="D196" s="24">
        <v>79283413.51067166</v>
      </c>
      <c r="E196" s="24">
        <f>TSim[[#This Row],[ValorFinalReal]]-TSim[[#This Row],[AportesReales]]</f>
        <v>14564498.577952012</v>
      </c>
      <c r="F196" s="19">
        <f>IF(TSim[[#This Row],[ValorFinalReal]]&gt;=Meta,1,0)</f>
        <v>0</v>
      </c>
      <c r="G196" s="21">
        <v>4.4231554870147738E-3</v>
      </c>
    </row>
    <row r="197" spans="1:7" ht="16.95" customHeight="1">
      <c r="A197" s="11">
        <v>189</v>
      </c>
      <c r="B197" s="24">
        <v>89965978.448133647</v>
      </c>
      <c r="C197" s="24">
        <v>64874246.659219913</v>
      </c>
      <c r="D197" s="24">
        <v>79249041.050975397</v>
      </c>
      <c r="E197" s="24">
        <f>TSim[[#This Row],[ValorFinalReal]]-TSim[[#This Row],[AportesReales]]</f>
        <v>14374794.391755484</v>
      </c>
      <c r="F197" s="19">
        <f>IF(TSim[[#This Row],[ValorFinalReal]]&gt;=Meta,1,0)</f>
        <v>0</v>
      </c>
      <c r="G197" s="21">
        <v>5.2878066950849956E-3</v>
      </c>
    </row>
    <row r="198" spans="1:7" ht="16.95" customHeight="1">
      <c r="A198" s="11">
        <v>190</v>
      </c>
      <c r="B198" s="24">
        <v>90015650.780593812</v>
      </c>
      <c r="C198" s="24">
        <v>64815104.990875334</v>
      </c>
      <c r="D198" s="24">
        <v>74750175.985521898</v>
      </c>
      <c r="E198" s="24">
        <f>TSim[[#This Row],[ValorFinalReal]]-TSim[[#This Row],[AportesReales]]</f>
        <v>9935070.9946465641</v>
      </c>
      <c r="F198" s="19">
        <f>IF(TSim[[#This Row],[ValorFinalReal]]&gt;=Meta,1,0)</f>
        <v>0</v>
      </c>
      <c r="G198" s="21">
        <v>1.370965158550397E-3</v>
      </c>
    </row>
    <row r="199" spans="1:7" ht="16.95" customHeight="1">
      <c r="A199" s="11">
        <v>191</v>
      </c>
      <c r="B199" s="24">
        <v>78433240.311688676</v>
      </c>
      <c r="C199" s="24">
        <v>64989551.467240676</v>
      </c>
      <c r="D199" s="24">
        <v>77572436.381287947</v>
      </c>
      <c r="E199" s="24">
        <f>TSim[[#This Row],[ValorFinalReal]]-TSim[[#This Row],[AportesReales]]</f>
        <v>12582884.914047271</v>
      </c>
      <c r="F199" s="19">
        <f>IF(TSim[[#This Row],[ValorFinalReal]]&gt;=Meta,1,0)</f>
        <v>0</v>
      </c>
      <c r="G199" s="21">
        <v>5.236992193503931E-3</v>
      </c>
    </row>
    <row r="200" spans="1:7" ht="16.95" customHeight="1">
      <c r="A200" s="11">
        <v>192</v>
      </c>
      <c r="B200" s="24">
        <v>84368357.932313144</v>
      </c>
      <c r="C200" s="24">
        <v>64895671.405542612</v>
      </c>
      <c r="D200" s="24">
        <v>75974587.349935651</v>
      </c>
      <c r="E200" s="24">
        <f>TSim[[#This Row],[ValorFinalReal]]-TSim[[#This Row],[AportesReales]]</f>
        <v>11078915.944393039</v>
      </c>
      <c r="F200" s="19">
        <f>IF(TSim[[#This Row],[ValorFinalReal]]&gt;=Meta,1,0)</f>
        <v>0</v>
      </c>
      <c r="G200" s="21">
        <v>2.301903131631589E-3</v>
      </c>
    </row>
    <row r="201" spans="1:7" ht="16.95" customHeight="1">
      <c r="A201" s="11">
        <v>193</v>
      </c>
      <c r="B201" s="24">
        <v>98623920.606462747</v>
      </c>
      <c r="C201" s="24">
        <v>64781560.113025188</v>
      </c>
      <c r="D201" s="24">
        <v>79192474.527815223</v>
      </c>
      <c r="E201" s="24">
        <f>TSim[[#This Row],[ValorFinalReal]]-TSim[[#This Row],[AportesReales]]</f>
        <v>14410914.414790034</v>
      </c>
      <c r="F201" s="19">
        <f>IF(TSim[[#This Row],[ValorFinalReal]]&gt;=Meta,1,0)</f>
        <v>0</v>
      </c>
      <c r="G201" s="21">
        <v>0</v>
      </c>
    </row>
    <row r="202" spans="1:7" ht="16.95" customHeight="1">
      <c r="A202" s="11">
        <v>194</v>
      </c>
      <c r="B202" s="24">
        <v>88320580.227518201</v>
      </c>
      <c r="C202" s="24">
        <v>64876727.357462399</v>
      </c>
      <c r="D202" s="24">
        <v>78046759.91552633</v>
      </c>
      <c r="E202" s="24">
        <f>TSim[[#This Row],[ValorFinalReal]]-TSim[[#This Row],[AportesReales]]</f>
        <v>13170032.558063932</v>
      </c>
      <c r="F202" s="19">
        <f>IF(TSim[[#This Row],[ValorFinalReal]]&gt;=Meta,1,0)</f>
        <v>0</v>
      </c>
      <c r="G202" s="21">
        <v>6.4437881774471739E-3</v>
      </c>
    </row>
    <row r="203" spans="1:7" ht="16.95" customHeight="1">
      <c r="A203" s="11">
        <v>195</v>
      </c>
      <c r="B203" s="24">
        <v>88214978.701769173</v>
      </c>
      <c r="C203" s="24">
        <v>64843609.956069566</v>
      </c>
      <c r="D203" s="24">
        <v>75406631.396558195</v>
      </c>
      <c r="E203" s="24">
        <f>TSim[[#This Row],[ValorFinalReal]]-TSim[[#This Row],[AportesReales]]</f>
        <v>10563021.440488629</v>
      </c>
      <c r="F203" s="19">
        <f>IF(TSim[[#This Row],[ValorFinalReal]]&gt;=Meta,1,0)</f>
        <v>0</v>
      </c>
      <c r="G203" s="21">
        <v>0</v>
      </c>
    </row>
    <row r="204" spans="1:7" ht="16.95" customHeight="1">
      <c r="A204" s="11">
        <v>196</v>
      </c>
      <c r="B204" s="24">
        <v>80481235.660602823</v>
      </c>
      <c r="C204" s="24">
        <v>64941407.404361323</v>
      </c>
      <c r="D204" s="24">
        <v>75848876.67380096</v>
      </c>
      <c r="E204" s="24">
        <f>TSim[[#This Row],[ValorFinalReal]]-TSim[[#This Row],[AportesReales]]</f>
        <v>10907469.269439638</v>
      </c>
      <c r="F204" s="19">
        <f>IF(TSim[[#This Row],[ValorFinalReal]]&gt;=Meta,1,0)</f>
        <v>0</v>
      </c>
      <c r="G204" s="21">
        <v>4.6320172119841407E-3</v>
      </c>
    </row>
    <row r="205" spans="1:7" ht="16.95" customHeight="1">
      <c r="A205" s="11">
        <v>197</v>
      </c>
      <c r="B205" s="24">
        <v>87539005.955853686</v>
      </c>
      <c r="C205" s="24">
        <v>64824478.723534137</v>
      </c>
      <c r="D205" s="24">
        <v>73379925.0568147</v>
      </c>
      <c r="E205" s="24">
        <f>TSim[[#This Row],[ValorFinalReal]]-TSim[[#This Row],[AportesReales]]</f>
        <v>8555446.3332805634</v>
      </c>
      <c r="F205" s="19">
        <f>IF(TSim[[#This Row],[ValorFinalReal]]&gt;=Meta,1,0)</f>
        <v>0</v>
      </c>
      <c r="G205" s="21">
        <v>5.338963101199079E-4</v>
      </c>
    </row>
    <row r="206" spans="1:7" ht="16.95" customHeight="1">
      <c r="A206" s="11">
        <v>198</v>
      </c>
      <c r="B206" s="24">
        <v>71569087.727465957</v>
      </c>
      <c r="C206" s="24">
        <v>64994491.66786392</v>
      </c>
      <c r="D206" s="24">
        <v>71146583.064051196</v>
      </c>
      <c r="E206" s="24">
        <f>TSim[[#This Row],[ValorFinalReal]]-TSim[[#This Row],[AportesReales]]</f>
        <v>6152091.3961872756</v>
      </c>
      <c r="F206" s="19">
        <f>IF(TSim[[#This Row],[ValorFinalReal]]&gt;=Meta,1,0)</f>
        <v>0</v>
      </c>
      <c r="G206" s="21">
        <v>5.4434271400951584E-3</v>
      </c>
    </row>
    <row r="207" spans="1:7" ht="16.95" customHeight="1">
      <c r="A207" s="11">
        <v>199</v>
      </c>
      <c r="B207" s="24">
        <v>83886361.200841635</v>
      </c>
      <c r="C207" s="24">
        <v>64877751.990163714</v>
      </c>
      <c r="D207" s="24">
        <v>74177508.57853283</v>
      </c>
      <c r="E207" s="24">
        <f>TSim[[#This Row],[ValorFinalReal]]-TSim[[#This Row],[AportesReales]]</f>
        <v>9299756.5883691162</v>
      </c>
      <c r="F207" s="19">
        <f>IF(TSim[[#This Row],[ValorFinalReal]]&gt;=Meta,1,0)</f>
        <v>0</v>
      </c>
      <c r="G207" s="21">
        <v>0</v>
      </c>
    </row>
    <row r="208" spans="1:7" ht="16.95" customHeight="1">
      <c r="A208" s="11">
        <v>200</v>
      </c>
      <c r="B208" s="24">
        <v>94709531.534400463</v>
      </c>
      <c r="C208" s="24">
        <v>64959698.273335747</v>
      </c>
      <c r="D208" s="24">
        <v>90910617.129356191</v>
      </c>
      <c r="E208" s="24">
        <f>TSim[[#This Row],[ValorFinalReal]]-TSim[[#This Row],[AportesReales]]</f>
        <v>25950918.856020443</v>
      </c>
      <c r="F208" s="19">
        <f>IF(TSim[[#This Row],[ValorFinalReal]]&gt;=Meta,1,0)</f>
        <v>1</v>
      </c>
      <c r="G208" s="21">
        <v>0</v>
      </c>
    </row>
    <row r="209" spans="1:7" ht="16.95" customHeight="1">
      <c r="A209" s="11">
        <v>201</v>
      </c>
      <c r="B209" s="24">
        <v>82433219.894730732</v>
      </c>
      <c r="C209" s="24">
        <v>64995451.310769267</v>
      </c>
      <c r="D209" s="24">
        <v>82023515.157627076</v>
      </c>
      <c r="E209" s="24">
        <f>TSim[[#This Row],[ValorFinalReal]]-TSim[[#This Row],[AportesReales]]</f>
        <v>17028063.846857809</v>
      </c>
      <c r="F209" s="19">
        <f>IF(TSim[[#This Row],[ValorFinalReal]]&gt;=Meta,1,0)</f>
        <v>1</v>
      </c>
      <c r="G209" s="21">
        <v>1.010343631928246E-2</v>
      </c>
    </row>
    <row r="210" spans="1:7" ht="16.95" customHeight="1">
      <c r="A210" s="11">
        <v>202</v>
      </c>
      <c r="B210" s="24">
        <v>94671806.36278227</v>
      </c>
      <c r="C210" s="24">
        <v>64935249.680883899</v>
      </c>
      <c r="D210" s="24">
        <v>88700699.969436228</v>
      </c>
      <c r="E210" s="24">
        <f>TSim[[#This Row],[ValorFinalReal]]-TSim[[#This Row],[AportesReales]]</f>
        <v>23765450.288552329</v>
      </c>
      <c r="F210" s="19">
        <f>IF(TSim[[#This Row],[ValorFinalReal]]&gt;=Meta,1,0)</f>
        <v>1</v>
      </c>
      <c r="G210" s="21">
        <v>7.1337631039496419E-3</v>
      </c>
    </row>
    <row r="211" spans="1:7" ht="16.95" customHeight="1">
      <c r="A211" s="11">
        <v>203</v>
      </c>
      <c r="B211" s="24">
        <v>74976792.733867601</v>
      </c>
      <c r="C211" s="24">
        <v>64955913.975642629</v>
      </c>
      <c r="D211" s="24">
        <v>71717170.339074418</v>
      </c>
      <c r="E211" s="24">
        <f>TSim[[#This Row],[ValorFinalReal]]-TSim[[#This Row],[AportesReales]]</f>
        <v>6761256.363431789</v>
      </c>
      <c r="F211" s="19">
        <f>IF(TSim[[#This Row],[ValorFinalReal]]&gt;=Meta,1,0)</f>
        <v>0</v>
      </c>
      <c r="G211" s="21">
        <v>4.3945941025090862E-3</v>
      </c>
    </row>
    <row r="212" spans="1:7" ht="16.95" customHeight="1">
      <c r="A212" s="11">
        <v>204</v>
      </c>
      <c r="B212" s="24">
        <v>93605490.75866051</v>
      </c>
      <c r="C212" s="24">
        <v>64825759.512484133</v>
      </c>
      <c r="D212" s="24">
        <v>78584014.058008343</v>
      </c>
      <c r="E212" s="24">
        <f>TSim[[#This Row],[ValorFinalReal]]-TSim[[#This Row],[AportesReales]]</f>
        <v>13758254.54552421</v>
      </c>
      <c r="F212" s="19">
        <f>IF(TSim[[#This Row],[ValorFinalReal]]&gt;=Meta,1,0)</f>
        <v>0</v>
      </c>
      <c r="G212" s="21">
        <v>4.2491479037223279E-3</v>
      </c>
    </row>
    <row r="213" spans="1:7" ht="16.95" customHeight="1">
      <c r="A213" s="11">
        <v>205</v>
      </c>
      <c r="B213" s="24">
        <v>79315376.914241523</v>
      </c>
      <c r="C213" s="24">
        <v>64916792.401298098</v>
      </c>
      <c r="D213" s="24">
        <v>72943782.384889483</v>
      </c>
      <c r="E213" s="24">
        <f>TSim[[#This Row],[ValorFinalReal]]-TSim[[#This Row],[AportesReales]]</f>
        <v>8026989.9835913852</v>
      </c>
      <c r="F213" s="19">
        <f>IF(TSim[[#This Row],[ValorFinalReal]]&gt;=Meta,1,0)</f>
        <v>0</v>
      </c>
      <c r="G213" s="21">
        <v>0</v>
      </c>
    </row>
    <row r="214" spans="1:7" ht="16.95" customHeight="1">
      <c r="A214" s="11">
        <v>206</v>
      </c>
      <c r="B214" s="24">
        <v>76545503.63027367</v>
      </c>
      <c r="C214" s="24">
        <v>64991648.855145663</v>
      </c>
      <c r="D214" s="24">
        <v>75888539.94628945</v>
      </c>
      <c r="E214" s="24">
        <f>TSim[[#This Row],[ValorFinalReal]]-TSim[[#This Row],[AportesReales]]</f>
        <v>10896891.091143787</v>
      </c>
      <c r="F214" s="19">
        <f>IF(TSim[[#This Row],[ValorFinalReal]]&gt;=Meta,1,0)</f>
        <v>0</v>
      </c>
      <c r="G214" s="21">
        <v>2.3307995219694622E-3</v>
      </c>
    </row>
    <row r="215" spans="1:7" ht="16.95" customHeight="1">
      <c r="A215" s="11">
        <v>207</v>
      </c>
      <c r="B215" s="24">
        <v>95991005.36931777</v>
      </c>
      <c r="C215" s="24">
        <v>64853377.026209451</v>
      </c>
      <c r="D215" s="24">
        <v>82819166.194680437</v>
      </c>
      <c r="E215" s="24">
        <f>TSim[[#This Row],[ValorFinalReal]]-TSim[[#This Row],[AportesReales]]</f>
        <v>17965789.168470986</v>
      </c>
      <c r="F215" s="19">
        <f>IF(TSim[[#This Row],[ValorFinalReal]]&gt;=Meta,1,0)</f>
        <v>1</v>
      </c>
      <c r="G215" s="21">
        <v>2.1805631500382279E-3</v>
      </c>
    </row>
    <row r="216" spans="1:7" ht="16.95" customHeight="1">
      <c r="A216" s="11">
        <v>208</v>
      </c>
      <c r="B216" s="24">
        <v>88707634.91546917</v>
      </c>
      <c r="C216" s="24">
        <v>64835562.89358817</v>
      </c>
      <c r="D216" s="24">
        <v>75201926.84263362</v>
      </c>
      <c r="E216" s="24">
        <f>TSim[[#This Row],[ValorFinalReal]]-TSim[[#This Row],[AportesReales]]</f>
        <v>10366363.949045449</v>
      </c>
      <c r="F216" s="19">
        <f>IF(TSim[[#This Row],[ValorFinalReal]]&gt;=Meta,1,0)</f>
        <v>0</v>
      </c>
      <c r="G216" s="21">
        <v>4.460774928901845E-3</v>
      </c>
    </row>
    <row r="217" spans="1:7" ht="16.95" customHeight="1">
      <c r="A217" s="11">
        <v>209</v>
      </c>
      <c r="B217" s="24">
        <v>82605611.055582806</v>
      </c>
      <c r="C217" s="24">
        <v>65024720.961030342</v>
      </c>
      <c r="D217" s="24">
        <v>84624942.330201656</v>
      </c>
      <c r="E217" s="24">
        <f>TSim[[#This Row],[ValorFinalReal]]-TSim[[#This Row],[AportesReales]]</f>
        <v>19600221.369171314</v>
      </c>
      <c r="F217" s="19">
        <f>IF(TSim[[#This Row],[ValorFinalReal]]&gt;=Meta,1,0)</f>
        <v>1</v>
      </c>
      <c r="G217" s="21">
        <v>6.7247993806252024E-3</v>
      </c>
    </row>
    <row r="218" spans="1:7" ht="16.95" customHeight="1">
      <c r="A218" s="11">
        <v>210</v>
      </c>
      <c r="B218" s="24">
        <v>89507539.856171682</v>
      </c>
      <c r="C218" s="24">
        <v>64790610.917081557</v>
      </c>
      <c r="D218" s="24">
        <v>72524434.198080331</v>
      </c>
      <c r="E218" s="24">
        <f>TSim[[#This Row],[ValorFinalReal]]-TSim[[#This Row],[AportesReales]]</f>
        <v>7733823.2809987739</v>
      </c>
      <c r="F218" s="19">
        <f>IF(TSim[[#This Row],[ValorFinalReal]]&gt;=Meta,1,0)</f>
        <v>0</v>
      </c>
      <c r="G218" s="21">
        <v>0</v>
      </c>
    </row>
    <row r="219" spans="1:7" ht="16.95" customHeight="1">
      <c r="A219" s="11">
        <v>211</v>
      </c>
      <c r="B219" s="24">
        <v>93800796.147274211</v>
      </c>
      <c r="C219" s="24">
        <v>64811004.326528087</v>
      </c>
      <c r="D219" s="24">
        <v>77580672.077281758</v>
      </c>
      <c r="E219" s="24">
        <f>TSim[[#This Row],[ValorFinalReal]]-TSim[[#This Row],[AportesReales]]</f>
        <v>12769667.750753671</v>
      </c>
      <c r="F219" s="19">
        <f>IF(TSim[[#This Row],[ValorFinalReal]]&gt;=Meta,1,0)</f>
        <v>0</v>
      </c>
      <c r="G219" s="21">
        <v>9.9449480048445782E-3</v>
      </c>
    </row>
    <row r="220" spans="1:7" ht="16.95" customHeight="1">
      <c r="A220" s="11">
        <v>212</v>
      </c>
      <c r="B220" s="24">
        <v>84962062.093902215</v>
      </c>
      <c r="C220" s="24">
        <v>64875656.419940487</v>
      </c>
      <c r="D220" s="24">
        <v>74975448.620594934</v>
      </c>
      <c r="E220" s="24">
        <f>TSim[[#This Row],[ValorFinalReal]]-TSim[[#This Row],[AportesReales]]</f>
        <v>10099792.200654447</v>
      </c>
      <c r="F220" s="19">
        <f>IF(TSim[[#This Row],[ValorFinalReal]]&gt;=Meta,1,0)</f>
        <v>0</v>
      </c>
      <c r="G220" s="21">
        <v>6.8357140486433599E-3</v>
      </c>
    </row>
    <row r="221" spans="1:7" ht="16.95" customHeight="1">
      <c r="A221" s="11">
        <v>213</v>
      </c>
      <c r="B221" s="24">
        <v>86587830.567534655</v>
      </c>
      <c r="C221" s="24">
        <v>64819671.083066873</v>
      </c>
      <c r="D221" s="24">
        <v>72221276.083508223</v>
      </c>
      <c r="E221" s="24">
        <f>TSim[[#This Row],[ValorFinalReal]]-TSim[[#This Row],[AportesReales]]</f>
        <v>7401605.00044135</v>
      </c>
      <c r="F221" s="19">
        <f>IF(TSim[[#This Row],[ValorFinalReal]]&gt;=Meta,1,0)</f>
        <v>0</v>
      </c>
      <c r="G221" s="21">
        <v>0</v>
      </c>
    </row>
    <row r="222" spans="1:7" ht="16.95" customHeight="1">
      <c r="A222" s="11">
        <v>214</v>
      </c>
      <c r="B222" s="24">
        <v>100072112.5145016</v>
      </c>
      <c r="C222" s="24">
        <v>64863182.836191133</v>
      </c>
      <c r="D222" s="24">
        <v>87210486.70432055</v>
      </c>
      <c r="E222" s="24">
        <f>TSim[[#This Row],[ValorFinalReal]]-TSim[[#This Row],[AportesReales]]</f>
        <v>22347303.868129417</v>
      </c>
      <c r="F222" s="19">
        <f>IF(TSim[[#This Row],[ValorFinalReal]]&gt;=Meta,1,0)</f>
        <v>1</v>
      </c>
      <c r="G222" s="21">
        <v>0</v>
      </c>
    </row>
    <row r="223" spans="1:7" ht="16.95" customHeight="1">
      <c r="A223" s="11">
        <v>215</v>
      </c>
      <c r="B223" s="24">
        <v>96915633.119052202</v>
      </c>
      <c r="C223" s="24">
        <v>64844370.138245121</v>
      </c>
      <c r="D223" s="24">
        <v>82873121.058493987</v>
      </c>
      <c r="E223" s="24">
        <f>TSim[[#This Row],[ValorFinalReal]]-TSim[[#This Row],[AportesReales]]</f>
        <v>18028750.920248866</v>
      </c>
      <c r="F223" s="19">
        <f>IF(TSim[[#This Row],[ValorFinalReal]]&gt;=Meta,1,0)</f>
        <v>1</v>
      </c>
      <c r="G223" s="21">
        <v>1.7101381667038449E-3</v>
      </c>
    </row>
    <row r="224" spans="1:7" ht="16.95" customHeight="1">
      <c r="A224" s="11">
        <v>216</v>
      </c>
      <c r="B224" s="24">
        <v>78230502.141001359</v>
      </c>
      <c r="C224" s="24">
        <v>64950511.528891578</v>
      </c>
      <c r="D224" s="24">
        <v>74401350.220325544</v>
      </c>
      <c r="E224" s="24">
        <f>TSim[[#This Row],[ValorFinalReal]]-TSim[[#This Row],[AportesReales]]</f>
        <v>9450838.6914339662</v>
      </c>
      <c r="F224" s="19">
        <f>IF(TSim[[#This Row],[ValorFinalReal]]&gt;=Meta,1,0)</f>
        <v>0</v>
      </c>
      <c r="G224" s="21">
        <v>8.5230424932860593E-3</v>
      </c>
    </row>
    <row r="225" spans="1:7" ht="16.95" customHeight="1">
      <c r="A225" s="11">
        <v>217</v>
      </c>
      <c r="B225" s="24">
        <v>88800669.648904413</v>
      </c>
      <c r="C225" s="24">
        <v>64916753.402406663</v>
      </c>
      <c r="D225" s="24">
        <v>81653814.430479884</v>
      </c>
      <c r="E225" s="24">
        <f>TSim[[#This Row],[ValorFinalReal]]-TSim[[#This Row],[AportesReales]]</f>
        <v>16737061.028073221</v>
      </c>
      <c r="F225" s="19">
        <f>IF(TSim[[#This Row],[ValorFinalReal]]&gt;=Meta,1,0)</f>
        <v>1</v>
      </c>
      <c r="G225" s="21">
        <v>3.2704737510619308E-3</v>
      </c>
    </row>
    <row r="226" spans="1:7" ht="16.95" customHeight="1">
      <c r="A226" s="11">
        <v>218</v>
      </c>
      <c r="B226" s="24">
        <v>98329221.5743808</v>
      </c>
      <c r="C226" s="24">
        <v>64797938.256685108</v>
      </c>
      <c r="D226" s="24">
        <v>80294892.699785352</v>
      </c>
      <c r="E226" s="24">
        <f>TSim[[#This Row],[ValorFinalReal]]-TSim[[#This Row],[AportesReales]]</f>
        <v>15496954.443100244</v>
      </c>
      <c r="F226" s="19">
        <f>IF(TSim[[#This Row],[ValorFinalReal]]&gt;=Meta,1,0)</f>
        <v>1</v>
      </c>
      <c r="G226" s="21">
        <v>7.7575819259367851E-4</v>
      </c>
    </row>
    <row r="227" spans="1:7" ht="16.95" customHeight="1">
      <c r="A227" s="11">
        <v>219</v>
      </c>
      <c r="B227" s="24">
        <v>101297754.8432741</v>
      </c>
      <c r="C227" s="24">
        <v>64690458.925704397</v>
      </c>
      <c r="D227" s="24">
        <v>74246334.307352409</v>
      </c>
      <c r="E227" s="24">
        <f>TSim[[#This Row],[ValorFinalReal]]-TSim[[#This Row],[AportesReales]]</f>
        <v>9555875.3816480115</v>
      </c>
      <c r="F227" s="19">
        <f>IF(TSim[[#This Row],[ValorFinalReal]]&gt;=Meta,1,0)</f>
        <v>0</v>
      </c>
      <c r="G227" s="21">
        <v>1.0152570233327161E-3</v>
      </c>
    </row>
    <row r="228" spans="1:7" ht="16.95" customHeight="1">
      <c r="A228" s="11">
        <v>220</v>
      </c>
      <c r="B228" s="24">
        <v>95991533.549867764</v>
      </c>
      <c r="C228" s="24">
        <v>64832234.931961693</v>
      </c>
      <c r="D228" s="24">
        <v>81103272.608641833</v>
      </c>
      <c r="E228" s="24">
        <f>TSim[[#This Row],[ValorFinalReal]]-TSim[[#This Row],[AportesReales]]</f>
        <v>16271037.67668014</v>
      </c>
      <c r="F228" s="19">
        <f>IF(TSim[[#This Row],[ValorFinalReal]]&gt;=Meta,1,0)</f>
        <v>1</v>
      </c>
      <c r="G228" s="21">
        <v>7.9704254374056704E-3</v>
      </c>
    </row>
    <row r="229" spans="1:7" ht="16.95" customHeight="1">
      <c r="A229" s="11">
        <v>221</v>
      </c>
      <c r="B229" s="24">
        <v>94532438.699004069</v>
      </c>
      <c r="C229" s="24">
        <v>64728846.859258831</v>
      </c>
      <c r="D229" s="24">
        <v>71985316.91024369</v>
      </c>
      <c r="E229" s="24">
        <f>TSim[[#This Row],[ValorFinalReal]]-TSim[[#This Row],[AportesReales]]</f>
        <v>7256470.0509848595</v>
      </c>
      <c r="F229" s="19">
        <f>IF(TSim[[#This Row],[ValorFinalReal]]&gt;=Meta,1,0)</f>
        <v>0</v>
      </c>
      <c r="G229" s="21">
        <v>6.7889191795925674E-3</v>
      </c>
    </row>
    <row r="230" spans="1:7" ht="16.95" customHeight="1">
      <c r="A230" s="11">
        <v>222</v>
      </c>
      <c r="B230" s="24">
        <v>89722737.442215666</v>
      </c>
      <c r="C230" s="24">
        <v>64775367.369698897</v>
      </c>
      <c r="D230" s="24">
        <v>71617282.113669842</v>
      </c>
      <c r="E230" s="24">
        <f>TSim[[#This Row],[ValorFinalReal]]-TSim[[#This Row],[AportesReales]]</f>
        <v>6841914.7439709455</v>
      </c>
      <c r="F230" s="19">
        <f>IF(TSim[[#This Row],[ValorFinalReal]]&gt;=Meta,1,0)</f>
        <v>0</v>
      </c>
      <c r="G230" s="21">
        <v>1.6659658273681099E-3</v>
      </c>
    </row>
    <row r="231" spans="1:7" ht="16.95" customHeight="1">
      <c r="A231" s="11">
        <v>223</v>
      </c>
      <c r="B231" s="24">
        <v>72857842.579495043</v>
      </c>
      <c r="C231" s="24">
        <v>65169906.38925755</v>
      </c>
      <c r="D231" s="24">
        <v>86293445.419730932</v>
      </c>
      <c r="E231" s="24">
        <f>TSim[[#This Row],[ValorFinalReal]]-TSim[[#This Row],[AportesReales]]</f>
        <v>21123539.030473381</v>
      </c>
      <c r="F231" s="19">
        <f>IF(TSim[[#This Row],[ValorFinalReal]]&gt;=Meta,1,0)</f>
        <v>1</v>
      </c>
      <c r="G231" s="21">
        <v>3.0117152319368849E-3</v>
      </c>
    </row>
    <row r="232" spans="1:7" ht="16.95" customHeight="1">
      <c r="A232" s="11">
        <v>224</v>
      </c>
      <c r="B232" s="24">
        <v>97801624.315854475</v>
      </c>
      <c r="C232" s="24">
        <v>64807517.912757233</v>
      </c>
      <c r="D232" s="24">
        <v>80608093.547638968</v>
      </c>
      <c r="E232" s="24">
        <f>TSim[[#This Row],[ValorFinalReal]]-TSim[[#This Row],[AportesReales]]</f>
        <v>15800575.634881735</v>
      </c>
      <c r="F232" s="19">
        <f>IF(TSim[[#This Row],[ValorFinalReal]]&gt;=Meta,1,0)</f>
        <v>1</v>
      </c>
      <c r="G232" s="21">
        <v>0</v>
      </c>
    </row>
    <row r="233" spans="1:7" ht="16.95" customHeight="1">
      <c r="A233" s="11">
        <v>225</v>
      </c>
      <c r="B233" s="24">
        <v>77120679.223807603</v>
      </c>
      <c r="C233" s="24">
        <v>64920536.839085959</v>
      </c>
      <c r="D233" s="24">
        <v>71198970.157002419</v>
      </c>
      <c r="E233" s="24">
        <f>TSim[[#This Row],[ValorFinalReal]]-TSim[[#This Row],[AportesReales]]</f>
        <v>6278433.3179164603</v>
      </c>
      <c r="F233" s="19">
        <f>IF(TSim[[#This Row],[ValorFinalReal]]&gt;=Meta,1,0)</f>
        <v>0</v>
      </c>
      <c r="G233" s="21">
        <v>6.6092149196272931E-3</v>
      </c>
    </row>
    <row r="234" spans="1:7" ht="16.95" customHeight="1">
      <c r="A234" s="11">
        <v>226</v>
      </c>
      <c r="B234" s="24">
        <v>79442055.768463105</v>
      </c>
      <c r="C234" s="24">
        <v>64875024.081101343</v>
      </c>
      <c r="D234" s="24">
        <v>70060954.109175995</v>
      </c>
      <c r="E234" s="24">
        <f>TSim[[#This Row],[ValorFinalReal]]-TSim[[#This Row],[AportesReales]]</f>
        <v>5185930.028074652</v>
      </c>
      <c r="F234" s="19">
        <f>IF(TSim[[#This Row],[ValorFinalReal]]&gt;=Meta,1,0)</f>
        <v>0</v>
      </c>
      <c r="G234" s="21">
        <v>5.0205063063105682E-3</v>
      </c>
    </row>
    <row r="235" spans="1:7" ht="16.95" customHeight="1">
      <c r="A235" s="11">
        <v>227</v>
      </c>
      <c r="B235" s="24">
        <v>82628293.388303638</v>
      </c>
      <c r="C235" s="24">
        <v>64772724.925487772</v>
      </c>
      <c r="D235" s="24">
        <v>65757995.578714833</v>
      </c>
      <c r="E235" s="24">
        <f>TSim[[#This Row],[ValorFinalReal]]-TSim[[#This Row],[AportesReales]]</f>
        <v>985270.65322706103</v>
      </c>
      <c r="F235" s="19">
        <f>IF(TSim[[#This Row],[ValorFinalReal]]&gt;=Meta,1,0)</f>
        <v>0</v>
      </c>
      <c r="G235" s="21">
        <v>1.42163966814367E-2</v>
      </c>
    </row>
    <row r="236" spans="1:7" ht="16.95" customHeight="1">
      <c r="A236" s="11">
        <v>228</v>
      </c>
      <c r="B236" s="24">
        <v>79889574.753990248</v>
      </c>
      <c r="C236" s="24">
        <v>64898082.480345637</v>
      </c>
      <c r="D236" s="24">
        <v>72098705.233426958</v>
      </c>
      <c r="E236" s="24">
        <f>TSim[[#This Row],[ValorFinalReal]]-TSim[[#This Row],[AportesReales]]</f>
        <v>7200622.7530813217</v>
      </c>
      <c r="F236" s="19">
        <f>IF(TSim[[#This Row],[ValorFinalReal]]&gt;=Meta,1,0)</f>
        <v>0</v>
      </c>
      <c r="G236" s="21">
        <v>3.374619442164772E-3</v>
      </c>
    </row>
    <row r="237" spans="1:7" ht="16.95" customHeight="1">
      <c r="A237" s="11">
        <v>229</v>
      </c>
      <c r="B237" s="24">
        <v>91821648.970334023</v>
      </c>
      <c r="C237" s="24">
        <v>64779439.018010058</v>
      </c>
      <c r="D237" s="24">
        <v>73575511.222470164</v>
      </c>
      <c r="E237" s="24">
        <f>TSim[[#This Row],[ValorFinalReal]]-TSim[[#This Row],[AportesReales]]</f>
        <v>8796072.2044601068</v>
      </c>
      <c r="F237" s="19">
        <f>IF(TSim[[#This Row],[ValorFinalReal]]&gt;=Meta,1,0)</f>
        <v>0</v>
      </c>
      <c r="G237" s="21">
        <v>1.4437758056514481E-2</v>
      </c>
    </row>
    <row r="238" spans="1:7" ht="16.95" customHeight="1">
      <c r="A238" s="11">
        <v>230</v>
      </c>
      <c r="B238" s="24">
        <v>76796882.024298102</v>
      </c>
      <c r="C238" s="24">
        <v>64877702.770860493</v>
      </c>
      <c r="D238" s="24">
        <v>67927726.243556976</v>
      </c>
      <c r="E238" s="24">
        <f>TSim[[#This Row],[ValorFinalReal]]-TSim[[#This Row],[AportesReales]]</f>
        <v>3050023.4726964831</v>
      </c>
      <c r="F238" s="19">
        <f>IF(TSim[[#This Row],[ValorFinalReal]]&gt;=Meta,1,0)</f>
        <v>0</v>
      </c>
      <c r="G238" s="21">
        <v>1.3589836714316459E-2</v>
      </c>
    </row>
    <row r="239" spans="1:7" ht="16.95" customHeight="1">
      <c r="A239" s="11">
        <v>231</v>
      </c>
      <c r="B239" s="24">
        <v>91006869.874333277</v>
      </c>
      <c r="C239" s="24">
        <v>64941689.771850333</v>
      </c>
      <c r="D239" s="24">
        <v>85828036.791448697</v>
      </c>
      <c r="E239" s="24">
        <f>TSim[[#This Row],[ValorFinalReal]]-TSim[[#This Row],[AportesReales]]</f>
        <v>20886347.019598365</v>
      </c>
      <c r="F239" s="19">
        <f>IF(TSim[[#This Row],[ValorFinalReal]]&gt;=Meta,1,0)</f>
        <v>1</v>
      </c>
      <c r="G239" s="21">
        <v>8.5325532812138283E-3</v>
      </c>
    </row>
    <row r="240" spans="1:7" ht="16.95" customHeight="1">
      <c r="A240" s="11">
        <v>232</v>
      </c>
      <c r="B240" s="24">
        <v>108961301.7870439</v>
      </c>
      <c r="C240" s="24">
        <v>64694626.763102673</v>
      </c>
      <c r="D240" s="24">
        <v>80139238.726004571</v>
      </c>
      <c r="E240" s="24">
        <f>TSim[[#This Row],[ValorFinalReal]]-TSim[[#This Row],[AportesReales]]</f>
        <v>15444611.962901898</v>
      </c>
      <c r="F240" s="19">
        <f>IF(TSim[[#This Row],[ValorFinalReal]]&gt;=Meta,1,0)</f>
        <v>1</v>
      </c>
      <c r="G240" s="21">
        <v>5.7160032131846616E-3</v>
      </c>
    </row>
    <row r="241" spans="1:7" ht="16.95" customHeight="1">
      <c r="A241" s="11">
        <v>233</v>
      </c>
      <c r="B241" s="24">
        <v>97764594.881592363</v>
      </c>
      <c r="C241" s="24">
        <v>64772539.134416193</v>
      </c>
      <c r="D241" s="24">
        <v>77820423.781739801</v>
      </c>
      <c r="E241" s="24">
        <f>TSim[[#This Row],[ValorFinalReal]]-TSim[[#This Row],[AportesReales]]</f>
        <v>13047884.647323608</v>
      </c>
      <c r="F241" s="19">
        <f>IF(TSim[[#This Row],[ValorFinalReal]]&gt;=Meta,1,0)</f>
        <v>0</v>
      </c>
      <c r="G241" s="21">
        <v>0</v>
      </c>
    </row>
    <row r="242" spans="1:7" ht="16.95" customHeight="1">
      <c r="A242" s="11">
        <v>234</v>
      </c>
      <c r="B242" s="24">
        <v>76683627.352126032</v>
      </c>
      <c r="C242" s="24">
        <v>64976556.483015917</v>
      </c>
      <c r="D242" s="24">
        <v>74872651.402079344</v>
      </c>
      <c r="E242" s="24">
        <f>TSim[[#This Row],[ValorFinalReal]]-TSim[[#This Row],[AportesReales]]</f>
        <v>9896094.9190634266</v>
      </c>
      <c r="F242" s="19">
        <f>IF(TSim[[#This Row],[ValorFinalReal]]&gt;=Meta,1,0)</f>
        <v>0</v>
      </c>
      <c r="G242" s="21">
        <v>1.38900265538513E-2</v>
      </c>
    </row>
    <row r="243" spans="1:7" ht="16.95" customHeight="1">
      <c r="A243" s="11">
        <v>235</v>
      </c>
      <c r="B243" s="24">
        <v>74737656.941329807</v>
      </c>
      <c r="C243" s="24">
        <v>64933760.959204488</v>
      </c>
      <c r="D243" s="24">
        <v>69910171.619013608</v>
      </c>
      <c r="E243" s="24">
        <f>TSim[[#This Row],[ValorFinalReal]]-TSim[[#This Row],[AportesReales]]</f>
        <v>4976410.65980912</v>
      </c>
      <c r="F243" s="19">
        <f>IF(TSim[[#This Row],[ValorFinalReal]]&gt;=Meta,1,0)</f>
        <v>0</v>
      </c>
      <c r="G243" s="21">
        <v>7.045802723564587E-3</v>
      </c>
    </row>
    <row r="244" spans="1:7" ht="16.95" customHeight="1">
      <c r="A244" s="11">
        <v>236</v>
      </c>
      <c r="B244" s="24">
        <v>87998637.550976872</v>
      </c>
      <c r="C244" s="24">
        <v>64879857.977193967</v>
      </c>
      <c r="D244" s="24">
        <v>77990588.269137859</v>
      </c>
      <c r="E244" s="24">
        <f>TSim[[#This Row],[ValorFinalReal]]-TSim[[#This Row],[AportesReales]]</f>
        <v>13110730.291943893</v>
      </c>
      <c r="F244" s="19">
        <f>IF(TSim[[#This Row],[ValorFinalReal]]&gt;=Meta,1,0)</f>
        <v>0</v>
      </c>
      <c r="G244" s="21">
        <v>3.5804542382610331E-3</v>
      </c>
    </row>
    <row r="245" spans="1:7" ht="16.95" customHeight="1">
      <c r="A245" s="11">
        <v>237</v>
      </c>
      <c r="B245" s="24">
        <v>89523316.092040986</v>
      </c>
      <c r="C245" s="24">
        <v>64801335.018965334</v>
      </c>
      <c r="D245" s="24">
        <v>73329553.148998886</v>
      </c>
      <c r="E245" s="24">
        <f>TSim[[#This Row],[ValorFinalReal]]-TSim[[#This Row],[AportesReales]]</f>
        <v>8528218.1300335526</v>
      </c>
      <c r="F245" s="19">
        <f>IF(TSim[[#This Row],[ValorFinalReal]]&gt;=Meta,1,0)</f>
        <v>0</v>
      </c>
      <c r="G245" s="21">
        <v>3.100506640630218E-3</v>
      </c>
    </row>
    <row r="246" spans="1:7" ht="16.95" customHeight="1">
      <c r="A246" s="11">
        <v>238</v>
      </c>
      <c r="B246" s="24">
        <v>90031128.480608433</v>
      </c>
      <c r="C246" s="24">
        <v>64763128.282063887</v>
      </c>
      <c r="D246" s="24">
        <v>70961252.079305381</v>
      </c>
      <c r="E246" s="24">
        <f>TSim[[#This Row],[ValorFinalReal]]-TSim[[#This Row],[AportesReales]]</f>
        <v>6198123.7972414941</v>
      </c>
      <c r="F246" s="19">
        <f>IF(TSim[[#This Row],[ValorFinalReal]]&gt;=Meta,1,0)</f>
        <v>0</v>
      </c>
      <c r="G246" s="21">
        <v>0</v>
      </c>
    </row>
    <row r="247" spans="1:7" ht="16.95" customHeight="1">
      <c r="A247" s="11">
        <v>239</v>
      </c>
      <c r="B247" s="24">
        <v>99938176.665599659</v>
      </c>
      <c r="C247" s="24">
        <v>64778947.664507337</v>
      </c>
      <c r="D247" s="24">
        <v>80023192.880037576</v>
      </c>
      <c r="E247" s="24">
        <f>TSim[[#This Row],[ValorFinalReal]]-TSim[[#This Row],[AportesReales]]</f>
        <v>15244245.215530239</v>
      </c>
      <c r="F247" s="19">
        <f>IF(TSim[[#This Row],[ValorFinalReal]]&gt;=Meta,1,0)</f>
        <v>1</v>
      </c>
      <c r="G247" s="21">
        <v>1.583009345887398E-3</v>
      </c>
    </row>
    <row r="248" spans="1:7" ht="16.95" customHeight="1">
      <c r="A248" s="11">
        <v>240</v>
      </c>
      <c r="B248" s="24">
        <v>88248303.128520295</v>
      </c>
      <c r="C248" s="24">
        <v>64745425.340733178</v>
      </c>
      <c r="D248" s="24">
        <v>68344105.309590355</v>
      </c>
      <c r="E248" s="24">
        <f>TSim[[#This Row],[ValorFinalReal]]-TSim[[#This Row],[AportesReales]]</f>
        <v>3598679.9688571766</v>
      </c>
      <c r="F248" s="19">
        <f>IF(TSim[[#This Row],[ValorFinalReal]]&gt;=Meta,1,0)</f>
        <v>0</v>
      </c>
      <c r="G248" s="21">
        <v>5.0627420641162768E-3</v>
      </c>
    </row>
    <row r="249" spans="1:7" ht="16.95" customHeight="1">
      <c r="A249" s="11">
        <v>241</v>
      </c>
      <c r="B249" s="24">
        <v>86859624.316873923</v>
      </c>
      <c r="C249" s="24">
        <v>64829054.342043459</v>
      </c>
      <c r="D249" s="24">
        <v>73161283.897333533</v>
      </c>
      <c r="E249" s="24">
        <f>TSim[[#This Row],[ValorFinalReal]]-TSim[[#This Row],[AportesReales]]</f>
        <v>8332229.5552900732</v>
      </c>
      <c r="F249" s="19">
        <f>IF(TSim[[#This Row],[ValorFinalReal]]&gt;=Meta,1,0)</f>
        <v>0</v>
      </c>
      <c r="G249" s="21">
        <v>0</v>
      </c>
    </row>
    <row r="250" spans="1:7" ht="16.95" customHeight="1">
      <c r="A250" s="11">
        <v>242</v>
      </c>
      <c r="B250" s="24">
        <v>88421535.2496095</v>
      </c>
      <c r="C250" s="24">
        <v>64757072.511481367</v>
      </c>
      <c r="D250" s="24">
        <v>69286742.867665321</v>
      </c>
      <c r="E250" s="24">
        <f>TSim[[#This Row],[ValorFinalReal]]-TSim[[#This Row],[AportesReales]]</f>
        <v>4529670.3561839536</v>
      </c>
      <c r="F250" s="19">
        <f>IF(TSim[[#This Row],[ValorFinalReal]]&gt;=Meta,1,0)</f>
        <v>0</v>
      </c>
      <c r="G250" s="21">
        <v>2.0555753418494138E-3</v>
      </c>
    </row>
    <row r="251" spans="1:7" ht="16.95" customHeight="1">
      <c r="A251" s="11">
        <v>243</v>
      </c>
      <c r="B251" s="24">
        <v>84650918.096915692</v>
      </c>
      <c r="C251" s="24">
        <v>64878331.96897544</v>
      </c>
      <c r="D251" s="24">
        <v>74896699.110916853</v>
      </c>
      <c r="E251" s="24">
        <f>TSim[[#This Row],[ValorFinalReal]]-TSim[[#This Row],[AportesReales]]</f>
        <v>10018367.141941413</v>
      </c>
      <c r="F251" s="19">
        <f>IF(TSim[[#This Row],[ValorFinalReal]]&gt;=Meta,1,0)</f>
        <v>0</v>
      </c>
      <c r="G251" s="21">
        <v>0</v>
      </c>
    </row>
    <row r="252" spans="1:7" ht="16.95" customHeight="1">
      <c r="A252" s="11">
        <v>244</v>
      </c>
      <c r="B252" s="24">
        <v>94789159.884514555</v>
      </c>
      <c r="C252" s="24">
        <v>64890942.486099467</v>
      </c>
      <c r="D252" s="24">
        <v>84957083.359729201</v>
      </c>
      <c r="E252" s="24">
        <f>TSim[[#This Row],[ValorFinalReal]]-TSim[[#This Row],[AportesReales]]</f>
        <v>20066140.873629734</v>
      </c>
      <c r="F252" s="19">
        <f>IF(TSim[[#This Row],[ValorFinalReal]]&gt;=Meta,1,0)</f>
        <v>1</v>
      </c>
      <c r="G252" s="21">
        <v>3.4601986638395088E-3</v>
      </c>
    </row>
    <row r="253" spans="1:7" ht="16.95" customHeight="1">
      <c r="A253" s="11">
        <v>245</v>
      </c>
      <c r="B253" s="24">
        <v>98207266.863068476</v>
      </c>
      <c r="C253" s="24">
        <v>64741876.039327823</v>
      </c>
      <c r="D253" s="24">
        <v>75776921.418729693</v>
      </c>
      <c r="E253" s="24">
        <f>TSim[[#This Row],[ValorFinalReal]]-TSim[[#This Row],[AportesReales]]</f>
        <v>11035045.37940187</v>
      </c>
      <c r="F253" s="19">
        <f>IF(TSim[[#This Row],[ValorFinalReal]]&gt;=Meta,1,0)</f>
        <v>0</v>
      </c>
      <c r="G253" s="21">
        <v>3.0113716141731972E-3</v>
      </c>
    </row>
    <row r="254" spans="1:7" ht="16.95" customHeight="1">
      <c r="A254" s="11">
        <v>246</v>
      </c>
      <c r="B254" s="24">
        <v>87996387.25559327</v>
      </c>
      <c r="C254" s="24">
        <v>64952512.804784521</v>
      </c>
      <c r="D254" s="24">
        <v>83881193.188919723</v>
      </c>
      <c r="E254" s="24">
        <f>TSim[[#This Row],[ValorFinalReal]]-TSim[[#This Row],[AportesReales]]</f>
        <v>18928680.384135202</v>
      </c>
      <c r="F254" s="19">
        <f>IF(TSim[[#This Row],[ValorFinalReal]]&gt;=Meta,1,0)</f>
        <v>1</v>
      </c>
      <c r="G254" s="21">
        <v>6.3535579254441199E-3</v>
      </c>
    </row>
    <row r="255" spans="1:7" ht="16.95" customHeight="1">
      <c r="A255" s="11">
        <v>247</v>
      </c>
      <c r="B255" s="24">
        <v>86374565.624575555</v>
      </c>
      <c r="C255" s="24">
        <v>64845236.736143783</v>
      </c>
      <c r="D255" s="24">
        <v>73934542.319308132</v>
      </c>
      <c r="E255" s="24">
        <f>TSim[[#This Row],[ValorFinalReal]]-TSim[[#This Row],[AportesReales]]</f>
        <v>9089305.5831643492</v>
      </c>
      <c r="F255" s="19">
        <f>IF(TSim[[#This Row],[ValorFinalReal]]&gt;=Meta,1,0)</f>
        <v>0</v>
      </c>
      <c r="G255" s="21">
        <v>1.3830411032582529E-2</v>
      </c>
    </row>
    <row r="256" spans="1:7" ht="16.95" customHeight="1">
      <c r="A256" s="11">
        <v>248</v>
      </c>
      <c r="B256" s="24">
        <v>113261915.2560714</v>
      </c>
      <c r="C256" s="24">
        <v>64695450.010268293</v>
      </c>
      <c r="D256" s="24">
        <v>83388859.476675376</v>
      </c>
      <c r="E256" s="24">
        <f>TSim[[#This Row],[ValorFinalReal]]-TSim[[#This Row],[AportesReales]]</f>
        <v>18693409.466407083</v>
      </c>
      <c r="F256" s="19">
        <f>IF(TSim[[#This Row],[ValorFinalReal]]&gt;=Meta,1,0)</f>
        <v>1</v>
      </c>
      <c r="G256" s="21">
        <v>7.8543808565472162E-3</v>
      </c>
    </row>
    <row r="257" spans="1:7" ht="16.95" customHeight="1">
      <c r="A257" s="11">
        <v>249</v>
      </c>
      <c r="B257" s="24">
        <v>87850514.446181655</v>
      </c>
      <c r="C257" s="24">
        <v>65060328.827345692</v>
      </c>
      <c r="D257" s="24">
        <v>93274524.109933048</v>
      </c>
      <c r="E257" s="24">
        <f>TSim[[#This Row],[ValorFinalReal]]-TSim[[#This Row],[AportesReales]]</f>
        <v>28214195.282587357</v>
      </c>
      <c r="F257" s="19">
        <f>IF(TSim[[#This Row],[ValorFinalReal]]&gt;=Meta,1,0)</f>
        <v>1</v>
      </c>
      <c r="G257" s="21">
        <v>1.224484140630921E-3</v>
      </c>
    </row>
    <row r="258" spans="1:7" ht="16.95" customHeight="1">
      <c r="A258" s="11">
        <v>250</v>
      </c>
      <c r="B258" s="24">
        <v>79438238.468042076</v>
      </c>
      <c r="C258" s="24">
        <v>64859365.657155417</v>
      </c>
      <c r="D258" s="24">
        <v>68965318.109034851</v>
      </c>
      <c r="E258" s="24">
        <f>TSim[[#This Row],[ValorFinalReal]]-TSim[[#This Row],[AportesReales]]</f>
        <v>4105952.4518794343</v>
      </c>
      <c r="F258" s="19">
        <f>IF(TSim[[#This Row],[ValorFinalReal]]&gt;=Meta,1,0)</f>
        <v>0</v>
      </c>
      <c r="G258" s="21">
        <v>3.0777143842388721E-3</v>
      </c>
    </row>
    <row r="259" spans="1:7" ht="16.95" customHeight="1">
      <c r="A259" s="11">
        <v>251</v>
      </c>
      <c r="B259" s="24">
        <v>94004693.850080222</v>
      </c>
      <c r="C259" s="24">
        <v>64767309.044179678</v>
      </c>
      <c r="D259" s="24">
        <v>74409576.305840775</v>
      </c>
      <c r="E259" s="24">
        <f>TSim[[#This Row],[ValorFinalReal]]-TSim[[#This Row],[AportesReales]]</f>
        <v>9642267.2616610974</v>
      </c>
      <c r="F259" s="19">
        <f>IF(TSim[[#This Row],[ValorFinalReal]]&gt;=Meta,1,0)</f>
        <v>0</v>
      </c>
      <c r="G259" s="21">
        <v>5.9909647670179922E-3</v>
      </c>
    </row>
    <row r="260" spans="1:7" ht="16.95" customHeight="1">
      <c r="A260" s="11">
        <v>252</v>
      </c>
      <c r="B260" s="24">
        <v>74341754.934782997</v>
      </c>
      <c r="C260" s="24">
        <v>64916686.227276333</v>
      </c>
      <c r="D260" s="24">
        <v>68349313.353991643</v>
      </c>
      <c r="E260" s="24">
        <f>TSim[[#This Row],[ValorFinalReal]]-TSim[[#This Row],[AportesReales]]</f>
        <v>3432627.1267153099</v>
      </c>
      <c r="F260" s="19">
        <f>IF(TSim[[#This Row],[ValorFinalReal]]&gt;=Meta,1,0)</f>
        <v>0</v>
      </c>
      <c r="G260" s="21">
        <v>1.7329524955875919E-2</v>
      </c>
    </row>
    <row r="261" spans="1:7" ht="16.95" customHeight="1">
      <c r="A261" s="11">
        <v>253</v>
      </c>
      <c r="B261" s="24">
        <v>92536832.547387615</v>
      </c>
      <c r="C261" s="24">
        <v>64978828.352989227</v>
      </c>
      <c r="D261" s="24">
        <v>90555557.696606278</v>
      </c>
      <c r="E261" s="24">
        <f>TSim[[#This Row],[ValorFinalReal]]-TSim[[#This Row],[AportesReales]]</f>
        <v>25576729.343617052</v>
      </c>
      <c r="F261" s="19">
        <f>IF(TSim[[#This Row],[ValorFinalReal]]&gt;=Meta,1,0)</f>
        <v>1</v>
      </c>
      <c r="G261" s="21">
        <v>0</v>
      </c>
    </row>
    <row r="262" spans="1:7" ht="16.95" customHeight="1">
      <c r="A262" s="11">
        <v>254</v>
      </c>
      <c r="B262" s="24">
        <v>88906831.214637056</v>
      </c>
      <c r="C262" s="24">
        <v>64806203.447516233</v>
      </c>
      <c r="D262" s="24">
        <v>73178630.183940679</v>
      </c>
      <c r="E262" s="24">
        <f>TSim[[#This Row],[ValorFinalReal]]-TSim[[#This Row],[AportesReales]]</f>
        <v>8372426.7364244461</v>
      </c>
      <c r="F262" s="19">
        <f>IF(TSim[[#This Row],[ValorFinalReal]]&gt;=Meta,1,0)</f>
        <v>0</v>
      </c>
      <c r="G262" s="21">
        <v>1.3939068982792291E-3</v>
      </c>
    </row>
    <row r="263" spans="1:7" ht="16.95" customHeight="1">
      <c r="A263" s="11">
        <v>255</v>
      </c>
      <c r="B263" s="24">
        <v>88905565.938092053</v>
      </c>
      <c r="C263" s="24">
        <v>64824690.556328692</v>
      </c>
      <c r="D263" s="24">
        <v>74548592.753034323</v>
      </c>
      <c r="E263" s="24">
        <f>TSim[[#This Row],[ValorFinalReal]]-TSim[[#This Row],[AportesReales]]</f>
        <v>9723902.1967056319</v>
      </c>
      <c r="F263" s="19">
        <f>IF(TSim[[#This Row],[ValorFinalReal]]&gt;=Meta,1,0)</f>
        <v>0</v>
      </c>
      <c r="G263" s="21">
        <v>8.3792045595297848E-3</v>
      </c>
    </row>
    <row r="264" spans="1:7" ht="16.95" customHeight="1">
      <c r="A264" s="11">
        <v>256</v>
      </c>
      <c r="B264" s="24">
        <v>82984876.325878292</v>
      </c>
      <c r="C264" s="24">
        <v>64945603.930214442</v>
      </c>
      <c r="D264" s="24">
        <v>78561926.116996646</v>
      </c>
      <c r="E264" s="24">
        <f>TSim[[#This Row],[ValorFinalReal]]-TSim[[#This Row],[AportesReales]]</f>
        <v>13616322.186782204</v>
      </c>
      <c r="F264" s="19">
        <f>IF(TSim[[#This Row],[ValorFinalReal]]&gt;=Meta,1,0)</f>
        <v>0</v>
      </c>
      <c r="G264" s="21">
        <v>0</v>
      </c>
    </row>
    <row r="265" spans="1:7" ht="16.95" customHeight="1">
      <c r="A265" s="11">
        <v>257</v>
      </c>
      <c r="B265" s="24">
        <v>86170063.257763594</v>
      </c>
      <c r="C265" s="24">
        <v>64757470.346375383</v>
      </c>
      <c r="D265" s="24">
        <v>67548003.565878212</v>
      </c>
      <c r="E265" s="24">
        <f>TSim[[#This Row],[ValorFinalReal]]-TSim[[#This Row],[AportesReales]]</f>
        <v>2790533.219502829</v>
      </c>
      <c r="F265" s="19">
        <f>IF(TSim[[#This Row],[ValorFinalReal]]&gt;=Meta,1,0)</f>
        <v>0</v>
      </c>
      <c r="G265" s="21">
        <v>6.9710273275815906E-3</v>
      </c>
    </row>
    <row r="266" spans="1:7" ht="16.95" customHeight="1">
      <c r="A266" s="11">
        <v>258</v>
      </c>
      <c r="B266" s="24">
        <v>118973776.1079627</v>
      </c>
      <c r="C266" s="24">
        <v>64746293.766774893</v>
      </c>
      <c r="D266" s="24">
        <v>92222411.617886886</v>
      </c>
      <c r="E266" s="24">
        <f>TSim[[#This Row],[ValorFinalReal]]-TSim[[#This Row],[AportesReales]]</f>
        <v>27476117.851111993</v>
      </c>
      <c r="F266" s="19">
        <f>IF(TSim[[#This Row],[ValorFinalReal]]&gt;=Meta,1,0)</f>
        <v>1</v>
      </c>
      <c r="G266" s="21">
        <v>0</v>
      </c>
    </row>
    <row r="267" spans="1:7" ht="16.95" customHeight="1">
      <c r="A267" s="11">
        <v>259</v>
      </c>
      <c r="B267" s="24">
        <v>83089623.882621005</v>
      </c>
      <c r="C267" s="24">
        <v>64984411.229181007</v>
      </c>
      <c r="D267" s="24">
        <v>81754322.617944986</v>
      </c>
      <c r="E267" s="24">
        <f>TSim[[#This Row],[ValorFinalReal]]-TSim[[#This Row],[AportesReales]]</f>
        <v>16769911.388763979</v>
      </c>
      <c r="F267" s="19">
        <f>IF(TSim[[#This Row],[ValorFinalReal]]&gt;=Meta,1,0)</f>
        <v>1</v>
      </c>
      <c r="G267" s="21">
        <v>3.883765653585614E-3</v>
      </c>
    </row>
    <row r="268" spans="1:7" ht="16.95" customHeight="1">
      <c r="A268" s="11">
        <v>260</v>
      </c>
      <c r="B268" s="24">
        <v>86584982.417706341</v>
      </c>
      <c r="C268" s="24">
        <v>64894044.582740992</v>
      </c>
      <c r="D268" s="24">
        <v>77842976.240212828</v>
      </c>
      <c r="E268" s="24">
        <f>TSim[[#This Row],[ValorFinalReal]]-TSim[[#This Row],[AportesReales]]</f>
        <v>12948931.657471836</v>
      </c>
      <c r="F268" s="19">
        <f>IF(TSim[[#This Row],[ValorFinalReal]]&gt;=Meta,1,0)</f>
        <v>0</v>
      </c>
      <c r="G268" s="21">
        <v>9.4647458811025764E-4</v>
      </c>
    </row>
    <row r="269" spans="1:7" ht="16.95" customHeight="1">
      <c r="A269" s="11">
        <v>261</v>
      </c>
      <c r="B269" s="24">
        <v>89119696.42436111</v>
      </c>
      <c r="C269" s="24">
        <v>64818125.366156697</v>
      </c>
      <c r="D269" s="24">
        <v>74245636.705633298</v>
      </c>
      <c r="E269" s="24">
        <f>TSim[[#This Row],[ValorFinalReal]]-TSim[[#This Row],[AportesReales]]</f>
        <v>9427511.3394766003</v>
      </c>
      <c r="F269" s="19">
        <f>IF(TSim[[#This Row],[ValorFinalReal]]&gt;=Meta,1,0)</f>
        <v>0</v>
      </c>
      <c r="G269" s="21">
        <v>9.8956933650318213E-3</v>
      </c>
    </row>
    <row r="270" spans="1:7" ht="16.95" customHeight="1">
      <c r="A270" s="11">
        <v>262</v>
      </c>
      <c r="B270" s="24">
        <v>104677392.4368594</v>
      </c>
      <c r="C270" s="24">
        <v>64788020.3011721</v>
      </c>
      <c r="D270" s="24">
        <v>84597699.456068113</v>
      </c>
      <c r="E270" s="24">
        <f>TSim[[#This Row],[ValorFinalReal]]-TSim[[#This Row],[AportesReales]]</f>
        <v>19809679.154896013</v>
      </c>
      <c r="F270" s="19">
        <f>IF(TSim[[#This Row],[ValorFinalReal]]&gt;=Meta,1,0)</f>
        <v>1</v>
      </c>
      <c r="G270" s="21">
        <v>6.6960538913207746E-4</v>
      </c>
    </row>
    <row r="271" spans="1:7" ht="16.95" customHeight="1">
      <c r="A271" s="11">
        <v>263</v>
      </c>
      <c r="B271" s="24">
        <v>101273982.16531751</v>
      </c>
      <c r="C271" s="24">
        <v>64706236.580461457</v>
      </c>
      <c r="D271" s="24">
        <v>75375131.870839566</v>
      </c>
      <c r="E271" s="24">
        <f>TSim[[#This Row],[ValorFinalReal]]-TSim[[#This Row],[AportesReales]]</f>
        <v>10668895.290378109</v>
      </c>
      <c r="F271" s="19">
        <f>IF(TSim[[#This Row],[ValorFinalReal]]&gt;=Meta,1,0)</f>
        <v>0</v>
      </c>
      <c r="G271" s="21">
        <v>0</v>
      </c>
    </row>
    <row r="272" spans="1:7" ht="16.95" customHeight="1">
      <c r="A272" s="11">
        <v>264</v>
      </c>
      <c r="B272" s="24">
        <v>96294510.528832078</v>
      </c>
      <c r="C272" s="24">
        <v>64705823.382884793</v>
      </c>
      <c r="D272" s="24">
        <v>71655844.550568849</v>
      </c>
      <c r="E272" s="24">
        <f>TSim[[#This Row],[ValorFinalReal]]-TSim[[#This Row],[AportesReales]]</f>
        <v>6950021.1676840559</v>
      </c>
      <c r="F272" s="19">
        <f>IF(TSim[[#This Row],[ValorFinalReal]]&gt;=Meta,1,0)</f>
        <v>0</v>
      </c>
      <c r="G272" s="21">
        <v>0</v>
      </c>
    </row>
    <row r="273" spans="1:7" ht="16.95" customHeight="1">
      <c r="A273" s="11">
        <v>265</v>
      </c>
      <c r="B273" s="24">
        <v>84483947.124821186</v>
      </c>
      <c r="C273" s="24">
        <v>64807587.857351787</v>
      </c>
      <c r="D273" s="24">
        <v>69655740.437346518</v>
      </c>
      <c r="E273" s="24">
        <f>TSim[[#This Row],[ValorFinalReal]]-TSim[[#This Row],[AportesReales]]</f>
        <v>4848152.5799947307</v>
      </c>
      <c r="F273" s="19">
        <f>IF(TSim[[#This Row],[ValorFinalReal]]&gt;=Meta,1,0)</f>
        <v>0</v>
      </c>
      <c r="G273" s="21">
        <v>5.3507390204172722E-3</v>
      </c>
    </row>
    <row r="274" spans="1:7" ht="16.95" customHeight="1">
      <c r="A274" s="11">
        <v>266</v>
      </c>
      <c r="B274" s="24">
        <v>87838903.306203455</v>
      </c>
      <c r="C274" s="24">
        <v>64736479.585299283</v>
      </c>
      <c r="D274" s="24">
        <v>67390187.112963527</v>
      </c>
      <c r="E274" s="24">
        <f>TSim[[#This Row],[ValorFinalReal]]-TSim[[#This Row],[AportesReales]]</f>
        <v>2653707.5276642442</v>
      </c>
      <c r="F274" s="19">
        <f>IF(TSim[[#This Row],[ValorFinalReal]]&gt;=Meta,1,0)</f>
        <v>0</v>
      </c>
      <c r="G274" s="21">
        <v>4.6223608011142231E-4</v>
      </c>
    </row>
    <row r="275" spans="1:7" ht="16.95" customHeight="1">
      <c r="A275" s="11">
        <v>267</v>
      </c>
      <c r="B275" s="24">
        <v>74002505.011871994</v>
      </c>
      <c r="C275" s="24">
        <v>64973941.853247084</v>
      </c>
      <c r="D275" s="24">
        <v>72071344.98426117</v>
      </c>
      <c r="E275" s="24">
        <f>TSim[[#This Row],[ValorFinalReal]]-TSim[[#This Row],[AportesReales]]</f>
        <v>7097403.1310140863</v>
      </c>
      <c r="F275" s="19">
        <f>IF(TSim[[#This Row],[ValorFinalReal]]&gt;=Meta,1,0)</f>
        <v>0</v>
      </c>
      <c r="G275" s="21">
        <v>6.8813552275701628E-3</v>
      </c>
    </row>
    <row r="276" spans="1:7" ht="16.95" customHeight="1">
      <c r="A276" s="11">
        <v>268</v>
      </c>
      <c r="B276" s="24">
        <v>90441144.145637438</v>
      </c>
      <c r="C276" s="24">
        <v>64932200.177640259</v>
      </c>
      <c r="D276" s="24">
        <v>84447776.254308388</v>
      </c>
      <c r="E276" s="24">
        <f>TSim[[#This Row],[ValorFinalReal]]-TSim[[#This Row],[AportesReales]]</f>
        <v>19515576.076668128</v>
      </c>
      <c r="F276" s="19">
        <f>IF(TSim[[#This Row],[ValorFinalReal]]&gt;=Meta,1,0)</f>
        <v>1</v>
      </c>
      <c r="G276" s="21">
        <v>7.4066523093141434E-3</v>
      </c>
    </row>
    <row r="277" spans="1:7" ht="16.95" customHeight="1">
      <c r="A277" s="11">
        <v>269</v>
      </c>
      <c r="B277" s="24">
        <v>108757094.60904831</v>
      </c>
      <c r="C277" s="24">
        <v>64648238.522956707</v>
      </c>
      <c r="D277" s="24">
        <v>76379049.479779646</v>
      </c>
      <c r="E277" s="24">
        <f>TSim[[#This Row],[ValorFinalReal]]-TSim[[#This Row],[AportesReales]]</f>
        <v>11730810.956822939</v>
      </c>
      <c r="F277" s="19">
        <f>IF(TSim[[#This Row],[ValorFinalReal]]&gt;=Meta,1,0)</f>
        <v>0</v>
      </c>
      <c r="G277" s="21">
        <v>4.2026610502930986E-3</v>
      </c>
    </row>
    <row r="278" spans="1:7" ht="16.95" customHeight="1">
      <c r="A278" s="11">
        <v>270</v>
      </c>
      <c r="B278" s="24">
        <v>80941863.92386438</v>
      </c>
      <c r="C278" s="24">
        <v>64838989.835498258</v>
      </c>
      <c r="D278" s="24">
        <v>68868416.49343878</v>
      </c>
      <c r="E278" s="24">
        <f>TSim[[#This Row],[ValorFinalReal]]-TSim[[#This Row],[AportesReales]]</f>
        <v>4029426.6579405218</v>
      </c>
      <c r="F278" s="19">
        <f>IF(TSim[[#This Row],[ValorFinalReal]]&gt;=Meta,1,0)</f>
        <v>0</v>
      </c>
      <c r="G278" s="21">
        <v>1.3321568181041471E-2</v>
      </c>
    </row>
    <row r="279" spans="1:7" ht="16.95" customHeight="1">
      <c r="A279" s="11">
        <v>271</v>
      </c>
      <c r="B279" s="24">
        <v>78391048.601582378</v>
      </c>
      <c r="C279" s="24">
        <v>64893205.983482003</v>
      </c>
      <c r="D279" s="24">
        <v>70419479.518745333</v>
      </c>
      <c r="E279" s="24">
        <f>TSim[[#This Row],[ValorFinalReal]]-TSim[[#This Row],[AportesReales]]</f>
        <v>5526273.5352633297</v>
      </c>
      <c r="F279" s="19">
        <f>IF(TSim[[#This Row],[ValorFinalReal]]&gt;=Meta,1,0)</f>
        <v>0</v>
      </c>
      <c r="G279" s="21">
        <v>7.579262945671239E-3</v>
      </c>
    </row>
    <row r="280" spans="1:7" ht="16.95" customHeight="1">
      <c r="A280" s="11">
        <v>272</v>
      </c>
      <c r="B280" s="24">
        <v>79609253.551948637</v>
      </c>
      <c r="C280" s="24">
        <v>64917517.510140441</v>
      </c>
      <c r="D280" s="24">
        <v>73241543.155723602</v>
      </c>
      <c r="E280" s="24">
        <f>TSim[[#This Row],[ValorFinalReal]]-TSim[[#This Row],[AportesReales]]</f>
        <v>8324025.6455831602</v>
      </c>
      <c r="F280" s="19">
        <f>IF(TSim[[#This Row],[ValorFinalReal]]&gt;=Meta,1,0)</f>
        <v>0</v>
      </c>
      <c r="G280" s="21">
        <v>3.4715794666292381E-3</v>
      </c>
    </row>
    <row r="281" spans="1:7" ht="16.95" customHeight="1">
      <c r="A281" s="11">
        <v>273</v>
      </c>
      <c r="B281" s="24">
        <v>86827101.095395833</v>
      </c>
      <c r="C281" s="24">
        <v>64909580.561557859</v>
      </c>
      <c r="D281" s="24">
        <v>79287939.811158299</v>
      </c>
      <c r="E281" s="24">
        <f>TSim[[#This Row],[ValorFinalReal]]-TSim[[#This Row],[AportesReales]]</f>
        <v>14378359.24960044</v>
      </c>
      <c r="F281" s="19">
        <f>IF(TSim[[#This Row],[ValorFinalReal]]&gt;=Meta,1,0)</f>
        <v>0</v>
      </c>
      <c r="G281" s="21">
        <v>3.8243009433014402E-4</v>
      </c>
    </row>
    <row r="282" spans="1:7" ht="16.95" customHeight="1">
      <c r="A282" s="11">
        <v>274</v>
      </c>
      <c r="B282" s="24">
        <v>94895271.870148167</v>
      </c>
      <c r="C282" s="24">
        <v>64895940.973257042</v>
      </c>
      <c r="D282" s="24">
        <v>85475817.308104053</v>
      </c>
      <c r="E282" s="24">
        <f>TSim[[#This Row],[ValorFinalReal]]-TSim[[#This Row],[AportesReales]]</f>
        <v>20579876.334847011</v>
      </c>
      <c r="F282" s="19">
        <f>IF(TSim[[#This Row],[ValorFinalReal]]&gt;=Meta,1,0)</f>
        <v>1</v>
      </c>
      <c r="G282" s="21">
        <v>1.591996791427519E-2</v>
      </c>
    </row>
    <row r="283" spans="1:7" ht="16.95" customHeight="1">
      <c r="A283" s="11">
        <v>275</v>
      </c>
      <c r="B283" s="24">
        <v>87316332.762105361</v>
      </c>
      <c r="C283" s="24">
        <v>64829832.895133413</v>
      </c>
      <c r="D283" s="24">
        <v>73600106.421964765</v>
      </c>
      <c r="E283" s="24">
        <f>TSim[[#This Row],[ValorFinalReal]]-TSim[[#This Row],[AportesReales]]</f>
        <v>8770273.5268313512</v>
      </c>
      <c r="F283" s="19">
        <f>IF(TSim[[#This Row],[ValorFinalReal]]&gt;=Meta,1,0)</f>
        <v>0</v>
      </c>
      <c r="G283" s="21">
        <v>2.0837608253597591E-2</v>
      </c>
    </row>
    <row r="284" spans="1:7" ht="16.95" customHeight="1">
      <c r="A284" s="11">
        <v>276</v>
      </c>
      <c r="B284" s="24">
        <v>94727416.714795351</v>
      </c>
      <c r="C284" s="24">
        <v>64862371.924200423</v>
      </c>
      <c r="D284" s="24">
        <v>82493366.187675297</v>
      </c>
      <c r="E284" s="24">
        <f>TSim[[#This Row],[ValorFinalReal]]-TSim[[#This Row],[AportesReales]]</f>
        <v>17630994.263474874</v>
      </c>
      <c r="F284" s="19">
        <f>IF(TSim[[#This Row],[ValorFinalReal]]&gt;=Meta,1,0)</f>
        <v>1</v>
      </c>
      <c r="G284" s="21">
        <v>0</v>
      </c>
    </row>
    <row r="285" spans="1:7" ht="16.95" customHeight="1">
      <c r="A285" s="11">
        <v>277</v>
      </c>
      <c r="B285" s="24">
        <v>82982962.459810287</v>
      </c>
      <c r="C285" s="24">
        <v>64941474.156977907</v>
      </c>
      <c r="D285" s="24">
        <v>78211987.936174244</v>
      </c>
      <c r="E285" s="24">
        <f>TSim[[#This Row],[ValorFinalReal]]-TSim[[#This Row],[AportesReales]]</f>
        <v>13270513.779196337</v>
      </c>
      <c r="F285" s="19">
        <f>IF(TSim[[#This Row],[ValorFinalReal]]&gt;=Meta,1,0)</f>
        <v>0</v>
      </c>
      <c r="G285" s="21">
        <v>3.4818300635607309E-3</v>
      </c>
    </row>
    <row r="286" spans="1:7" ht="16.95" customHeight="1">
      <c r="A286" s="11">
        <v>278</v>
      </c>
      <c r="B286" s="24">
        <v>94388192.22856541</v>
      </c>
      <c r="C286" s="24">
        <v>64773356.281371973</v>
      </c>
      <c r="D286" s="24">
        <v>75175512.030161038</v>
      </c>
      <c r="E286" s="24">
        <f>TSim[[#This Row],[ValorFinalReal]]-TSim[[#This Row],[AportesReales]]</f>
        <v>10402155.748789065</v>
      </c>
      <c r="F286" s="19">
        <f>IF(TSim[[#This Row],[ValorFinalReal]]&gt;=Meta,1,0)</f>
        <v>0</v>
      </c>
      <c r="G286" s="21">
        <v>1.882847161355761E-2</v>
      </c>
    </row>
    <row r="287" spans="1:7" ht="16.95" customHeight="1">
      <c r="A287" s="11">
        <v>279</v>
      </c>
      <c r="B287" s="24">
        <v>103562380.2945493</v>
      </c>
      <c r="C287" s="24">
        <v>64711327.39189288</v>
      </c>
      <c r="D287" s="24">
        <v>77519772.411293805</v>
      </c>
      <c r="E287" s="24">
        <f>TSim[[#This Row],[ValorFinalReal]]-TSim[[#This Row],[AportesReales]]</f>
        <v>12808445.019400924</v>
      </c>
      <c r="F287" s="19">
        <f>IF(TSim[[#This Row],[ValorFinalReal]]&gt;=Meta,1,0)</f>
        <v>0</v>
      </c>
      <c r="G287" s="21">
        <v>5.028791939991617E-4</v>
      </c>
    </row>
    <row r="288" spans="1:7" ht="16.95" customHeight="1">
      <c r="A288" s="11">
        <v>280</v>
      </c>
      <c r="B288" s="24">
        <v>84148981.878693074</v>
      </c>
      <c r="C288" s="24">
        <v>64793417.670523912</v>
      </c>
      <c r="D288" s="24">
        <v>68389923.228629097</v>
      </c>
      <c r="E288" s="24">
        <f>TSim[[#This Row],[ValorFinalReal]]-TSim[[#This Row],[AportesReales]]</f>
        <v>3596505.5581051856</v>
      </c>
      <c r="F288" s="19">
        <f>IF(TSim[[#This Row],[ValorFinalReal]]&gt;=Meta,1,0)</f>
        <v>0</v>
      </c>
      <c r="G288" s="21">
        <v>4.4243410713581399E-3</v>
      </c>
    </row>
    <row r="289" spans="1:7" ht="16.95" customHeight="1">
      <c r="A289" s="11">
        <v>281</v>
      </c>
      <c r="B289" s="24">
        <v>90935591.04527235</v>
      </c>
      <c r="C289" s="24">
        <v>64845128.567977689</v>
      </c>
      <c r="D289" s="24">
        <v>77835165.058670014</v>
      </c>
      <c r="E289" s="24">
        <f>TSim[[#This Row],[ValorFinalReal]]-TSim[[#This Row],[AportesReales]]</f>
        <v>12990036.490692325</v>
      </c>
      <c r="F289" s="19">
        <f>IF(TSim[[#This Row],[ValorFinalReal]]&gt;=Meta,1,0)</f>
        <v>0</v>
      </c>
      <c r="G289" s="21">
        <v>2.8620152833169771E-4</v>
      </c>
    </row>
    <row r="290" spans="1:7" ht="16.95" customHeight="1">
      <c r="A290" s="11">
        <v>282</v>
      </c>
      <c r="B290" s="24">
        <v>82967414.717949405</v>
      </c>
      <c r="C290" s="24">
        <v>64845904.63178242</v>
      </c>
      <c r="D290" s="24">
        <v>71077945.739733458</v>
      </c>
      <c r="E290" s="24">
        <f>TSim[[#This Row],[ValorFinalReal]]-TSim[[#This Row],[AportesReales]]</f>
        <v>6232041.1079510376</v>
      </c>
      <c r="F290" s="19">
        <f>IF(TSim[[#This Row],[ValorFinalReal]]&gt;=Meta,1,0)</f>
        <v>0</v>
      </c>
      <c r="G290" s="21">
        <v>0</v>
      </c>
    </row>
    <row r="291" spans="1:7" ht="16.95" customHeight="1">
      <c r="A291" s="11">
        <v>283</v>
      </c>
      <c r="B291" s="24">
        <v>114763544.7112205</v>
      </c>
      <c r="C291" s="24">
        <v>64645253.887758762</v>
      </c>
      <c r="D291" s="24">
        <v>80375874.128233388</v>
      </c>
      <c r="E291" s="24">
        <f>TSim[[#This Row],[ValorFinalReal]]-TSim[[#This Row],[AportesReales]]</f>
        <v>15730620.240474626</v>
      </c>
      <c r="F291" s="19">
        <f>IF(TSim[[#This Row],[ValorFinalReal]]&gt;=Meta,1,0)</f>
        <v>1</v>
      </c>
      <c r="G291" s="21">
        <v>1.7702221860834699E-3</v>
      </c>
    </row>
    <row r="292" spans="1:7" ht="16.95" customHeight="1">
      <c r="A292" s="11">
        <v>284</v>
      </c>
      <c r="B292" s="24">
        <v>102014387.539418</v>
      </c>
      <c r="C292" s="24">
        <v>64775140.452131711</v>
      </c>
      <c r="D292" s="24">
        <v>81396549.168578431</v>
      </c>
      <c r="E292" s="24">
        <f>TSim[[#This Row],[ValorFinalReal]]-TSim[[#This Row],[AportesReales]]</f>
        <v>16621408.71644672</v>
      </c>
      <c r="F292" s="19">
        <f>IF(TSim[[#This Row],[ValorFinalReal]]&gt;=Meta,1,0)</f>
        <v>1</v>
      </c>
      <c r="G292" s="21">
        <v>0</v>
      </c>
    </row>
    <row r="293" spans="1:7" ht="16.95" customHeight="1">
      <c r="A293" s="11">
        <v>285</v>
      </c>
      <c r="B293" s="24">
        <v>85222261.156951681</v>
      </c>
      <c r="C293" s="24">
        <v>64701009.500913084</v>
      </c>
      <c r="D293" s="24">
        <v>63110219.05444973</v>
      </c>
      <c r="E293" s="24">
        <f>TSim[[#This Row],[ValorFinalReal]]-TSim[[#This Row],[AportesReales]]</f>
        <v>-1590790.4464633539</v>
      </c>
      <c r="F293" s="19">
        <f>IF(TSim[[#This Row],[ValorFinalReal]]&gt;=Meta,1,0)</f>
        <v>0</v>
      </c>
      <c r="G293" s="21">
        <v>9.7084374685889596E-3</v>
      </c>
    </row>
    <row r="294" spans="1:7" ht="16.95" customHeight="1">
      <c r="A294" s="11">
        <v>286</v>
      </c>
      <c r="B294" s="24">
        <v>86201508.896131322</v>
      </c>
      <c r="C294" s="24">
        <v>64981563.769486912</v>
      </c>
      <c r="D294" s="24">
        <v>84568160.715418115</v>
      </c>
      <c r="E294" s="24">
        <f>TSim[[#This Row],[ValorFinalReal]]-TSim[[#This Row],[AportesReales]]</f>
        <v>19586596.945931204</v>
      </c>
      <c r="F294" s="19">
        <f>IF(TSim[[#This Row],[ValorFinalReal]]&gt;=Meta,1,0)</f>
        <v>1</v>
      </c>
      <c r="G294" s="21">
        <v>0</v>
      </c>
    </row>
    <row r="295" spans="1:7" ht="16.95" customHeight="1">
      <c r="A295" s="11">
        <v>287</v>
      </c>
      <c r="B295" s="24">
        <v>89375615.343173459</v>
      </c>
      <c r="C295" s="24">
        <v>64941986.208287217</v>
      </c>
      <c r="D295" s="24">
        <v>84280550.500713617</v>
      </c>
      <c r="E295" s="24">
        <f>TSim[[#This Row],[ValorFinalReal]]-TSim[[#This Row],[AportesReales]]</f>
        <v>19338564.2924264</v>
      </c>
      <c r="F295" s="19">
        <f>IF(TSim[[#This Row],[ValorFinalReal]]&gt;=Meta,1,0)</f>
        <v>1</v>
      </c>
      <c r="G295" s="21">
        <v>0</v>
      </c>
    </row>
    <row r="296" spans="1:7" ht="16.95" customHeight="1">
      <c r="A296" s="11">
        <v>288</v>
      </c>
      <c r="B296" s="24">
        <v>81149738.805065483</v>
      </c>
      <c r="C296" s="24">
        <v>64769520.277909473</v>
      </c>
      <c r="D296" s="24">
        <v>64381119.588642277</v>
      </c>
      <c r="E296" s="24">
        <f>TSim[[#This Row],[ValorFinalReal]]-TSim[[#This Row],[AportesReales]]</f>
        <v>-388400.68926719576</v>
      </c>
      <c r="F296" s="19">
        <f>IF(TSim[[#This Row],[ValorFinalReal]]&gt;=Meta,1,0)</f>
        <v>0</v>
      </c>
      <c r="G296" s="21">
        <v>8.1017178044183735E-3</v>
      </c>
    </row>
    <row r="297" spans="1:7" ht="16.95" customHeight="1">
      <c r="A297" s="11">
        <v>289</v>
      </c>
      <c r="B297" s="24">
        <v>91637030.860677764</v>
      </c>
      <c r="C297" s="24">
        <v>64797813.824924007</v>
      </c>
      <c r="D297" s="24">
        <v>74804443.969024777</v>
      </c>
      <c r="E297" s="24">
        <f>TSim[[#This Row],[ValorFinalReal]]-TSim[[#This Row],[AportesReales]]</f>
        <v>10006630.14410077</v>
      </c>
      <c r="F297" s="19">
        <f>IF(TSim[[#This Row],[ValorFinalReal]]&gt;=Meta,1,0)</f>
        <v>0</v>
      </c>
      <c r="G297" s="21">
        <v>0</v>
      </c>
    </row>
    <row r="298" spans="1:7" ht="16.95" customHeight="1">
      <c r="A298" s="11">
        <v>290</v>
      </c>
      <c r="B298" s="24">
        <v>82984337.670435935</v>
      </c>
      <c r="C298" s="24">
        <v>64981676.337561063</v>
      </c>
      <c r="D298" s="24">
        <v>81449135.13426283</v>
      </c>
      <c r="E298" s="24">
        <f>TSim[[#This Row],[ValorFinalReal]]-TSim[[#This Row],[AportesReales]]</f>
        <v>16467458.796701767</v>
      </c>
      <c r="F298" s="19">
        <f>IF(TSim[[#This Row],[ValorFinalReal]]&gt;=Meta,1,0)</f>
        <v>1</v>
      </c>
      <c r="G298" s="21">
        <v>2.8850052474571619E-4</v>
      </c>
    </row>
    <row r="299" spans="1:7" ht="16.95" customHeight="1">
      <c r="A299" s="11">
        <v>291</v>
      </c>
      <c r="B299" s="24">
        <v>90511008.555250272</v>
      </c>
      <c r="C299" s="24">
        <v>64791543.274850287</v>
      </c>
      <c r="D299" s="24">
        <v>73406580.362051025</v>
      </c>
      <c r="E299" s="24">
        <f>TSim[[#This Row],[ValorFinalReal]]-TSim[[#This Row],[AportesReales]]</f>
        <v>8615037.0872007385</v>
      </c>
      <c r="F299" s="19">
        <f>IF(TSim[[#This Row],[ValorFinalReal]]&gt;=Meta,1,0)</f>
        <v>0</v>
      </c>
      <c r="G299" s="21">
        <v>2.2422833225447252E-3</v>
      </c>
    </row>
    <row r="300" spans="1:7" ht="16.95" customHeight="1">
      <c r="A300" s="11">
        <v>292</v>
      </c>
      <c r="B300" s="24">
        <v>84820420.032657534</v>
      </c>
      <c r="C300" s="24">
        <v>64753099.621943653</v>
      </c>
      <c r="D300" s="24">
        <v>66197600.193336017</v>
      </c>
      <c r="E300" s="24">
        <f>TSim[[#This Row],[ValorFinalReal]]-TSim[[#This Row],[AportesReales]]</f>
        <v>1444500.5713923648</v>
      </c>
      <c r="F300" s="19">
        <f>IF(TSim[[#This Row],[ValorFinalReal]]&gt;=Meta,1,0)</f>
        <v>0</v>
      </c>
      <c r="G300" s="21">
        <v>5.3535326891661628E-3</v>
      </c>
    </row>
    <row r="301" spans="1:7" ht="16.95" customHeight="1">
      <c r="A301" s="11">
        <v>293</v>
      </c>
      <c r="B301" s="24">
        <v>92283963.617645815</v>
      </c>
      <c r="C301" s="24">
        <v>64729425.685171828</v>
      </c>
      <c r="D301" s="24">
        <v>70337186.069417238</v>
      </c>
      <c r="E301" s="24">
        <f>TSim[[#This Row],[ValorFinalReal]]-TSim[[#This Row],[AportesReales]]</f>
        <v>5607760.3842454106</v>
      </c>
      <c r="F301" s="19">
        <f>IF(TSim[[#This Row],[ValorFinalReal]]&gt;=Meta,1,0)</f>
        <v>0</v>
      </c>
      <c r="G301" s="21">
        <v>5.1672963227413771E-3</v>
      </c>
    </row>
    <row r="302" spans="1:7" ht="16.95" customHeight="1">
      <c r="A302" s="11">
        <v>294</v>
      </c>
      <c r="B302" s="24">
        <v>79654245.914775863</v>
      </c>
      <c r="C302" s="24">
        <v>65048916.892073922</v>
      </c>
      <c r="D302" s="24">
        <v>83599367.584049895</v>
      </c>
      <c r="E302" s="24">
        <f>TSim[[#This Row],[ValorFinalReal]]-TSim[[#This Row],[AportesReales]]</f>
        <v>18550450.691975974</v>
      </c>
      <c r="F302" s="19">
        <f>IF(TSim[[#This Row],[ValorFinalReal]]&gt;=Meta,1,0)</f>
        <v>1</v>
      </c>
      <c r="G302" s="21">
        <v>0</v>
      </c>
    </row>
    <row r="303" spans="1:7" ht="16.95" customHeight="1">
      <c r="A303" s="11">
        <v>295</v>
      </c>
      <c r="B303" s="24">
        <v>87035997.162708953</v>
      </c>
      <c r="C303" s="24">
        <v>64858943.201885991</v>
      </c>
      <c r="D303" s="24">
        <v>75514391.314569578</v>
      </c>
      <c r="E303" s="24">
        <f>TSim[[#This Row],[ValorFinalReal]]-TSim[[#This Row],[AportesReales]]</f>
        <v>10655448.112683587</v>
      </c>
      <c r="F303" s="19">
        <f>IF(TSim[[#This Row],[ValorFinalReal]]&gt;=Meta,1,0)</f>
        <v>0</v>
      </c>
      <c r="G303" s="21">
        <v>8.8087375433409942E-4</v>
      </c>
    </row>
    <row r="304" spans="1:7" ht="16.95" customHeight="1">
      <c r="A304" s="11">
        <v>296</v>
      </c>
      <c r="B304" s="24">
        <v>78002230.307027951</v>
      </c>
      <c r="C304" s="24">
        <v>64936136.923434056</v>
      </c>
      <c r="D304" s="24">
        <v>73145307.778768733</v>
      </c>
      <c r="E304" s="24">
        <f>TSim[[#This Row],[ValorFinalReal]]-TSim[[#This Row],[AportesReales]]</f>
        <v>8209170.8553346768</v>
      </c>
      <c r="F304" s="19">
        <f>IF(TSim[[#This Row],[ValorFinalReal]]&gt;=Meta,1,0)</f>
        <v>0</v>
      </c>
      <c r="G304" s="21">
        <v>3.9960469292565906E-3</v>
      </c>
    </row>
    <row r="305" spans="1:7" ht="16.95" customHeight="1">
      <c r="A305" s="11">
        <v>297</v>
      </c>
      <c r="B305" s="24">
        <v>100144967.9526832</v>
      </c>
      <c r="C305" s="24">
        <v>64774131.189737298</v>
      </c>
      <c r="D305" s="24">
        <v>79817640.423328578</v>
      </c>
      <c r="E305" s="24">
        <f>TSim[[#This Row],[ValorFinalReal]]-TSim[[#This Row],[AportesReales]]</f>
        <v>15043509.233591281</v>
      </c>
      <c r="F305" s="19">
        <f>IF(TSim[[#This Row],[ValorFinalReal]]&gt;=Meta,1,0)</f>
        <v>0</v>
      </c>
      <c r="G305" s="21">
        <v>1.122479242392538E-2</v>
      </c>
    </row>
    <row r="306" spans="1:7" ht="16.95" customHeight="1">
      <c r="A306" s="11">
        <v>298</v>
      </c>
      <c r="B306" s="24">
        <v>80500521.42597656</v>
      </c>
      <c r="C306" s="24">
        <v>64880319.133949481</v>
      </c>
      <c r="D306" s="24">
        <v>71381741.895204946</v>
      </c>
      <c r="E306" s="24">
        <f>TSim[[#This Row],[ValorFinalReal]]-TSim[[#This Row],[AportesReales]]</f>
        <v>6501422.7612554654</v>
      </c>
      <c r="F306" s="19">
        <f>IF(TSim[[#This Row],[ValorFinalReal]]&gt;=Meta,1,0)</f>
        <v>0</v>
      </c>
      <c r="G306" s="21">
        <v>1.727187748153924E-2</v>
      </c>
    </row>
    <row r="307" spans="1:7" ht="16.95" customHeight="1">
      <c r="A307" s="11">
        <v>299</v>
      </c>
      <c r="B307" s="24">
        <v>87306187.977519482</v>
      </c>
      <c r="C307" s="24">
        <v>64919915.464468941</v>
      </c>
      <c r="D307" s="24">
        <v>80537099.433243394</v>
      </c>
      <c r="E307" s="24">
        <f>TSim[[#This Row],[ValorFinalReal]]-TSim[[#This Row],[AportesReales]]</f>
        <v>15617183.968774453</v>
      </c>
      <c r="F307" s="19">
        <f>IF(TSim[[#This Row],[ValorFinalReal]]&gt;=Meta,1,0)</f>
        <v>1</v>
      </c>
      <c r="G307" s="21">
        <v>2.9163816229678119E-3</v>
      </c>
    </row>
    <row r="308" spans="1:7" ht="16.95" customHeight="1">
      <c r="A308" s="11">
        <v>300</v>
      </c>
      <c r="B308" s="24">
        <v>102058681.9773858</v>
      </c>
      <c r="C308" s="24">
        <v>64747044.909052797</v>
      </c>
      <c r="D308" s="24">
        <v>79175682.221354961</v>
      </c>
      <c r="E308" s="24">
        <f>TSim[[#This Row],[ValorFinalReal]]-TSim[[#This Row],[AportesReales]]</f>
        <v>14428637.312302165</v>
      </c>
      <c r="F308" s="19">
        <f>IF(TSim[[#This Row],[ValorFinalReal]]&gt;=Meta,1,0)</f>
        <v>0</v>
      </c>
      <c r="G308" s="21">
        <v>0</v>
      </c>
    </row>
    <row r="309" spans="1:7" ht="16.95" customHeight="1">
      <c r="A309" s="11">
        <v>301</v>
      </c>
      <c r="B309" s="24">
        <v>79217999.414415121</v>
      </c>
      <c r="C309" s="24">
        <v>65002763.250471622</v>
      </c>
      <c r="D309" s="24">
        <v>79400208.576270983</v>
      </c>
      <c r="E309" s="24">
        <f>TSim[[#This Row],[ValorFinalReal]]-TSim[[#This Row],[AportesReales]]</f>
        <v>14397445.325799361</v>
      </c>
      <c r="F309" s="19">
        <f>IF(TSim[[#This Row],[ValorFinalReal]]&gt;=Meta,1,0)</f>
        <v>0</v>
      </c>
      <c r="G309" s="21">
        <v>9.1419823960054991E-3</v>
      </c>
    </row>
    <row r="310" spans="1:7" ht="16.95" customHeight="1">
      <c r="A310" s="11">
        <v>302</v>
      </c>
      <c r="B310" s="24">
        <v>84757437.956329852</v>
      </c>
      <c r="C310" s="24">
        <v>64922756.069621071</v>
      </c>
      <c r="D310" s="24">
        <v>78403256.8420102</v>
      </c>
      <c r="E310" s="24">
        <f>TSim[[#This Row],[ValorFinalReal]]-TSim[[#This Row],[AportesReales]]</f>
        <v>13480500.772389129</v>
      </c>
      <c r="F310" s="19">
        <f>IF(TSim[[#This Row],[ValorFinalReal]]&gt;=Meta,1,0)</f>
        <v>0</v>
      </c>
      <c r="G310" s="21">
        <v>7.5880901437874737E-4</v>
      </c>
    </row>
    <row r="311" spans="1:7" ht="16.95" customHeight="1">
      <c r="A311" s="11">
        <v>303</v>
      </c>
      <c r="B311" s="24">
        <v>91938047.565733656</v>
      </c>
      <c r="C311" s="24">
        <v>64722830.891733937</v>
      </c>
      <c r="D311" s="24">
        <v>69613328.962425351</v>
      </c>
      <c r="E311" s="24">
        <f>TSim[[#This Row],[ValorFinalReal]]-TSim[[#This Row],[AportesReales]]</f>
        <v>4890498.0706914142</v>
      </c>
      <c r="F311" s="19">
        <f>IF(TSim[[#This Row],[ValorFinalReal]]&gt;=Meta,1,0)</f>
        <v>0</v>
      </c>
      <c r="G311" s="21">
        <v>1.163649607016248E-2</v>
      </c>
    </row>
    <row r="312" spans="1:7" ht="16.95" customHeight="1">
      <c r="A312" s="11">
        <v>304</v>
      </c>
      <c r="B312" s="24">
        <v>78747570.457565337</v>
      </c>
      <c r="C312" s="24">
        <v>64888002.793055773</v>
      </c>
      <c r="D312" s="24">
        <v>70358350.216451377</v>
      </c>
      <c r="E312" s="24">
        <f>TSim[[#This Row],[ValorFinalReal]]-TSim[[#This Row],[AportesReales]]</f>
        <v>5470347.4233956039</v>
      </c>
      <c r="F312" s="19">
        <f>IF(TSim[[#This Row],[ValorFinalReal]]&gt;=Meta,1,0)</f>
        <v>0</v>
      </c>
      <c r="G312" s="21">
        <v>1.05883157587322E-2</v>
      </c>
    </row>
    <row r="313" spans="1:7" ht="16.95" customHeight="1">
      <c r="A313" s="11">
        <v>305</v>
      </c>
      <c r="B313" s="24">
        <v>72424200.890868217</v>
      </c>
      <c r="C313" s="24">
        <v>64844352.591071352</v>
      </c>
      <c r="D313" s="24">
        <v>61952296.414539017</v>
      </c>
      <c r="E313" s="24">
        <f>TSim[[#This Row],[ValorFinalReal]]-TSim[[#This Row],[AportesReales]]</f>
        <v>-2892056.1765323356</v>
      </c>
      <c r="F313" s="19">
        <f>IF(TSim[[#This Row],[ValorFinalReal]]&gt;=Meta,1,0)</f>
        <v>0</v>
      </c>
      <c r="G313" s="21">
        <v>1.2689825800386021E-3</v>
      </c>
    </row>
    <row r="314" spans="1:7" ht="16.95" customHeight="1">
      <c r="A314" s="11">
        <v>306</v>
      </c>
      <c r="B314" s="24">
        <v>93514337.769092619</v>
      </c>
      <c r="C314" s="24">
        <v>64883882.195580743</v>
      </c>
      <c r="D314" s="24">
        <v>83211050.312866166</v>
      </c>
      <c r="E314" s="24">
        <f>TSim[[#This Row],[ValorFinalReal]]-TSim[[#This Row],[AportesReales]]</f>
        <v>18327168.117285423</v>
      </c>
      <c r="F314" s="19">
        <f>IF(TSim[[#This Row],[ValorFinalReal]]&gt;=Meta,1,0)</f>
        <v>1</v>
      </c>
      <c r="G314" s="21">
        <v>4.2324366258150734E-3</v>
      </c>
    </row>
    <row r="315" spans="1:7" ht="16.95" customHeight="1">
      <c r="A315" s="11">
        <v>307</v>
      </c>
      <c r="B315" s="24">
        <v>88468341.488017499</v>
      </c>
      <c r="C315" s="24">
        <v>64821336.16439452</v>
      </c>
      <c r="D315" s="24">
        <v>73946802.022960231</v>
      </c>
      <c r="E315" s="24">
        <f>TSim[[#This Row],[ValorFinalReal]]-TSim[[#This Row],[AportesReales]]</f>
        <v>9125465.8585657105</v>
      </c>
      <c r="F315" s="19">
        <f>IF(TSim[[#This Row],[ValorFinalReal]]&gt;=Meta,1,0)</f>
        <v>0</v>
      </c>
      <c r="G315" s="21">
        <v>5.9753856914906978E-3</v>
      </c>
    </row>
    <row r="316" spans="1:7" ht="16.95" customHeight="1">
      <c r="A316" s="11">
        <v>308</v>
      </c>
      <c r="B316" s="24">
        <v>89896005.937266991</v>
      </c>
      <c r="C316" s="24">
        <v>64827740.90067111</v>
      </c>
      <c r="D316" s="24">
        <v>75631679.760568708</v>
      </c>
      <c r="E316" s="24">
        <f>TSim[[#This Row],[ValorFinalReal]]-TSim[[#This Row],[AportesReales]]</f>
        <v>10803938.859897599</v>
      </c>
      <c r="F316" s="19">
        <f>IF(TSim[[#This Row],[ValorFinalReal]]&gt;=Meta,1,0)</f>
        <v>0</v>
      </c>
      <c r="G316" s="21">
        <v>0</v>
      </c>
    </row>
    <row r="317" spans="1:7" ht="16.95" customHeight="1">
      <c r="A317" s="11">
        <v>309</v>
      </c>
      <c r="B317" s="24">
        <v>97659809.574745581</v>
      </c>
      <c r="C317" s="24">
        <v>64758825.72357925</v>
      </c>
      <c r="D317" s="24">
        <v>76668632.753487036</v>
      </c>
      <c r="E317" s="24">
        <f>TSim[[#This Row],[ValorFinalReal]]-TSim[[#This Row],[AportesReales]]</f>
        <v>11909807.029907785</v>
      </c>
      <c r="F317" s="19">
        <f>IF(TSim[[#This Row],[ValorFinalReal]]&gt;=Meta,1,0)</f>
        <v>0</v>
      </c>
      <c r="G317" s="21">
        <v>0</v>
      </c>
    </row>
    <row r="318" spans="1:7" ht="16.95" customHeight="1">
      <c r="A318" s="11">
        <v>310</v>
      </c>
      <c r="B318" s="24">
        <v>88977816.083892837</v>
      </c>
      <c r="C318" s="24">
        <v>64891589.089589313</v>
      </c>
      <c r="D318" s="24">
        <v>79765906.775124043</v>
      </c>
      <c r="E318" s="24">
        <f>TSim[[#This Row],[ValorFinalReal]]-TSim[[#This Row],[AportesReales]]</f>
        <v>14874317.685534731</v>
      </c>
      <c r="F318" s="19">
        <f>IF(TSim[[#This Row],[ValorFinalReal]]&gt;=Meta,1,0)</f>
        <v>0</v>
      </c>
      <c r="G318" s="21">
        <v>6.9402248644567788E-4</v>
      </c>
    </row>
    <row r="319" spans="1:7" ht="16.95" customHeight="1">
      <c r="A319" s="11">
        <v>311</v>
      </c>
      <c r="B319" s="24">
        <v>91746718.703279361</v>
      </c>
      <c r="C319" s="24">
        <v>64855042.566770777</v>
      </c>
      <c r="D319" s="24">
        <v>79307839.053528935</v>
      </c>
      <c r="E319" s="24">
        <f>TSim[[#This Row],[ValorFinalReal]]-TSim[[#This Row],[AportesReales]]</f>
        <v>14452796.486758158</v>
      </c>
      <c r="F319" s="19">
        <f>IF(TSim[[#This Row],[ValorFinalReal]]&gt;=Meta,1,0)</f>
        <v>0</v>
      </c>
      <c r="G319" s="21">
        <v>2.7055426933495501E-3</v>
      </c>
    </row>
    <row r="320" spans="1:7" ht="16.95" customHeight="1">
      <c r="A320" s="11">
        <v>312</v>
      </c>
      <c r="B320" s="24">
        <v>91945584.3928902</v>
      </c>
      <c r="C320" s="24">
        <v>64871350.862839401</v>
      </c>
      <c r="D320" s="24">
        <v>80814837.168198302</v>
      </c>
      <c r="E320" s="24">
        <f>TSim[[#This Row],[ValorFinalReal]]-TSim[[#This Row],[AportesReales]]</f>
        <v>15943486.305358902</v>
      </c>
      <c r="F320" s="19">
        <f>IF(TSim[[#This Row],[ValorFinalReal]]&gt;=Meta,1,0)</f>
        <v>1</v>
      </c>
      <c r="G320" s="21">
        <v>1.0411651991726891E-2</v>
      </c>
    </row>
    <row r="321" spans="1:7" ht="16.95" customHeight="1">
      <c r="A321" s="11">
        <v>313</v>
      </c>
      <c r="B321" s="24">
        <v>90658704.640935987</v>
      </c>
      <c r="C321" s="24">
        <v>64960282.437530823</v>
      </c>
      <c r="D321" s="24">
        <v>87105724.69534643</v>
      </c>
      <c r="E321" s="24">
        <f>TSim[[#This Row],[ValorFinalReal]]-TSim[[#This Row],[AportesReales]]</f>
        <v>22145442.257815607</v>
      </c>
      <c r="F321" s="19">
        <f>IF(TSim[[#This Row],[ValorFinalReal]]&gt;=Meta,1,0)</f>
        <v>1</v>
      </c>
      <c r="G321" s="21">
        <v>0</v>
      </c>
    </row>
    <row r="322" spans="1:7" ht="16.95" customHeight="1">
      <c r="A322" s="11">
        <v>314</v>
      </c>
      <c r="B322" s="24">
        <v>107810950.24047559</v>
      </c>
      <c r="C322" s="24">
        <v>64712222.573940761</v>
      </c>
      <c r="D322" s="24">
        <v>80735132.843046397</v>
      </c>
      <c r="E322" s="24">
        <f>TSim[[#This Row],[ValorFinalReal]]-TSim[[#This Row],[AportesReales]]</f>
        <v>16022910.269105636</v>
      </c>
      <c r="F322" s="19">
        <f>IF(TSim[[#This Row],[ValorFinalReal]]&gt;=Meta,1,0)</f>
        <v>1</v>
      </c>
      <c r="G322" s="21">
        <v>2.5640899479121289E-3</v>
      </c>
    </row>
    <row r="323" spans="1:7" ht="16.95" customHeight="1">
      <c r="A323" s="11">
        <v>315</v>
      </c>
      <c r="B323" s="24">
        <v>97631326.107570797</v>
      </c>
      <c r="C323" s="24">
        <v>64749548.019868158</v>
      </c>
      <c r="D323" s="24">
        <v>75921127.470235482</v>
      </c>
      <c r="E323" s="24">
        <f>TSim[[#This Row],[ValorFinalReal]]-TSim[[#This Row],[AportesReales]]</f>
        <v>11171579.450367324</v>
      </c>
      <c r="F323" s="19">
        <f>IF(TSim[[#This Row],[ValorFinalReal]]&gt;=Meta,1,0)</f>
        <v>0</v>
      </c>
      <c r="G323" s="21">
        <v>1.483255626559188E-2</v>
      </c>
    </row>
    <row r="324" spans="1:7" ht="16.95" customHeight="1">
      <c r="A324" s="11">
        <v>316</v>
      </c>
      <c r="B324" s="24">
        <v>76345410.196905166</v>
      </c>
      <c r="C324" s="24">
        <v>64833096.239019468</v>
      </c>
      <c r="D324" s="24">
        <v>64571191.940000303</v>
      </c>
      <c r="E324" s="24">
        <f>TSim[[#This Row],[ValorFinalReal]]-TSim[[#This Row],[AportesReales]]</f>
        <v>-261904.29901916534</v>
      </c>
      <c r="F324" s="19">
        <f>IF(TSim[[#This Row],[ValorFinalReal]]&gt;=Meta,1,0)</f>
        <v>0</v>
      </c>
      <c r="G324" s="21">
        <v>3.3636268026532301E-3</v>
      </c>
    </row>
    <row r="325" spans="1:7" ht="16.95" customHeight="1">
      <c r="A325" s="11">
        <v>317</v>
      </c>
      <c r="B325" s="24">
        <v>83198383.423707396</v>
      </c>
      <c r="C325" s="24">
        <v>64993528.490048863</v>
      </c>
      <c r="D325" s="24">
        <v>82635056.260163277</v>
      </c>
      <c r="E325" s="24">
        <f>TSim[[#This Row],[ValorFinalReal]]-TSim[[#This Row],[AportesReales]]</f>
        <v>17641527.770114414</v>
      </c>
      <c r="F325" s="19">
        <f>IF(TSim[[#This Row],[ValorFinalReal]]&gt;=Meta,1,0)</f>
        <v>1</v>
      </c>
      <c r="G325" s="21">
        <v>1.302000135016579E-2</v>
      </c>
    </row>
    <row r="326" spans="1:7" ht="16.95" customHeight="1">
      <c r="A326" s="11">
        <v>318</v>
      </c>
      <c r="B326" s="24">
        <v>106297746.9333629</v>
      </c>
      <c r="C326" s="24">
        <v>64661365.141342223</v>
      </c>
      <c r="D326" s="24">
        <v>75650255.242562026</v>
      </c>
      <c r="E326" s="24">
        <f>TSim[[#This Row],[ValorFinalReal]]-TSim[[#This Row],[AportesReales]]</f>
        <v>10988890.101219803</v>
      </c>
      <c r="F326" s="19">
        <f>IF(TSim[[#This Row],[ValorFinalReal]]&gt;=Meta,1,0)</f>
        <v>0</v>
      </c>
      <c r="G326" s="21">
        <v>5.4843252421095112E-3</v>
      </c>
    </row>
    <row r="327" spans="1:7" ht="16.95" customHeight="1">
      <c r="A327" s="11">
        <v>319</v>
      </c>
      <c r="B327" s="24">
        <v>83455738.853854194</v>
      </c>
      <c r="C327" s="24">
        <v>64911380.756039292</v>
      </c>
      <c r="D327" s="24">
        <v>76343162.282119468</v>
      </c>
      <c r="E327" s="24">
        <f>TSim[[#This Row],[ValorFinalReal]]-TSim[[#This Row],[AportesReales]]</f>
        <v>11431781.526080176</v>
      </c>
      <c r="F327" s="19">
        <f>IF(TSim[[#This Row],[ValorFinalReal]]&gt;=Meta,1,0)</f>
        <v>0</v>
      </c>
      <c r="G327" s="21">
        <v>7.0233837655065967E-3</v>
      </c>
    </row>
    <row r="328" spans="1:7" ht="16.95" customHeight="1">
      <c r="A328" s="11">
        <v>320</v>
      </c>
      <c r="B328" s="24">
        <v>89567831.091755778</v>
      </c>
      <c r="C328" s="24">
        <v>64857374.329987049</v>
      </c>
      <c r="D328" s="24">
        <v>77609321.6577878</v>
      </c>
      <c r="E328" s="24">
        <f>TSim[[#This Row],[ValorFinalReal]]-TSim[[#This Row],[AportesReales]]</f>
        <v>12751947.327800751</v>
      </c>
      <c r="F328" s="19">
        <f>IF(TSim[[#This Row],[ValorFinalReal]]&gt;=Meta,1,0)</f>
        <v>0</v>
      </c>
      <c r="G328" s="21">
        <v>0</v>
      </c>
    </row>
    <row r="329" spans="1:7" ht="16.95" customHeight="1">
      <c r="A329" s="11">
        <v>321</v>
      </c>
      <c r="B329" s="24">
        <v>87235891.756706417</v>
      </c>
      <c r="C329" s="24">
        <v>64870502.960804321</v>
      </c>
      <c r="D329" s="24">
        <v>76582702.177352875</v>
      </c>
      <c r="E329" s="24">
        <f>TSim[[#This Row],[ValorFinalReal]]-TSim[[#This Row],[AportesReales]]</f>
        <v>11712199.216548555</v>
      </c>
      <c r="F329" s="19">
        <f>IF(TSim[[#This Row],[ValorFinalReal]]&gt;=Meta,1,0)</f>
        <v>0</v>
      </c>
      <c r="G329" s="21">
        <v>0</v>
      </c>
    </row>
    <row r="330" spans="1:7" ht="16.95" customHeight="1">
      <c r="A330" s="11">
        <v>322</v>
      </c>
      <c r="B330" s="24">
        <v>110989504.2093384</v>
      </c>
      <c r="C330" s="24">
        <v>64776709.772219032</v>
      </c>
      <c r="D330" s="24">
        <v>88670589.618845135</v>
      </c>
      <c r="E330" s="24">
        <f>TSim[[#This Row],[ValorFinalReal]]-TSim[[#This Row],[AportesReales]]</f>
        <v>23893879.846626103</v>
      </c>
      <c r="F330" s="19">
        <f>IF(TSim[[#This Row],[ValorFinalReal]]&gt;=Meta,1,0)</f>
        <v>1</v>
      </c>
      <c r="G330" s="21">
        <v>0</v>
      </c>
    </row>
    <row r="331" spans="1:7" ht="16.95" customHeight="1">
      <c r="A331" s="11">
        <v>323</v>
      </c>
      <c r="B331" s="24">
        <v>93928847.842803642</v>
      </c>
      <c r="C331" s="24">
        <v>64734896.329527497</v>
      </c>
      <c r="D331" s="24">
        <v>71985422.809505433</v>
      </c>
      <c r="E331" s="24">
        <f>TSim[[#This Row],[ValorFinalReal]]-TSim[[#This Row],[AportesReales]]</f>
        <v>7250526.4799779356</v>
      </c>
      <c r="F331" s="19">
        <f>IF(TSim[[#This Row],[ValorFinalReal]]&gt;=Meta,1,0)</f>
        <v>0</v>
      </c>
      <c r="G331" s="21">
        <v>5.3543948400052166E-3</v>
      </c>
    </row>
    <row r="332" spans="1:7" ht="16.95" customHeight="1">
      <c r="A332" s="11">
        <v>324</v>
      </c>
      <c r="B332" s="24">
        <v>82296529.535563648</v>
      </c>
      <c r="C332" s="24">
        <v>64939447.736986212</v>
      </c>
      <c r="D332" s="24">
        <v>77419453.135306269</v>
      </c>
      <c r="E332" s="24">
        <f>TSim[[#This Row],[ValorFinalReal]]-TSim[[#This Row],[AportesReales]]</f>
        <v>12480005.398320056</v>
      </c>
      <c r="F332" s="19">
        <f>IF(TSim[[#This Row],[ValorFinalReal]]&gt;=Meta,1,0)</f>
        <v>0</v>
      </c>
      <c r="G332" s="21">
        <v>1.7297052780314019E-3</v>
      </c>
    </row>
    <row r="333" spans="1:7" ht="16.95" customHeight="1">
      <c r="A333" s="11">
        <v>325</v>
      </c>
      <c r="B333" s="24">
        <v>84697386.60711123</v>
      </c>
      <c r="C333" s="24">
        <v>64941765.725565031</v>
      </c>
      <c r="D333" s="24">
        <v>79838000.501040027</v>
      </c>
      <c r="E333" s="24">
        <f>TSim[[#This Row],[ValorFinalReal]]-TSim[[#This Row],[AportesReales]]</f>
        <v>14896234.775474995</v>
      </c>
      <c r="F333" s="19">
        <f>IF(TSim[[#This Row],[ValorFinalReal]]&gt;=Meta,1,0)</f>
        <v>0</v>
      </c>
      <c r="G333" s="21">
        <v>0</v>
      </c>
    </row>
    <row r="334" spans="1:7" ht="16.95" customHeight="1">
      <c r="A334" s="11">
        <v>326</v>
      </c>
      <c r="B334" s="24">
        <v>82838572.161647692</v>
      </c>
      <c r="C334" s="24">
        <v>64966876.881584793</v>
      </c>
      <c r="D334" s="24">
        <v>80076635.694816858</v>
      </c>
      <c r="E334" s="24">
        <f>TSim[[#This Row],[ValorFinalReal]]-TSim[[#This Row],[AportesReales]]</f>
        <v>15109758.813232064</v>
      </c>
      <c r="F334" s="19">
        <f>IF(TSim[[#This Row],[ValorFinalReal]]&gt;=Meta,1,0)</f>
        <v>1</v>
      </c>
      <c r="G334" s="21">
        <v>2.2246288919260948E-3</v>
      </c>
    </row>
    <row r="335" spans="1:7" ht="16.95" customHeight="1">
      <c r="A335" s="11">
        <v>327</v>
      </c>
      <c r="B335" s="24">
        <v>75512576.892497614</v>
      </c>
      <c r="C335" s="24">
        <v>64969813.227679782</v>
      </c>
      <c r="D335" s="24">
        <v>73244031.489725456</v>
      </c>
      <c r="E335" s="24">
        <f>TSim[[#This Row],[ValorFinalReal]]-TSim[[#This Row],[AportesReales]]</f>
        <v>8274218.262045674</v>
      </c>
      <c r="F335" s="19">
        <f>IF(TSim[[#This Row],[ValorFinalReal]]&gt;=Meta,1,0)</f>
        <v>0</v>
      </c>
      <c r="G335" s="21">
        <v>9.4744635513466235E-4</v>
      </c>
    </row>
    <row r="336" spans="1:7" ht="16.95" customHeight="1">
      <c r="A336" s="11">
        <v>328</v>
      </c>
      <c r="B336" s="24">
        <v>90076428.689709485</v>
      </c>
      <c r="C336" s="24">
        <v>64880875.543652304</v>
      </c>
      <c r="D336" s="24">
        <v>79913698.233630896</v>
      </c>
      <c r="E336" s="24">
        <f>TSim[[#This Row],[ValorFinalReal]]-TSim[[#This Row],[AportesReales]]</f>
        <v>15032822.689978592</v>
      </c>
      <c r="F336" s="19">
        <f>IF(TSim[[#This Row],[ValorFinalReal]]&gt;=Meta,1,0)</f>
        <v>0</v>
      </c>
      <c r="G336" s="21">
        <v>3.1652440888512161E-3</v>
      </c>
    </row>
    <row r="337" spans="1:7" ht="16.95" customHeight="1">
      <c r="A337" s="11">
        <v>329</v>
      </c>
      <c r="B337" s="24">
        <v>90782614.120815799</v>
      </c>
      <c r="C337" s="24">
        <v>64925263.962767027</v>
      </c>
      <c r="D337" s="24">
        <v>84178343.541885108</v>
      </c>
      <c r="E337" s="24">
        <f>TSim[[#This Row],[ValorFinalReal]]-TSim[[#This Row],[AportesReales]]</f>
        <v>19253079.57911808</v>
      </c>
      <c r="F337" s="19">
        <f>IF(TSim[[#This Row],[ValorFinalReal]]&gt;=Meta,1,0)</f>
        <v>1</v>
      </c>
      <c r="G337" s="21">
        <v>0</v>
      </c>
    </row>
    <row r="338" spans="1:7" ht="16.95" customHeight="1">
      <c r="A338" s="11">
        <v>330</v>
      </c>
      <c r="B338" s="24">
        <v>89514872.053930208</v>
      </c>
      <c r="C338" s="24">
        <v>64858752.391615488</v>
      </c>
      <c r="D338" s="24">
        <v>77660715.95899272</v>
      </c>
      <c r="E338" s="24">
        <f>TSim[[#This Row],[ValorFinalReal]]-TSim[[#This Row],[AportesReales]]</f>
        <v>12801963.567377232</v>
      </c>
      <c r="F338" s="19">
        <f>IF(TSim[[#This Row],[ValorFinalReal]]&gt;=Meta,1,0)</f>
        <v>0</v>
      </c>
      <c r="G338" s="21">
        <v>1.343409218462077E-2</v>
      </c>
    </row>
    <row r="339" spans="1:7" ht="16.95" customHeight="1">
      <c r="A339" s="11">
        <v>331</v>
      </c>
      <c r="B339" s="24">
        <v>85321725.129568771</v>
      </c>
      <c r="C339" s="24">
        <v>64984474.597540364</v>
      </c>
      <c r="D339" s="24">
        <v>83963443.882297605</v>
      </c>
      <c r="E339" s="24">
        <f>TSim[[#This Row],[ValorFinalReal]]-TSim[[#This Row],[AportesReales]]</f>
        <v>18978969.284757242</v>
      </c>
      <c r="F339" s="19">
        <f>IF(TSim[[#This Row],[ValorFinalReal]]&gt;=Meta,1,0)</f>
        <v>1</v>
      </c>
      <c r="G339" s="21">
        <v>2.008527576725649E-3</v>
      </c>
    </row>
    <row r="340" spans="1:7" ht="16.95" customHeight="1">
      <c r="A340" s="11">
        <v>332</v>
      </c>
      <c r="B340" s="24">
        <v>80131543.50380227</v>
      </c>
      <c r="C340" s="24">
        <v>64865724.0028212</v>
      </c>
      <c r="D340" s="24">
        <v>70012569.078177527</v>
      </c>
      <c r="E340" s="24">
        <f>TSim[[#This Row],[ValorFinalReal]]-TSim[[#This Row],[AportesReales]]</f>
        <v>5146845.075356327</v>
      </c>
      <c r="F340" s="19">
        <f>IF(TSim[[#This Row],[ValorFinalReal]]&gt;=Meta,1,0)</f>
        <v>0</v>
      </c>
      <c r="G340" s="21">
        <v>2.7499400707153838E-3</v>
      </c>
    </row>
    <row r="341" spans="1:7" ht="16.95" customHeight="1">
      <c r="A341" s="11">
        <v>333</v>
      </c>
      <c r="B341" s="24">
        <v>104398290.5712243</v>
      </c>
      <c r="C341" s="24">
        <v>64685590.87550877</v>
      </c>
      <c r="D341" s="24">
        <v>76130057.236622587</v>
      </c>
      <c r="E341" s="24">
        <f>TSim[[#This Row],[ValorFinalReal]]-TSim[[#This Row],[AportesReales]]</f>
        <v>11444466.361113816</v>
      </c>
      <c r="F341" s="19">
        <f>IF(TSim[[#This Row],[ValorFinalReal]]&gt;=Meta,1,0)</f>
        <v>0</v>
      </c>
      <c r="G341" s="21">
        <v>1.0129361480691551E-2</v>
      </c>
    </row>
    <row r="342" spans="1:7" ht="16.95" customHeight="1">
      <c r="A342" s="11">
        <v>334</v>
      </c>
      <c r="B342" s="24">
        <v>91541034.178943977</v>
      </c>
      <c r="C342" s="24">
        <v>64691380.562661983</v>
      </c>
      <c r="D342" s="24">
        <v>67141518.025115281</v>
      </c>
      <c r="E342" s="24">
        <f>TSim[[#This Row],[ValorFinalReal]]-TSim[[#This Row],[AportesReales]]</f>
        <v>2450137.4624532983</v>
      </c>
      <c r="F342" s="19">
        <f>IF(TSim[[#This Row],[ValorFinalReal]]&gt;=Meta,1,0)</f>
        <v>0</v>
      </c>
      <c r="G342" s="21">
        <v>3.356431459511811E-3</v>
      </c>
    </row>
    <row r="343" spans="1:7" ht="16.95" customHeight="1">
      <c r="A343" s="11">
        <v>335</v>
      </c>
      <c r="B343" s="24">
        <v>97353814.739022478</v>
      </c>
      <c r="C343" s="24">
        <v>64687009.776293643</v>
      </c>
      <c r="D343" s="24">
        <v>71102983.554313153</v>
      </c>
      <c r="E343" s="24">
        <f>TSim[[#This Row],[ValorFinalReal]]-TSim[[#This Row],[AportesReales]]</f>
        <v>6415973.7780195102</v>
      </c>
      <c r="F343" s="19">
        <f>IF(TSim[[#This Row],[ValorFinalReal]]&gt;=Meta,1,0)</f>
        <v>0</v>
      </c>
      <c r="G343" s="21">
        <v>6.1278007522679312E-3</v>
      </c>
    </row>
    <row r="344" spans="1:7" ht="16.95" customHeight="1">
      <c r="A344" s="11">
        <v>336</v>
      </c>
      <c r="B344" s="24">
        <v>89922182.015202522</v>
      </c>
      <c r="C344" s="24">
        <v>64777207.465030633</v>
      </c>
      <c r="D344" s="24">
        <v>71891100.966527909</v>
      </c>
      <c r="E344" s="24">
        <f>TSim[[#This Row],[ValorFinalReal]]-TSim[[#This Row],[AportesReales]]</f>
        <v>7113893.5014972761</v>
      </c>
      <c r="F344" s="19">
        <f>IF(TSim[[#This Row],[ValorFinalReal]]&gt;=Meta,1,0)</f>
        <v>0</v>
      </c>
      <c r="G344" s="21">
        <v>6.7772937077137394E-3</v>
      </c>
    </row>
    <row r="345" spans="1:7" ht="16.95" customHeight="1">
      <c r="A345" s="11">
        <v>337</v>
      </c>
      <c r="B345" s="24">
        <v>94803266.675789073</v>
      </c>
      <c r="C345" s="24">
        <v>64895318.618879043</v>
      </c>
      <c r="D345" s="24">
        <v>85317354.30313018</v>
      </c>
      <c r="E345" s="24">
        <f>TSim[[#This Row],[ValorFinalReal]]-TSim[[#This Row],[AportesReales]]</f>
        <v>20422035.684251137</v>
      </c>
      <c r="F345" s="19">
        <f>IF(TSim[[#This Row],[ValorFinalReal]]&gt;=Meta,1,0)</f>
        <v>1</v>
      </c>
      <c r="G345" s="21">
        <v>1.3058232896012709E-4</v>
      </c>
    </row>
    <row r="346" spans="1:7" ht="16.95" customHeight="1">
      <c r="A346" s="11">
        <v>338</v>
      </c>
      <c r="B346" s="24">
        <v>104202875.1549834</v>
      </c>
      <c r="C346" s="24">
        <v>64728879.35916771</v>
      </c>
      <c r="D346" s="24">
        <v>79367028.332306772</v>
      </c>
      <c r="E346" s="24">
        <f>TSim[[#This Row],[ValorFinalReal]]-TSim[[#This Row],[AportesReales]]</f>
        <v>14638148.973139063</v>
      </c>
      <c r="F346" s="19">
        <f>IF(TSim[[#This Row],[ValorFinalReal]]&gt;=Meta,1,0)</f>
        <v>0</v>
      </c>
      <c r="G346" s="21">
        <v>0</v>
      </c>
    </row>
    <row r="347" spans="1:7" ht="16.95" customHeight="1">
      <c r="A347" s="11">
        <v>339</v>
      </c>
      <c r="B347" s="24">
        <v>89993435.341158077</v>
      </c>
      <c r="C347" s="24">
        <v>64808166.315816693</v>
      </c>
      <c r="D347" s="24">
        <v>74232681.042520642</v>
      </c>
      <c r="E347" s="24">
        <f>TSim[[#This Row],[ValorFinalReal]]-TSim[[#This Row],[AportesReales]]</f>
        <v>9424514.7267039493</v>
      </c>
      <c r="F347" s="19">
        <f>IF(TSim[[#This Row],[ValorFinalReal]]&gt;=Meta,1,0)</f>
        <v>0</v>
      </c>
      <c r="G347" s="21">
        <v>5.8042004519444079E-3</v>
      </c>
    </row>
    <row r="348" spans="1:7" ht="16.95" customHeight="1">
      <c r="A348" s="11">
        <v>340</v>
      </c>
      <c r="B348" s="24">
        <v>79146498.574528411</v>
      </c>
      <c r="C348" s="24">
        <v>64867459.470794059</v>
      </c>
      <c r="D348" s="24">
        <v>69240938.078246325</v>
      </c>
      <c r="E348" s="24">
        <f>TSim[[#This Row],[ValorFinalReal]]-TSim[[#This Row],[AportesReales]]</f>
        <v>4373478.6074522659</v>
      </c>
      <c r="F348" s="19">
        <f>IF(TSim[[#This Row],[ValorFinalReal]]&gt;=Meta,1,0)</f>
        <v>0</v>
      </c>
      <c r="G348" s="21">
        <v>2.1058015474877512E-2</v>
      </c>
    </row>
    <row r="349" spans="1:7" ht="16.95" customHeight="1">
      <c r="A349" s="11">
        <v>341</v>
      </c>
      <c r="B349" s="24">
        <v>106277408.99185801</v>
      </c>
      <c r="C349" s="24">
        <v>64685802.9956185</v>
      </c>
      <c r="D349" s="24">
        <v>77524387.160378888</v>
      </c>
      <c r="E349" s="24">
        <f>TSim[[#This Row],[ValorFinalReal]]-TSim[[#This Row],[AportesReales]]</f>
        <v>12838584.164760388</v>
      </c>
      <c r="F349" s="19">
        <f>IF(TSim[[#This Row],[ValorFinalReal]]&gt;=Meta,1,0)</f>
        <v>0</v>
      </c>
      <c r="G349" s="21">
        <v>5.8880831903184161E-3</v>
      </c>
    </row>
    <row r="350" spans="1:7" ht="16.95" customHeight="1">
      <c r="A350" s="11">
        <v>342</v>
      </c>
      <c r="B350" s="24">
        <v>89912848.653567165</v>
      </c>
      <c r="C350" s="24">
        <v>64898549.782214738</v>
      </c>
      <c r="D350" s="24">
        <v>81193481.585587636</v>
      </c>
      <c r="E350" s="24">
        <f>TSim[[#This Row],[ValorFinalReal]]-TSim[[#This Row],[AportesReales]]</f>
        <v>16294931.803372897</v>
      </c>
      <c r="F350" s="19">
        <f>IF(TSim[[#This Row],[ValorFinalReal]]&gt;=Meta,1,0)</f>
        <v>1</v>
      </c>
      <c r="G350" s="21">
        <v>5.8847329833000561E-3</v>
      </c>
    </row>
    <row r="351" spans="1:7" ht="16.95" customHeight="1">
      <c r="A351" s="11">
        <v>343</v>
      </c>
      <c r="B351" s="24">
        <v>97647079.541313991</v>
      </c>
      <c r="C351" s="24">
        <v>64671618.761681542</v>
      </c>
      <c r="D351" s="24">
        <v>70217761.456879199</v>
      </c>
      <c r="E351" s="24">
        <f>TSim[[#This Row],[ValorFinalReal]]-TSim[[#This Row],[AportesReales]]</f>
        <v>5546142.6951976568</v>
      </c>
      <c r="F351" s="19">
        <f>IF(TSim[[#This Row],[ValorFinalReal]]&gt;=Meta,1,0)</f>
        <v>0</v>
      </c>
      <c r="G351" s="21">
        <v>1.2983299952418309E-2</v>
      </c>
    </row>
    <row r="352" spans="1:7" ht="16.95" customHeight="1">
      <c r="A352" s="11">
        <v>344</v>
      </c>
      <c r="B352" s="24">
        <v>88064196.859206468</v>
      </c>
      <c r="C352" s="24">
        <v>64847784.915490083</v>
      </c>
      <c r="D352" s="24">
        <v>75574802.066409692</v>
      </c>
      <c r="E352" s="24">
        <f>TSim[[#This Row],[ValorFinalReal]]-TSim[[#This Row],[AportesReales]]</f>
        <v>10727017.150919609</v>
      </c>
      <c r="F352" s="19">
        <f>IF(TSim[[#This Row],[ValorFinalReal]]&gt;=Meta,1,0)</f>
        <v>0</v>
      </c>
      <c r="G352" s="21">
        <v>3.8479888975360139E-3</v>
      </c>
    </row>
    <row r="353" spans="1:7" ht="16.95" customHeight="1">
      <c r="A353" s="11">
        <v>345</v>
      </c>
      <c r="B353" s="24">
        <v>79956383.923745736</v>
      </c>
      <c r="C353" s="24">
        <v>64933487.826551288</v>
      </c>
      <c r="D353" s="24">
        <v>74764116.582828492</v>
      </c>
      <c r="E353" s="24">
        <f>TSim[[#This Row],[ValorFinalReal]]-TSim[[#This Row],[AportesReales]]</f>
        <v>9830628.7562772036</v>
      </c>
      <c r="F353" s="19">
        <f>IF(TSim[[#This Row],[ValorFinalReal]]&gt;=Meta,1,0)</f>
        <v>0</v>
      </c>
      <c r="G353" s="21">
        <v>6.9274322126544607E-4</v>
      </c>
    </row>
    <row r="354" spans="1:7" ht="16.95" customHeight="1">
      <c r="A354" s="11">
        <v>346</v>
      </c>
      <c r="B354" s="24">
        <v>80127267.254519165</v>
      </c>
      <c r="C354" s="24">
        <v>65065215.818574592</v>
      </c>
      <c r="D354" s="24">
        <v>85468302.750439674</v>
      </c>
      <c r="E354" s="24">
        <f>TSim[[#This Row],[ValorFinalReal]]-TSim[[#This Row],[AportesReales]]</f>
        <v>20403086.931865081</v>
      </c>
      <c r="F354" s="19">
        <f>IF(TSim[[#This Row],[ValorFinalReal]]&gt;=Meta,1,0)</f>
        <v>1</v>
      </c>
      <c r="G354" s="21">
        <v>0</v>
      </c>
    </row>
    <row r="355" spans="1:7" ht="16.95" customHeight="1">
      <c r="A355" s="11">
        <v>347</v>
      </c>
      <c r="B355" s="24">
        <v>103489741.59380969</v>
      </c>
      <c r="C355" s="24">
        <v>64820599.406895898</v>
      </c>
      <c r="D355" s="24">
        <v>86428564.927124351</v>
      </c>
      <c r="E355" s="24">
        <f>TSim[[#This Row],[ValorFinalReal]]-TSim[[#This Row],[AportesReales]]</f>
        <v>21607965.520228453</v>
      </c>
      <c r="F355" s="19">
        <f>IF(TSim[[#This Row],[ValorFinalReal]]&gt;=Meta,1,0)</f>
        <v>1</v>
      </c>
      <c r="G355" s="21">
        <v>6.2379733389447134E-3</v>
      </c>
    </row>
    <row r="356" spans="1:7" ht="16.95" customHeight="1">
      <c r="A356" s="11">
        <v>348</v>
      </c>
      <c r="B356" s="24">
        <v>93281784.451336339</v>
      </c>
      <c r="C356" s="24">
        <v>64893414.148053817</v>
      </c>
      <c r="D356" s="24">
        <v>83800527.164215639</v>
      </c>
      <c r="E356" s="24">
        <f>TSim[[#This Row],[ValorFinalReal]]-TSim[[#This Row],[AportesReales]]</f>
        <v>18907113.016161822</v>
      </c>
      <c r="F356" s="19">
        <f>IF(TSim[[#This Row],[ValorFinalReal]]&gt;=Meta,1,0)</f>
        <v>1</v>
      </c>
      <c r="G356" s="21">
        <v>3.9105386838391709E-3</v>
      </c>
    </row>
    <row r="357" spans="1:7" ht="16.95" customHeight="1">
      <c r="A357" s="11">
        <v>349</v>
      </c>
      <c r="B357" s="24">
        <v>96597958.848452419</v>
      </c>
      <c r="C357" s="24">
        <v>64743454.837992147</v>
      </c>
      <c r="D357" s="24">
        <v>74647948.150696069</v>
      </c>
      <c r="E357" s="24">
        <f>TSim[[#This Row],[ValorFinalReal]]-TSim[[#This Row],[AportesReales]]</f>
        <v>9904493.3127039224</v>
      </c>
      <c r="F357" s="19">
        <f>IF(TSim[[#This Row],[ValorFinalReal]]&gt;=Meta,1,0)</f>
        <v>0</v>
      </c>
      <c r="G357" s="21">
        <v>8.6928440305519272E-3</v>
      </c>
    </row>
    <row r="358" spans="1:7" ht="16.95" customHeight="1">
      <c r="A358" s="11">
        <v>350</v>
      </c>
      <c r="B358" s="24">
        <v>86149977.14334327</v>
      </c>
      <c r="C358" s="24">
        <v>64876191.377706423</v>
      </c>
      <c r="D358" s="24">
        <v>76074207.591106623</v>
      </c>
      <c r="E358" s="24">
        <f>TSim[[#This Row],[ValorFinalReal]]-TSim[[#This Row],[AportesReales]]</f>
        <v>11198016.2134002</v>
      </c>
      <c r="F358" s="19">
        <f>IF(TSim[[#This Row],[ValorFinalReal]]&gt;=Meta,1,0)</f>
        <v>0</v>
      </c>
      <c r="G358" s="21">
        <v>0</v>
      </c>
    </row>
    <row r="359" spans="1:7" ht="16.95" customHeight="1">
      <c r="A359" s="11">
        <v>351</v>
      </c>
      <c r="B359" s="24">
        <v>80213452.088702783</v>
      </c>
      <c r="C359" s="24">
        <v>64916410.093963914</v>
      </c>
      <c r="D359" s="24">
        <v>73736588.118586406</v>
      </c>
      <c r="E359" s="24">
        <f>TSim[[#This Row],[ValorFinalReal]]-TSim[[#This Row],[AportesReales]]</f>
        <v>8820178.0246224925</v>
      </c>
      <c r="F359" s="19">
        <f>IF(TSim[[#This Row],[ValorFinalReal]]&gt;=Meta,1,0)</f>
        <v>0</v>
      </c>
      <c r="G359" s="21">
        <v>5.2897389210503354E-3</v>
      </c>
    </row>
    <row r="360" spans="1:7" ht="16.95" customHeight="1">
      <c r="A360" s="11">
        <v>352</v>
      </c>
      <c r="B360" s="24">
        <v>93806663.0026609</v>
      </c>
      <c r="C360" s="24">
        <v>64824734.096283242</v>
      </c>
      <c r="D360" s="24">
        <v>78683444.674667403</v>
      </c>
      <c r="E360" s="24">
        <f>TSim[[#This Row],[ValorFinalReal]]-TSim[[#This Row],[AportesReales]]</f>
        <v>13858710.578384161</v>
      </c>
      <c r="F360" s="19">
        <f>IF(TSim[[#This Row],[ValorFinalReal]]&gt;=Meta,1,0)</f>
        <v>0</v>
      </c>
      <c r="G360" s="21">
        <v>3.0578932385049158E-3</v>
      </c>
    </row>
    <row r="361" spans="1:7" ht="16.95" customHeight="1">
      <c r="A361" s="11">
        <v>353</v>
      </c>
      <c r="B361" s="24">
        <v>102536722.3523027</v>
      </c>
      <c r="C361" s="24">
        <v>64684354.006480567</v>
      </c>
      <c r="D361" s="24">
        <v>74669200.145785674</v>
      </c>
      <c r="E361" s="24">
        <f>TSim[[#This Row],[ValorFinalReal]]-TSim[[#This Row],[AportesReales]]</f>
        <v>9984846.1393051073</v>
      </c>
      <c r="F361" s="19">
        <f>IF(TSim[[#This Row],[ValorFinalReal]]&gt;=Meta,1,0)</f>
        <v>0</v>
      </c>
      <c r="G361" s="21">
        <v>0</v>
      </c>
    </row>
    <row r="362" spans="1:7" ht="16.95" customHeight="1">
      <c r="A362" s="11">
        <v>354</v>
      </c>
      <c r="B362" s="24">
        <v>85026366.734949648</v>
      </c>
      <c r="C362" s="24">
        <v>64963751.871238023</v>
      </c>
      <c r="D362" s="24">
        <v>81973532.677618623</v>
      </c>
      <c r="E362" s="24">
        <f>TSim[[#This Row],[ValorFinalReal]]-TSim[[#This Row],[AportesReales]]</f>
        <v>17009780.8063806</v>
      </c>
      <c r="F362" s="19">
        <f>IF(TSim[[#This Row],[ValorFinalReal]]&gt;=Meta,1,0)</f>
        <v>1</v>
      </c>
      <c r="G362" s="21">
        <v>2.1846273422898579E-4</v>
      </c>
    </row>
    <row r="363" spans="1:7" ht="16.95" customHeight="1">
      <c r="A363" s="11">
        <v>355</v>
      </c>
      <c r="B363" s="24">
        <v>76451060.593242243</v>
      </c>
      <c r="C363" s="24">
        <v>65038708.594530217</v>
      </c>
      <c r="D363" s="24">
        <v>79405565.652082026</v>
      </c>
      <c r="E363" s="24">
        <f>TSim[[#This Row],[ValorFinalReal]]-TSim[[#This Row],[AportesReales]]</f>
        <v>14366857.057551809</v>
      </c>
      <c r="F363" s="19">
        <f>IF(TSim[[#This Row],[ValorFinalReal]]&gt;=Meta,1,0)</f>
        <v>0</v>
      </c>
      <c r="G363" s="21">
        <v>5.4289287200652847E-3</v>
      </c>
    </row>
    <row r="364" spans="1:7" ht="16.95" customHeight="1">
      <c r="A364" s="11">
        <v>356</v>
      </c>
      <c r="B364" s="24">
        <v>94167923.894665346</v>
      </c>
      <c r="C364" s="24">
        <v>64776388.023050196</v>
      </c>
      <c r="D364" s="24">
        <v>75214122.068472326</v>
      </c>
      <c r="E364" s="24">
        <f>TSim[[#This Row],[ValorFinalReal]]-TSim[[#This Row],[AportesReales]]</f>
        <v>10437734.045422129</v>
      </c>
      <c r="F364" s="19">
        <f>IF(TSim[[#This Row],[ValorFinalReal]]&gt;=Meta,1,0)</f>
        <v>0</v>
      </c>
      <c r="G364" s="21">
        <v>2.6769309190040499E-2</v>
      </c>
    </row>
    <row r="365" spans="1:7" ht="16.95" customHeight="1">
      <c r="A365" s="11">
        <v>357</v>
      </c>
      <c r="B365" s="24">
        <v>85031291.262909099</v>
      </c>
      <c r="C365" s="24">
        <v>64980553.196377084</v>
      </c>
      <c r="D365" s="24">
        <v>83332928.742049888</v>
      </c>
      <c r="E365" s="24">
        <f>TSim[[#This Row],[ValorFinalReal]]-TSim[[#This Row],[AportesReales]]</f>
        <v>18352375.545672804</v>
      </c>
      <c r="F365" s="19">
        <f>IF(TSim[[#This Row],[ValorFinalReal]]&gt;=Meta,1,0)</f>
        <v>1</v>
      </c>
      <c r="G365" s="21">
        <v>3.2809268477247411E-3</v>
      </c>
    </row>
    <row r="366" spans="1:7" ht="16.95" customHeight="1">
      <c r="A366" s="11">
        <v>358</v>
      </c>
      <c r="B366" s="24">
        <v>96032071.028128892</v>
      </c>
      <c r="C366" s="24">
        <v>64924255.197314061</v>
      </c>
      <c r="D366" s="24">
        <v>88976140.835220903</v>
      </c>
      <c r="E366" s="24">
        <f>TSim[[#This Row],[ValorFinalReal]]-TSim[[#This Row],[AportesReales]]</f>
        <v>24051885.637906842</v>
      </c>
      <c r="F366" s="19">
        <f>IF(TSim[[#This Row],[ValorFinalReal]]&gt;=Meta,1,0)</f>
        <v>1</v>
      </c>
      <c r="G366" s="21">
        <v>3.834265143412563E-3</v>
      </c>
    </row>
    <row r="367" spans="1:7" ht="16.95" customHeight="1">
      <c r="A367" s="11">
        <v>359</v>
      </c>
      <c r="B367" s="24">
        <v>85698762.420404837</v>
      </c>
      <c r="C367" s="24">
        <v>64880198.925314739</v>
      </c>
      <c r="D367" s="24">
        <v>75971413.789643556</v>
      </c>
      <c r="E367" s="24">
        <f>TSim[[#This Row],[ValorFinalReal]]-TSim[[#This Row],[AportesReales]]</f>
        <v>11091214.864328817</v>
      </c>
      <c r="F367" s="19">
        <f>IF(TSim[[#This Row],[ValorFinalReal]]&gt;=Meta,1,0)</f>
        <v>0</v>
      </c>
      <c r="G367" s="21">
        <v>7.1532583263472782E-3</v>
      </c>
    </row>
    <row r="368" spans="1:7" ht="16.95" customHeight="1">
      <c r="A368" s="11">
        <v>360</v>
      </c>
      <c r="B368" s="24">
        <v>102182671.89793991</v>
      </c>
      <c r="C368" s="24">
        <v>64959772.114793167</v>
      </c>
      <c r="D368" s="24">
        <v>98071080.676178828</v>
      </c>
      <c r="E368" s="24">
        <f>TSim[[#This Row],[ValorFinalReal]]-TSim[[#This Row],[AportesReales]]</f>
        <v>33111308.561385661</v>
      </c>
      <c r="F368" s="19">
        <f>IF(TSim[[#This Row],[ValorFinalReal]]&gt;=Meta,1,0)</f>
        <v>1</v>
      </c>
      <c r="G368" s="21">
        <v>0</v>
      </c>
    </row>
    <row r="369" spans="1:7" ht="16.95" customHeight="1">
      <c r="A369" s="11">
        <v>361</v>
      </c>
      <c r="B369" s="24">
        <v>97975565.826432556</v>
      </c>
      <c r="C369" s="24">
        <v>64778977.234459467</v>
      </c>
      <c r="D369" s="24">
        <v>78480697.74342379</v>
      </c>
      <c r="E369" s="24">
        <f>TSim[[#This Row],[ValorFinalReal]]-TSim[[#This Row],[AportesReales]]</f>
        <v>13701720.508964323</v>
      </c>
      <c r="F369" s="19">
        <f>IF(TSim[[#This Row],[ValorFinalReal]]&gt;=Meta,1,0)</f>
        <v>0</v>
      </c>
      <c r="G369" s="21">
        <v>2.8181536165039489E-4</v>
      </c>
    </row>
    <row r="370" spans="1:7" ht="16.95" customHeight="1">
      <c r="A370" s="11">
        <v>362</v>
      </c>
      <c r="B370" s="24">
        <v>87021117.512329951</v>
      </c>
      <c r="C370" s="24">
        <v>64924775.818327703</v>
      </c>
      <c r="D370" s="24">
        <v>80666029.684318349</v>
      </c>
      <c r="E370" s="24">
        <f>TSim[[#This Row],[ValorFinalReal]]-TSim[[#This Row],[AportesReales]]</f>
        <v>15741253.865990646</v>
      </c>
      <c r="F370" s="19">
        <f>IF(TSim[[#This Row],[ValorFinalReal]]&gt;=Meta,1,0)</f>
        <v>1</v>
      </c>
      <c r="G370" s="21">
        <v>8.475119861047653E-3</v>
      </c>
    </row>
    <row r="371" spans="1:7" ht="16.95" customHeight="1">
      <c r="A371" s="11">
        <v>363</v>
      </c>
      <c r="B371" s="24">
        <v>87636419.149937943</v>
      </c>
      <c r="C371" s="24">
        <v>64958604.083217852</v>
      </c>
      <c r="D371" s="24">
        <v>84037665.91106829</v>
      </c>
      <c r="E371" s="24">
        <f>TSim[[#This Row],[ValorFinalReal]]-TSim[[#This Row],[AportesReales]]</f>
        <v>19079061.827850439</v>
      </c>
      <c r="F371" s="19">
        <f>IF(TSim[[#This Row],[ValorFinalReal]]&gt;=Meta,1,0)</f>
        <v>1</v>
      </c>
      <c r="G371" s="21">
        <v>5.0258703538337279E-3</v>
      </c>
    </row>
    <row r="372" spans="1:7" ht="16.95" customHeight="1">
      <c r="A372" s="11">
        <v>364</v>
      </c>
      <c r="B372" s="24">
        <v>91635577.76674141</v>
      </c>
      <c r="C372" s="24">
        <v>64932210.09927395</v>
      </c>
      <c r="D372" s="24">
        <v>85584449.898407772</v>
      </c>
      <c r="E372" s="24">
        <f>TSim[[#This Row],[ValorFinalReal]]-TSim[[#This Row],[AportesReales]]</f>
        <v>20652239.799133822</v>
      </c>
      <c r="F372" s="19">
        <f>IF(TSim[[#This Row],[ValorFinalReal]]&gt;=Meta,1,0)</f>
        <v>1</v>
      </c>
      <c r="G372" s="21">
        <v>1.0155677445087391E-2</v>
      </c>
    </row>
    <row r="373" spans="1:7" ht="16.95" customHeight="1">
      <c r="A373" s="11">
        <v>365</v>
      </c>
      <c r="B373" s="24">
        <v>97787086.708102763</v>
      </c>
      <c r="C373" s="24">
        <v>64820792.926027283</v>
      </c>
      <c r="D373" s="24">
        <v>81684472.924601734</v>
      </c>
      <c r="E373" s="24">
        <f>TSim[[#This Row],[ValorFinalReal]]-TSim[[#This Row],[AportesReales]]</f>
        <v>16863679.998574451</v>
      </c>
      <c r="F373" s="19">
        <f>IF(TSim[[#This Row],[ValorFinalReal]]&gt;=Meta,1,0)</f>
        <v>1</v>
      </c>
      <c r="G373" s="21">
        <v>0</v>
      </c>
    </row>
    <row r="374" spans="1:7" ht="16.95" customHeight="1">
      <c r="A374" s="11">
        <v>366</v>
      </c>
      <c r="B374" s="24">
        <v>80910828.457672045</v>
      </c>
      <c r="C374" s="24">
        <v>64844371.178757086</v>
      </c>
      <c r="D374" s="24">
        <v>69188535.698528737</v>
      </c>
      <c r="E374" s="24">
        <f>TSim[[#This Row],[ValorFinalReal]]-TSim[[#This Row],[AportesReales]]</f>
        <v>4344164.5197716504</v>
      </c>
      <c r="F374" s="19">
        <f>IF(TSim[[#This Row],[ValorFinalReal]]&gt;=Meta,1,0)</f>
        <v>0</v>
      </c>
      <c r="G374" s="21">
        <v>2.6080560740926462E-3</v>
      </c>
    </row>
    <row r="375" spans="1:7" ht="16.95" customHeight="1">
      <c r="A375" s="11">
        <v>367</v>
      </c>
      <c r="B375" s="24">
        <v>80393412.67115736</v>
      </c>
      <c r="C375" s="24">
        <v>64914672.26813373</v>
      </c>
      <c r="D375" s="24">
        <v>73742882.530501544</v>
      </c>
      <c r="E375" s="24">
        <f>TSim[[#This Row],[ValorFinalReal]]-TSim[[#This Row],[AportesReales]]</f>
        <v>8828210.2623678148</v>
      </c>
      <c r="F375" s="19">
        <f>IF(TSim[[#This Row],[ValorFinalReal]]&gt;=Meta,1,0)</f>
        <v>0</v>
      </c>
      <c r="G375" s="21">
        <v>7.1309322591371904E-3</v>
      </c>
    </row>
    <row r="376" spans="1:7" ht="16.95" customHeight="1">
      <c r="A376" s="11">
        <v>368</v>
      </c>
      <c r="B376" s="24">
        <v>81731097.093750909</v>
      </c>
      <c r="C376" s="24">
        <v>65001615.047575057</v>
      </c>
      <c r="D376" s="24">
        <v>81831623.798615143</v>
      </c>
      <c r="E376" s="24">
        <f>TSim[[#This Row],[ValorFinalReal]]-TSim[[#This Row],[AportesReales]]</f>
        <v>16830008.751040086</v>
      </c>
      <c r="F376" s="19">
        <f>IF(TSim[[#This Row],[ValorFinalReal]]&gt;=Meta,1,0)</f>
        <v>1</v>
      </c>
      <c r="G376" s="21">
        <v>0</v>
      </c>
    </row>
    <row r="377" spans="1:7" ht="16.95" customHeight="1">
      <c r="A377" s="11">
        <v>369</v>
      </c>
      <c r="B377" s="24">
        <v>102804881.0983371</v>
      </c>
      <c r="C377" s="24">
        <v>64716748.845274121</v>
      </c>
      <c r="D377" s="24">
        <v>77351838.087213203</v>
      </c>
      <c r="E377" s="24">
        <f>TSim[[#This Row],[ValorFinalReal]]-TSim[[#This Row],[AportesReales]]</f>
        <v>12635089.241939083</v>
      </c>
      <c r="F377" s="19">
        <f>IF(TSim[[#This Row],[ValorFinalReal]]&gt;=Meta,1,0)</f>
        <v>0</v>
      </c>
      <c r="G377" s="21">
        <v>1.0669130620954091E-2</v>
      </c>
    </row>
    <row r="378" spans="1:7" ht="16.95" customHeight="1">
      <c r="A378" s="11">
        <v>370</v>
      </c>
      <c r="B378" s="24">
        <v>91671247.221407324</v>
      </c>
      <c r="C378" s="24">
        <v>64868509.923197262</v>
      </c>
      <c r="D378" s="24">
        <v>80306026.948700324</v>
      </c>
      <c r="E378" s="24">
        <f>TSim[[#This Row],[ValorFinalReal]]-TSim[[#This Row],[AportesReales]]</f>
        <v>15437517.025503062</v>
      </c>
      <c r="F378" s="19">
        <f>IF(TSim[[#This Row],[ValorFinalReal]]&gt;=Meta,1,0)</f>
        <v>1</v>
      </c>
      <c r="G378" s="21">
        <v>0</v>
      </c>
    </row>
    <row r="379" spans="1:7" ht="16.95" customHeight="1">
      <c r="A379" s="11">
        <v>371</v>
      </c>
      <c r="B379" s="24">
        <v>102556990.34905981</v>
      </c>
      <c r="C379" s="24">
        <v>64718208.131347388</v>
      </c>
      <c r="D379" s="24">
        <v>77293185.889835328</v>
      </c>
      <c r="E379" s="24">
        <f>TSim[[#This Row],[ValorFinalReal]]-TSim[[#This Row],[AportesReales]]</f>
        <v>12574977.75848794</v>
      </c>
      <c r="F379" s="19">
        <f>IF(TSim[[#This Row],[ValorFinalReal]]&gt;=Meta,1,0)</f>
        <v>0</v>
      </c>
      <c r="G379" s="21">
        <v>0</v>
      </c>
    </row>
    <row r="380" spans="1:7" ht="16.95" customHeight="1">
      <c r="A380" s="11">
        <v>372</v>
      </c>
      <c r="B380" s="24">
        <v>91744618.520477027</v>
      </c>
      <c r="C380" s="24">
        <v>64788709.309114717</v>
      </c>
      <c r="D380" s="24">
        <v>74224279.541315764</v>
      </c>
      <c r="E380" s="24">
        <f>TSim[[#This Row],[ValorFinalReal]]-TSim[[#This Row],[AportesReales]]</f>
        <v>9435570.2322010472</v>
      </c>
      <c r="F380" s="19">
        <f>IF(TSim[[#This Row],[ValorFinalReal]]&gt;=Meta,1,0)</f>
        <v>0</v>
      </c>
      <c r="G380" s="21">
        <v>0</v>
      </c>
    </row>
    <row r="381" spans="1:7" ht="16.95" customHeight="1">
      <c r="A381" s="11">
        <v>373</v>
      </c>
      <c r="B381" s="24">
        <v>93042858.241796553</v>
      </c>
      <c r="C381" s="24">
        <v>64871738.99972029</v>
      </c>
      <c r="D381" s="24">
        <v>81809334.114377871</v>
      </c>
      <c r="E381" s="24">
        <f>TSim[[#This Row],[ValorFinalReal]]-TSim[[#This Row],[AportesReales]]</f>
        <v>16937595.114657581</v>
      </c>
      <c r="F381" s="19">
        <f>IF(TSim[[#This Row],[ValorFinalReal]]&gt;=Meta,1,0)</f>
        <v>1</v>
      </c>
      <c r="G381" s="21">
        <v>3.2903002510920038E-4</v>
      </c>
    </row>
    <row r="382" spans="1:7" ht="16.95" customHeight="1">
      <c r="A382" s="11">
        <v>374</v>
      </c>
      <c r="B382" s="24">
        <v>83305359.093990475</v>
      </c>
      <c r="C382" s="24">
        <v>64948410.97243385</v>
      </c>
      <c r="D382" s="24">
        <v>79069125.835346133</v>
      </c>
      <c r="E382" s="24">
        <f>TSim[[#This Row],[ValorFinalReal]]-TSim[[#This Row],[AportesReales]]</f>
        <v>14120714.862912282</v>
      </c>
      <c r="F382" s="19">
        <f>IF(TSim[[#This Row],[ValorFinalReal]]&gt;=Meta,1,0)</f>
        <v>0</v>
      </c>
      <c r="G382" s="21">
        <v>1.35407504920807E-2</v>
      </c>
    </row>
    <row r="383" spans="1:7" ht="16.95" customHeight="1">
      <c r="A383" s="11">
        <v>375</v>
      </c>
      <c r="B383" s="24">
        <v>95817927.614208609</v>
      </c>
      <c r="C383" s="24">
        <v>64793514.576148823</v>
      </c>
      <c r="D383" s="24">
        <v>77882112.773983002</v>
      </c>
      <c r="E383" s="24">
        <f>TSim[[#This Row],[ValorFinalReal]]-TSim[[#This Row],[AportesReales]]</f>
        <v>13088598.197834179</v>
      </c>
      <c r="F383" s="19">
        <f>IF(TSim[[#This Row],[ValorFinalReal]]&gt;=Meta,1,0)</f>
        <v>0</v>
      </c>
      <c r="G383" s="21">
        <v>0</v>
      </c>
    </row>
    <row r="384" spans="1:7" ht="16.95" customHeight="1">
      <c r="A384" s="11">
        <v>376</v>
      </c>
      <c r="B384" s="24">
        <v>87811100.961025596</v>
      </c>
      <c r="C384" s="24">
        <v>64908023.248816252</v>
      </c>
      <c r="D384" s="24">
        <v>80063190.838279113</v>
      </c>
      <c r="E384" s="24">
        <f>TSim[[#This Row],[ValorFinalReal]]-TSim[[#This Row],[AportesReales]]</f>
        <v>15155167.589462861</v>
      </c>
      <c r="F384" s="19">
        <f>IF(TSim[[#This Row],[ValorFinalReal]]&gt;=Meta,1,0)</f>
        <v>1</v>
      </c>
      <c r="G384" s="21">
        <v>1.1688243599707879E-3</v>
      </c>
    </row>
    <row r="385" spans="1:7" ht="16.95" customHeight="1">
      <c r="A385" s="11">
        <v>377</v>
      </c>
      <c r="B385" s="24">
        <v>85252025.434477568</v>
      </c>
      <c r="C385" s="24">
        <v>64704817.933326803</v>
      </c>
      <c r="D385" s="24">
        <v>63398328.946383223</v>
      </c>
      <c r="E385" s="24">
        <f>TSim[[#This Row],[ValorFinalReal]]-TSim[[#This Row],[AportesReales]]</f>
        <v>-1306488.9869435802</v>
      </c>
      <c r="F385" s="19">
        <f>IF(TSim[[#This Row],[ValorFinalReal]]&gt;=Meta,1,0)</f>
        <v>0</v>
      </c>
      <c r="G385" s="21">
        <v>3.371253050641454E-3</v>
      </c>
    </row>
    <row r="386" spans="1:7" ht="16.95" customHeight="1">
      <c r="A386" s="11">
        <v>378</v>
      </c>
      <c r="B386" s="24">
        <v>73351531.424166501</v>
      </c>
      <c r="C386" s="24">
        <v>65062062.621133707</v>
      </c>
      <c r="D386" s="24">
        <v>78003352.938151687</v>
      </c>
      <c r="E386" s="24">
        <f>TSim[[#This Row],[ValorFinalReal]]-TSim[[#This Row],[AportesReales]]</f>
        <v>12941290.31701798</v>
      </c>
      <c r="F386" s="19">
        <f>IF(TSim[[#This Row],[ValorFinalReal]]&gt;=Meta,1,0)</f>
        <v>0</v>
      </c>
      <c r="G386" s="21">
        <v>0</v>
      </c>
    </row>
    <row r="387" spans="1:7" ht="16.95" customHeight="1">
      <c r="A387" s="11">
        <v>379</v>
      </c>
      <c r="B387" s="24">
        <v>89927648.111170605</v>
      </c>
      <c r="C387" s="24">
        <v>64886941.997851789</v>
      </c>
      <c r="D387" s="24">
        <v>80268283.150604859</v>
      </c>
      <c r="E387" s="24">
        <f>TSim[[#This Row],[ValorFinalReal]]-TSim[[#This Row],[AportesReales]]</f>
        <v>15381341.15275307</v>
      </c>
      <c r="F387" s="19">
        <f>IF(TSim[[#This Row],[ValorFinalReal]]&gt;=Meta,1,0)</f>
        <v>1</v>
      </c>
      <c r="G387" s="21">
        <v>6.5429073460121501E-3</v>
      </c>
    </row>
    <row r="388" spans="1:7" ht="16.95" customHeight="1">
      <c r="A388" s="11">
        <v>380</v>
      </c>
      <c r="B388" s="24">
        <v>74933525.820987076</v>
      </c>
      <c r="C388" s="24">
        <v>65005117.55543521</v>
      </c>
      <c r="D388" s="24">
        <v>75265996.972482279</v>
      </c>
      <c r="E388" s="24">
        <f>TSim[[#This Row],[ValorFinalReal]]-TSim[[#This Row],[AportesReales]]</f>
        <v>10260879.417047068</v>
      </c>
      <c r="F388" s="19">
        <f>IF(TSim[[#This Row],[ValorFinalReal]]&gt;=Meta,1,0)</f>
        <v>0</v>
      </c>
      <c r="G388" s="21">
        <v>4.517798228198866E-3</v>
      </c>
    </row>
    <row r="389" spans="1:7" ht="16.95" customHeight="1">
      <c r="A389" s="11">
        <v>381</v>
      </c>
      <c r="B389" s="24">
        <v>77119798.914870039</v>
      </c>
      <c r="C389" s="24">
        <v>64967405.791903481</v>
      </c>
      <c r="D389" s="24">
        <v>74595848.588702202</v>
      </c>
      <c r="E389" s="24">
        <f>TSim[[#This Row],[ValorFinalReal]]-TSim[[#This Row],[AportesReales]]</f>
        <v>9628442.796798721</v>
      </c>
      <c r="F389" s="19">
        <f>IF(TSim[[#This Row],[ValorFinalReal]]&gt;=Meta,1,0)</f>
        <v>0</v>
      </c>
      <c r="G389" s="21">
        <v>0</v>
      </c>
    </row>
    <row r="390" spans="1:7" ht="16.95" customHeight="1">
      <c r="A390" s="11">
        <v>382</v>
      </c>
      <c r="B390" s="24">
        <v>81899668.743442297</v>
      </c>
      <c r="C390" s="24">
        <v>64958627.534320198</v>
      </c>
      <c r="D390" s="24">
        <v>78510760.549244165</v>
      </c>
      <c r="E390" s="24">
        <f>TSim[[#This Row],[ValorFinalReal]]-TSim[[#This Row],[AportesReales]]</f>
        <v>13552133.014923967</v>
      </c>
      <c r="F390" s="19">
        <f>IF(TSim[[#This Row],[ValorFinalReal]]&gt;=Meta,1,0)</f>
        <v>0</v>
      </c>
      <c r="G390" s="21">
        <v>1.7495777033231801E-3</v>
      </c>
    </row>
    <row r="391" spans="1:7" ht="16.95" customHeight="1">
      <c r="A391" s="11">
        <v>383</v>
      </c>
      <c r="B391" s="24">
        <v>109750126.447484</v>
      </c>
      <c r="C391" s="24">
        <v>64685710.203046307</v>
      </c>
      <c r="D391" s="24">
        <v>80030464.941068619</v>
      </c>
      <c r="E391" s="24">
        <f>TSim[[#This Row],[ValorFinalReal]]-TSim[[#This Row],[AportesReales]]</f>
        <v>15344754.738022313</v>
      </c>
      <c r="F391" s="19">
        <f>IF(TSim[[#This Row],[ValorFinalReal]]&gt;=Meta,1,0)</f>
        <v>1</v>
      </c>
      <c r="G391" s="21">
        <v>1.708400874996463E-3</v>
      </c>
    </row>
    <row r="392" spans="1:7" ht="16.95" customHeight="1">
      <c r="A392" s="11">
        <v>384</v>
      </c>
      <c r="B392" s="24">
        <v>90605525.464734733</v>
      </c>
      <c r="C392" s="24">
        <v>64851300.545678183</v>
      </c>
      <c r="D392" s="24">
        <v>78032986.238408238</v>
      </c>
      <c r="E392" s="24">
        <f>TSim[[#This Row],[ValorFinalReal]]-TSim[[#This Row],[AportesReales]]</f>
        <v>13181685.692730054</v>
      </c>
      <c r="F392" s="19">
        <f>IF(TSim[[#This Row],[ValorFinalReal]]&gt;=Meta,1,0)</f>
        <v>0</v>
      </c>
      <c r="G392" s="21">
        <v>1.2182451908515749E-2</v>
      </c>
    </row>
    <row r="393" spans="1:7" ht="16.95" customHeight="1">
      <c r="A393" s="11">
        <v>385</v>
      </c>
      <c r="B393" s="24">
        <v>87736749.219634786</v>
      </c>
      <c r="C393" s="24">
        <v>64746898.10435202</v>
      </c>
      <c r="D393" s="24">
        <v>68043075.073365241</v>
      </c>
      <c r="E393" s="24">
        <f>TSim[[#This Row],[ValorFinalReal]]-TSim[[#This Row],[AportesReales]]</f>
        <v>3296176.9690132216</v>
      </c>
      <c r="F393" s="19">
        <f>IF(TSim[[#This Row],[ValorFinalReal]]&gt;=Meta,1,0)</f>
        <v>0</v>
      </c>
      <c r="G393" s="21">
        <v>9.2227220600344939E-3</v>
      </c>
    </row>
    <row r="394" spans="1:7" ht="16.95" customHeight="1">
      <c r="A394" s="11">
        <v>386</v>
      </c>
      <c r="B394" s="24">
        <v>89808389.920151487</v>
      </c>
      <c r="C394" s="24">
        <v>64816381.759224594</v>
      </c>
      <c r="D394" s="24">
        <v>74697884.016969651</v>
      </c>
      <c r="E394" s="24">
        <f>TSim[[#This Row],[ValorFinalReal]]-TSim[[#This Row],[AportesReales]]</f>
        <v>9881502.2577450573</v>
      </c>
      <c r="F394" s="19">
        <f>IF(TSim[[#This Row],[ValorFinalReal]]&gt;=Meta,1,0)</f>
        <v>0</v>
      </c>
      <c r="G394" s="21">
        <v>8.1559053660765768E-3</v>
      </c>
    </row>
    <row r="395" spans="1:7" ht="16.95" customHeight="1">
      <c r="A395" s="11">
        <v>387</v>
      </c>
      <c r="B395" s="24">
        <v>74523626.32874909</v>
      </c>
      <c r="C395" s="24">
        <v>64924763.117564909</v>
      </c>
      <c r="D395" s="24">
        <v>69076155.052679583</v>
      </c>
      <c r="E395" s="24">
        <f>TSim[[#This Row],[ValorFinalReal]]-TSim[[#This Row],[AportesReales]]</f>
        <v>4151391.9351146743</v>
      </c>
      <c r="F395" s="19">
        <f>IF(TSim[[#This Row],[ValorFinalReal]]&gt;=Meta,1,0)</f>
        <v>0</v>
      </c>
      <c r="G395" s="21">
        <v>2.6620713193036272E-3</v>
      </c>
    </row>
    <row r="396" spans="1:7" ht="16.95" customHeight="1">
      <c r="A396" s="11">
        <v>388</v>
      </c>
      <c r="B396" s="24">
        <v>83440866.984499529</v>
      </c>
      <c r="C396" s="24">
        <v>65013238.390026256</v>
      </c>
      <c r="D396" s="24">
        <v>84494729.130800009</v>
      </c>
      <c r="E396" s="24">
        <f>TSim[[#This Row],[ValorFinalReal]]-TSim[[#This Row],[AportesReales]]</f>
        <v>19481490.740773752</v>
      </c>
      <c r="F396" s="19">
        <f>IF(TSim[[#This Row],[ValorFinalReal]]&gt;=Meta,1,0)</f>
        <v>1</v>
      </c>
      <c r="G396" s="21">
        <v>5.1053812982281288E-3</v>
      </c>
    </row>
    <row r="397" spans="1:7" ht="16.95" customHeight="1">
      <c r="A397" s="11">
        <v>389</v>
      </c>
      <c r="B397" s="24">
        <v>94044907.111236811</v>
      </c>
      <c r="C397" s="24">
        <v>64817633.427734829</v>
      </c>
      <c r="D397" s="24">
        <v>78296632.796879709</v>
      </c>
      <c r="E397" s="24">
        <f>TSim[[#This Row],[ValorFinalReal]]-TSim[[#This Row],[AportesReales]]</f>
        <v>13478999.369144879</v>
      </c>
      <c r="F397" s="19">
        <f>IF(TSim[[#This Row],[ValorFinalReal]]&gt;=Meta,1,0)</f>
        <v>0</v>
      </c>
      <c r="G397" s="21">
        <v>0</v>
      </c>
    </row>
    <row r="398" spans="1:7" ht="16.95" customHeight="1">
      <c r="A398" s="11">
        <v>390</v>
      </c>
      <c r="B398" s="24">
        <v>87692194.489079475</v>
      </c>
      <c r="C398" s="24">
        <v>64899303.479048267</v>
      </c>
      <c r="D398" s="24">
        <v>79248214.840710044</v>
      </c>
      <c r="E398" s="24">
        <f>TSim[[#This Row],[ValorFinalReal]]-TSim[[#This Row],[AportesReales]]</f>
        <v>14348911.361661777</v>
      </c>
      <c r="F398" s="19">
        <f>IF(TSim[[#This Row],[ValorFinalReal]]&gt;=Meta,1,0)</f>
        <v>0</v>
      </c>
      <c r="G398" s="21">
        <v>5.3304708717687443E-3</v>
      </c>
    </row>
    <row r="399" spans="1:7" ht="16.95" customHeight="1">
      <c r="A399" s="11">
        <v>391</v>
      </c>
      <c r="B399" s="24">
        <v>84122179.598173425</v>
      </c>
      <c r="C399" s="24">
        <v>64783199.448474169</v>
      </c>
      <c r="D399" s="24">
        <v>67666615.146011502</v>
      </c>
      <c r="E399" s="24">
        <f>TSim[[#This Row],[ValorFinalReal]]-TSim[[#This Row],[AportesReales]]</f>
        <v>2883415.6975373328</v>
      </c>
      <c r="F399" s="19">
        <f>IF(TSim[[#This Row],[ValorFinalReal]]&gt;=Meta,1,0)</f>
        <v>0</v>
      </c>
      <c r="G399" s="21">
        <v>3.0254754266324508E-3</v>
      </c>
    </row>
    <row r="400" spans="1:7" ht="16.95" customHeight="1">
      <c r="A400" s="11">
        <v>392</v>
      </c>
      <c r="B400" s="24">
        <v>91689407.34318918</v>
      </c>
      <c r="C400" s="24">
        <v>64809632.10394486</v>
      </c>
      <c r="D400" s="24">
        <v>75740027.61027588</v>
      </c>
      <c r="E400" s="24">
        <f>TSim[[#This Row],[ValorFinalReal]]-TSim[[#This Row],[AportesReales]]</f>
        <v>10930395.506331019</v>
      </c>
      <c r="F400" s="19">
        <f>IF(TSim[[#This Row],[ValorFinalReal]]&gt;=Meta,1,0)</f>
        <v>0</v>
      </c>
      <c r="G400" s="21">
        <v>0</v>
      </c>
    </row>
    <row r="401" spans="1:7" ht="16.95" customHeight="1">
      <c r="A401" s="11">
        <v>393</v>
      </c>
      <c r="B401" s="24">
        <v>89108435.027257785</v>
      </c>
      <c r="C401" s="24">
        <v>64821975.722810283</v>
      </c>
      <c r="D401" s="24">
        <v>74526356.264595538</v>
      </c>
      <c r="E401" s="24">
        <f>TSim[[#This Row],[ValorFinalReal]]-TSim[[#This Row],[AportesReales]]</f>
        <v>9704380.5417852551</v>
      </c>
      <c r="F401" s="19">
        <f>IF(TSim[[#This Row],[ValorFinalReal]]&gt;=Meta,1,0)</f>
        <v>0</v>
      </c>
      <c r="G401" s="21">
        <v>0</v>
      </c>
    </row>
    <row r="402" spans="1:7" ht="16.95" customHeight="1">
      <c r="A402" s="11">
        <v>394</v>
      </c>
      <c r="B402" s="24">
        <v>69260996.170685291</v>
      </c>
      <c r="C402" s="24">
        <v>64885232.106971353</v>
      </c>
      <c r="D402" s="24">
        <v>61687478.24794066</v>
      </c>
      <c r="E402" s="24">
        <f>TSim[[#This Row],[ValorFinalReal]]-TSim[[#This Row],[AportesReales]]</f>
        <v>-3197753.8590306938</v>
      </c>
      <c r="F402" s="19">
        <f>IF(TSim[[#This Row],[ValorFinalReal]]&gt;=Meta,1,0)</f>
        <v>0</v>
      </c>
      <c r="G402" s="21">
        <v>8.0553133093985707E-3</v>
      </c>
    </row>
    <row r="403" spans="1:7" ht="16.95" customHeight="1">
      <c r="A403" s="11">
        <v>395</v>
      </c>
      <c r="B403" s="24">
        <v>91831772.73148568</v>
      </c>
      <c r="C403" s="24">
        <v>64873256.566496387</v>
      </c>
      <c r="D403" s="24">
        <v>80842368.441538393</v>
      </c>
      <c r="E403" s="24">
        <f>TSim[[#This Row],[ValorFinalReal]]-TSim[[#This Row],[AportesReales]]</f>
        <v>15969111.875042006</v>
      </c>
      <c r="F403" s="19">
        <f>IF(TSim[[#This Row],[ValorFinalReal]]&gt;=Meta,1,0)</f>
        <v>1</v>
      </c>
      <c r="G403" s="21">
        <v>0</v>
      </c>
    </row>
    <row r="404" spans="1:7" ht="16.95" customHeight="1">
      <c r="A404" s="11">
        <v>396</v>
      </c>
      <c r="B404" s="24">
        <v>103621262.6251715</v>
      </c>
      <c r="C404" s="24">
        <v>64655446.739480652</v>
      </c>
      <c r="D404" s="24">
        <v>73321910.628751412</v>
      </c>
      <c r="E404" s="24">
        <f>TSim[[#This Row],[ValorFinalReal]]-TSim[[#This Row],[AportesReales]]</f>
        <v>8666463.8892707601</v>
      </c>
      <c r="F404" s="19">
        <f>IF(TSim[[#This Row],[ValorFinalReal]]&gt;=Meta,1,0)</f>
        <v>0</v>
      </c>
      <c r="G404" s="21">
        <v>0</v>
      </c>
    </row>
    <row r="405" spans="1:7" ht="16.95" customHeight="1">
      <c r="A405" s="11">
        <v>397</v>
      </c>
      <c r="B405" s="24">
        <v>91732036.431643069</v>
      </c>
      <c r="C405" s="24">
        <v>64753267.000189111</v>
      </c>
      <c r="D405" s="24">
        <v>71591599.87207137</v>
      </c>
      <c r="E405" s="24">
        <f>TSim[[#This Row],[ValorFinalReal]]-TSim[[#This Row],[AportesReales]]</f>
        <v>6838332.8718822598</v>
      </c>
      <c r="F405" s="19">
        <f>IF(TSim[[#This Row],[ValorFinalReal]]&gt;=Meta,1,0)</f>
        <v>0</v>
      </c>
      <c r="G405" s="21">
        <v>5.0379934226327796E-3</v>
      </c>
    </row>
    <row r="406" spans="1:7" ht="16.95" customHeight="1">
      <c r="A406" s="11">
        <v>398</v>
      </c>
      <c r="B406" s="24">
        <v>96736616.353892714</v>
      </c>
      <c r="C406" s="24">
        <v>64857019.488444068</v>
      </c>
      <c r="D406" s="24">
        <v>83802310.823293388</v>
      </c>
      <c r="E406" s="24">
        <f>TSim[[#This Row],[ValorFinalReal]]-TSim[[#This Row],[AportesReales]]</f>
        <v>18945291.33484932</v>
      </c>
      <c r="F406" s="19">
        <f>IF(TSim[[#This Row],[ValorFinalReal]]&gt;=Meta,1,0)</f>
        <v>1</v>
      </c>
      <c r="G406" s="21">
        <v>0</v>
      </c>
    </row>
    <row r="407" spans="1:7" ht="16.95" customHeight="1">
      <c r="A407" s="11">
        <v>399</v>
      </c>
      <c r="B407" s="24">
        <v>98665376.385471299</v>
      </c>
      <c r="C407" s="24">
        <v>64686842.841567591</v>
      </c>
      <c r="D407" s="24">
        <v>72040267.965031832</v>
      </c>
      <c r="E407" s="24">
        <f>TSim[[#This Row],[ValorFinalReal]]-TSim[[#This Row],[AportesReales]]</f>
        <v>7353425.1234642416</v>
      </c>
      <c r="F407" s="19">
        <f>IF(TSim[[#This Row],[ValorFinalReal]]&gt;=Meta,1,0)</f>
        <v>0</v>
      </c>
      <c r="G407" s="21">
        <v>1.160933013155907E-2</v>
      </c>
    </row>
    <row r="408" spans="1:7" ht="16.95" customHeight="1">
      <c r="A408" s="11">
        <v>400</v>
      </c>
      <c r="B408" s="24">
        <v>83770318.176410466</v>
      </c>
      <c r="C408" s="24">
        <v>64785430.921237551</v>
      </c>
      <c r="D408" s="24">
        <v>67526752.705180496</v>
      </c>
      <c r="E408" s="24">
        <f>TSim[[#This Row],[ValorFinalReal]]-TSim[[#This Row],[AportesReales]]</f>
        <v>2741321.7839429453</v>
      </c>
      <c r="F408" s="19">
        <f>IF(TSim[[#This Row],[ValorFinalReal]]&gt;=Meta,1,0)</f>
        <v>0</v>
      </c>
      <c r="G408" s="21">
        <v>2.468482059467858E-2</v>
      </c>
    </row>
    <row r="409" spans="1:7" ht="16.95" customHeight="1">
      <c r="A409" s="11">
        <v>401</v>
      </c>
      <c r="B409" s="24">
        <v>87391491.771429196</v>
      </c>
      <c r="C409" s="24">
        <v>64912655.107410207</v>
      </c>
      <c r="D409" s="24">
        <v>80024546.511554703</v>
      </c>
      <c r="E409" s="24">
        <f>TSim[[#This Row],[ValorFinalReal]]-TSim[[#This Row],[AportesReales]]</f>
        <v>15111891.404144496</v>
      </c>
      <c r="F409" s="19">
        <f>IF(TSim[[#This Row],[ValorFinalReal]]&gt;=Meta,1,0)</f>
        <v>1</v>
      </c>
      <c r="G409" s="21">
        <v>0</v>
      </c>
    </row>
    <row r="410" spans="1:7" ht="16.95" customHeight="1">
      <c r="A410" s="11">
        <v>402</v>
      </c>
      <c r="B410" s="24">
        <v>83824053.727690771</v>
      </c>
      <c r="C410" s="24">
        <v>64867456.212063201</v>
      </c>
      <c r="D410" s="24">
        <v>73376903.060206741</v>
      </c>
      <c r="E410" s="24">
        <f>TSim[[#This Row],[ValorFinalReal]]-TSim[[#This Row],[AportesReales]]</f>
        <v>8509446.8481435403</v>
      </c>
      <c r="F410" s="19">
        <f>IF(TSim[[#This Row],[ValorFinalReal]]&gt;=Meta,1,0)</f>
        <v>0</v>
      </c>
      <c r="G410" s="21">
        <v>8.7906172887410872E-3</v>
      </c>
    </row>
    <row r="411" spans="1:7" ht="16.95" customHeight="1">
      <c r="A411" s="11">
        <v>403</v>
      </c>
      <c r="B411" s="24">
        <v>97372799.40755251</v>
      </c>
      <c r="C411" s="24">
        <v>64801810.633739382</v>
      </c>
      <c r="D411" s="24">
        <v>79818156.623552337</v>
      </c>
      <c r="E411" s="24">
        <f>TSim[[#This Row],[ValorFinalReal]]-TSim[[#This Row],[AportesReales]]</f>
        <v>15016345.989812955</v>
      </c>
      <c r="F411" s="19">
        <f>IF(TSim[[#This Row],[ValorFinalReal]]&gt;=Meta,1,0)</f>
        <v>0</v>
      </c>
      <c r="G411" s="21">
        <v>1.343612250603865E-4</v>
      </c>
    </row>
    <row r="412" spans="1:7" ht="16.95" customHeight="1">
      <c r="A412" s="11">
        <v>404</v>
      </c>
      <c r="B412" s="24">
        <v>90539684.363573641</v>
      </c>
      <c r="C412" s="24">
        <v>64880691.257682741</v>
      </c>
      <c r="D412" s="24">
        <v>80310608.143432274</v>
      </c>
      <c r="E412" s="24">
        <f>TSim[[#This Row],[ValorFinalReal]]-TSim[[#This Row],[AportesReales]]</f>
        <v>15429916.885749534</v>
      </c>
      <c r="F412" s="19">
        <f>IF(TSim[[#This Row],[ValorFinalReal]]&gt;=Meta,1,0)</f>
        <v>1</v>
      </c>
      <c r="G412" s="21">
        <v>2.0164579926800541E-2</v>
      </c>
    </row>
    <row r="413" spans="1:7" ht="16.95" customHeight="1">
      <c r="A413" s="11">
        <v>405</v>
      </c>
      <c r="B413" s="24">
        <v>84959555.70179598</v>
      </c>
      <c r="C413" s="24">
        <v>64991179.740524389</v>
      </c>
      <c r="D413" s="24">
        <v>84171477.608677953</v>
      </c>
      <c r="E413" s="24">
        <f>TSim[[#This Row],[ValorFinalReal]]-TSim[[#This Row],[AportesReales]]</f>
        <v>19180297.868153565</v>
      </c>
      <c r="F413" s="19">
        <f>IF(TSim[[#This Row],[ValorFinalReal]]&gt;=Meta,1,0)</f>
        <v>1</v>
      </c>
      <c r="G413" s="21">
        <v>7.7806345192272808E-3</v>
      </c>
    </row>
    <row r="414" spans="1:7" ht="16.95" customHeight="1">
      <c r="A414" s="11">
        <v>406</v>
      </c>
      <c r="B414" s="24">
        <v>80984637.327856675</v>
      </c>
      <c r="C414" s="24">
        <v>64916034.377095327</v>
      </c>
      <c r="D414" s="24">
        <v>74429414.243860632</v>
      </c>
      <c r="E414" s="24">
        <f>TSim[[#This Row],[ValorFinalReal]]-TSim[[#This Row],[AportesReales]]</f>
        <v>9513379.8667653054</v>
      </c>
      <c r="F414" s="19">
        <f>IF(TSim[[#This Row],[ValorFinalReal]]&gt;=Meta,1,0)</f>
        <v>0</v>
      </c>
      <c r="G414" s="21">
        <v>2.740289590720812E-3</v>
      </c>
    </row>
    <row r="415" spans="1:7" ht="16.95" customHeight="1">
      <c r="A415" s="11">
        <v>407</v>
      </c>
      <c r="B415" s="24">
        <v>82308825.388586268</v>
      </c>
      <c r="C415" s="24">
        <v>64922223.510266557</v>
      </c>
      <c r="D415" s="24">
        <v>76099442.691317677</v>
      </c>
      <c r="E415" s="24">
        <f>TSim[[#This Row],[ValorFinalReal]]-TSim[[#This Row],[AportesReales]]</f>
        <v>11177219.18105112</v>
      </c>
      <c r="F415" s="19">
        <f>IF(TSim[[#This Row],[ValorFinalReal]]&gt;=Meta,1,0)</f>
        <v>0</v>
      </c>
      <c r="G415" s="21">
        <v>1.301124095304707E-2</v>
      </c>
    </row>
    <row r="416" spans="1:7" ht="16.95" customHeight="1">
      <c r="A416" s="11">
        <v>408</v>
      </c>
      <c r="B416" s="24">
        <v>83882298.41401422</v>
      </c>
      <c r="C416" s="24">
        <v>64755100.479738154</v>
      </c>
      <c r="D416" s="24">
        <v>65613296.068319343</v>
      </c>
      <c r="E416" s="24">
        <f>TSim[[#This Row],[ValorFinalReal]]-TSim[[#This Row],[AportesReales]]</f>
        <v>858195.58858118951</v>
      </c>
      <c r="F416" s="19">
        <f>IF(TSim[[#This Row],[ValorFinalReal]]&gt;=Meta,1,0)</f>
        <v>0</v>
      </c>
      <c r="G416" s="21">
        <v>4.8348227044671122E-3</v>
      </c>
    </row>
    <row r="417" spans="1:7" ht="16.95" customHeight="1">
      <c r="A417" s="11">
        <v>409</v>
      </c>
      <c r="B417" s="24">
        <v>94608495.017166719</v>
      </c>
      <c r="C417" s="24">
        <v>64821753.080236427</v>
      </c>
      <c r="D417" s="24">
        <v>79102129.958734363</v>
      </c>
      <c r="E417" s="24">
        <f>TSim[[#This Row],[ValorFinalReal]]-TSim[[#This Row],[AportesReales]]</f>
        <v>14280376.878497936</v>
      </c>
      <c r="F417" s="19">
        <f>IF(TSim[[#This Row],[ValorFinalReal]]&gt;=Meta,1,0)</f>
        <v>0</v>
      </c>
      <c r="G417" s="21">
        <v>0</v>
      </c>
    </row>
    <row r="418" spans="1:7" ht="16.95" customHeight="1">
      <c r="A418" s="11">
        <v>410</v>
      </c>
      <c r="B418" s="24">
        <v>84037691.265372351</v>
      </c>
      <c r="C418" s="24">
        <v>64769950.406055219</v>
      </c>
      <c r="D418" s="24">
        <v>66709760.265298687</v>
      </c>
      <c r="E418" s="24">
        <f>TSim[[#This Row],[ValorFinalReal]]-TSim[[#This Row],[AportesReales]]</f>
        <v>1939809.8592434675</v>
      </c>
      <c r="F418" s="19">
        <f>IF(TSim[[#This Row],[ValorFinalReal]]&gt;=Meta,1,0)</f>
        <v>0</v>
      </c>
      <c r="G418" s="21">
        <v>9.1824308498518192E-3</v>
      </c>
    </row>
    <row r="419" spans="1:7" ht="16.95" customHeight="1">
      <c r="A419" s="11">
        <v>411</v>
      </c>
      <c r="B419" s="24">
        <v>93451060.62198478</v>
      </c>
      <c r="C419" s="24">
        <v>64957126.403430432</v>
      </c>
      <c r="D419" s="24">
        <v>89479282.081880063</v>
      </c>
      <c r="E419" s="24">
        <f>TSim[[#This Row],[ValorFinalReal]]-TSim[[#This Row],[AportesReales]]</f>
        <v>24522155.678449631</v>
      </c>
      <c r="F419" s="19">
        <f>IF(TSim[[#This Row],[ValorFinalReal]]&gt;=Meta,1,0)</f>
        <v>1</v>
      </c>
      <c r="G419" s="21">
        <v>0</v>
      </c>
    </row>
    <row r="420" spans="1:7" ht="16.95" customHeight="1">
      <c r="A420" s="11">
        <v>412</v>
      </c>
      <c r="B420" s="24">
        <v>90699815.017757297</v>
      </c>
      <c r="C420" s="24">
        <v>64881140.594337262</v>
      </c>
      <c r="D420" s="24">
        <v>80472710.979634643</v>
      </c>
      <c r="E420" s="24">
        <f>TSim[[#This Row],[ValorFinalReal]]-TSim[[#This Row],[AportesReales]]</f>
        <v>15591570.38529738</v>
      </c>
      <c r="F420" s="19">
        <f>IF(TSim[[#This Row],[ValorFinalReal]]&gt;=Meta,1,0)</f>
        <v>1</v>
      </c>
      <c r="G420" s="21">
        <v>0</v>
      </c>
    </row>
    <row r="421" spans="1:7" ht="16.95" customHeight="1">
      <c r="A421" s="11">
        <v>413</v>
      </c>
      <c r="B421" s="24">
        <v>87005381.984790713</v>
      </c>
      <c r="C421" s="24">
        <v>64933080.460005417</v>
      </c>
      <c r="D421" s="24">
        <v>81339937.89662309</v>
      </c>
      <c r="E421" s="24">
        <f>TSim[[#This Row],[ValorFinalReal]]-TSim[[#This Row],[AportesReales]]</f>
        <v>16406857.436617672</v>
      </c>
      <c r="F421" s="19">
        <f>IF(TSim[[#This Row],[ValorFinalReal]]&gt;=Meta,1,0)</f>
        <v>1</v>
      </c>
      <c r="G421" s="21">
        <v>1.6321981515494469E-2</v>
      </c>
    </row>
    <row r="422" spans="1:7" ht="16.95" customHeight="1">
      <c r="A422" s="11">
        <v>414</v>
      </c>
      <c r="B422" s="24">
        <v>89227020.832641542</v>
      </c>
      <c r="C422" s="24">
        <v>64861024.939782239</v>
      </c>
      <c r="D422" s="24">
        <v>77586954.739063472</v>
      </c>
      <c r="E422" s="24">
        <f>TSim[[#This Row],[ValorFinalReal]]-TSim[[#This Row],[AportesReales]]</f>
        <v>12725929.799281232</v>
      </c>
      <c r="F422" s="19">
        <f>IF(TSim[[#This Row],[ValorFinalReal]]&gt;=Meta,1,0)</f>
        <v>0</v>
      </c>
      <c r="G422" s="21">
        <v>1.226465256969789E-2</v>
      </c>
    </row>
    <row r="423" spans="1:7" ht="16.95" customHeight="1">
      <c r="A423" s="11">
        <v>415</v>
      </c>
      <c r="B423" s="24">
        <v>91929363.189319208</v>
      </c>
      <c r="C423" s="24">
        <v>64819303.039137363</v>
      </c>
      <c r="D423" s="24">
        <v>76653806.838306233</v>
      </c>
      <c r="E423" s="24">
        <f>TSim[[#This Row],[ValorFinalReal]]-TSim[[#This Row],[AportesReales]]</f>
        <v>11834503.79916887</v>
      </c>
      <c r="F423" s="19">
        <f>IF(TSim[[#This Row],[ValorFinalReal]]&gt;=Meta,1,0)</f>
        <v>0</v>
      </c>
      <c r="G423" s="21">
        <v>0</v>
      </c>
    </row>
    <row r="424" spans="1:7" ht="16.95" customHeight="1">
      <c r="A424" s="11">
        <v>416</v>
      </c>
      <c r="B424" s="24">
        <v>79452881.580254272</v>
      </c>
      <c r="C424" s="24">
        <v>64946658.938845448</v>
      </c>
      <c r="D424" s="24">
        <v>75291925.632170588</v>
      </c>
      <c r="E424" s="24">
        <f>TSim[[#This Row],[ValorFinalReal]]-TSim[[#This Row],[AportesReales]]</f>
        <v>10345266.69332514</v>
      </c>
      <c r="F424" s="19">
        <f>IF(TSim[[#This Row],[ValorFinalReal]]&gt;=Meta,1,0)</f>
        <v>0</v>
      </c>
      <c r="G424" s="21">
        <v>1.3610468360984229E-2</v>
      </c>
    </row>
    <row r="425" spans="1:7" ht="16.95" customHeight="1">
      <c r="A425" s="11">
        <v>417</v>
      </c>
      <c r="B425" s="24">
        <v>88315601.437596306</v>
      </c>
      <c r="C425" s="24">
        <v>64787399.297714397</v>
      </c>
      <c r="D425" s="24">
        <v>71350851.388355553</v>
      </c>
      <c r="E425" s="24">
        <f>TSim[[#This Row],[ValorFinalReal]]-TSim[[#This Row],[AportesReales]]</f>
        <v>6563452.0906411558</v>
      </c>
      <c r="F425" s="19">
        <f>IF(TSim[[#This Row],[ValorFinalReal]]&gt;=Meta,1,0)</f>
        <v>0</v>
      </c>
      <c r="G425" s="21">
        <v>5.1247673335834687E-3</v>
      </c>
    </row>
    <row r="426" spans="1:7" ht="16.95" customHeight="1">
      <c r="A426" s="11">
        <v>418</v>
      </c>
      <c r="B426" s="24">
        <v>94193063.767268911</v>
      </c>
      <c r="C426" s="24">
        <v>64792980.867328063</v>
      </c>
      <c r="D426" s="24">
        <v>76506875.643954054</v>
      </c>
      <c r="E426" s="24">
        <f>TSim[[#This Row],[ValorFinalReal]]-TSim[[#This Row],[AportesReales]]</f>
        <v>11713894.776625991</v>
      </c>
      <c r="F426" s="19">
        <f>IF(TSim[[#This Row],[ValorFinalReal]]&gt;=Meta,1,0)</f>
        <v>0</v>
      </c>
      <c r="G426" s="21">
        <v>4.8258971509423931E-3</v>
      </c>
    </row>
    <row r="427" spans="1:7" ht="16.95" customHeight="1">
      <c r="A427" s="11">
        <v>419</v>
      </c>
      <c r="B427" s="24">
        <v>96300967.938180268</v>
      </c>
      <c r="C427" s="24">
        <v>64811044.314949393</v>
      </c>
      <c r="D427" s="24">
        <v>79662965.433981866</v>
      </c>
      <c r="E427" s="24">
        <f>TSim[[#This Row],[ValorFinalReal]]-TSim[[#This Row],[AportesReales]]</f>
        <v>14851921.119032472</v>
      </c>
      <c r="F427" s="19">
        <f>IF(TSim[[#This Row],[ValorFinalReal]]&gt;=Meta,1,0)</f>
        <v>0</v>
      </c>
      <c r="G427" s="21">
        <v>0</v>
      </c>
    </row>
    <row r="428" spans="1:7" ht="16.95" customHeight="1">
      <c r="A428" s="11">
        <v>420</v>
      </c>
      <c r="B428" s="24">
        <v>80006752.932783023</v>
      </c>
      <c r="C428" s="24">
        <v>64936571.324875243</v>
      </c>
      <c r="D428" s="24">
        <v>75048321.581760272</v>
      </c>
      <c r="E428" s="24">
        <f>TSim[[#This Row],[ValorFinalReal]]-TSim[[#This Row],[AportesReales]]</f>
        <v>10111750.256885029</v>
      </c>
      <c r="F428" s="19">
        <f>IF(TSim[[#This Row],[ValorFinalReal]]&gt;=Meta,1,0)</f>
        <v>0</v>
      </c>
      <c r="G428" s="21">
        <v>0</v>
      </c>
    </row>
    <row r="429" spans="1:7" ht="16.95" customHeight="1">
      <c r="A429" s="11">
        <v>421</v>
      </c>
      <c r="B429" s="24">
        <v>92470848.041682422</v>
      </c>
      <c r="C429" s="24">
        <v>64858136.100749247</v>
      </c>
      <c r="D429" s="24">
        <v>80144908.147798717</v>
      </c>
      <c r="E429" s="24">
        <f>TSim[[#This Row],[ValorFinalReal]]-TSim[[#This Row],[AportesReales]]</f>
        <v>15286772.04704947</v>
      </c>
      <c r="F429" s="19">
        <f>IF(TSim[[#This Row],[ValorFinalReal]]&gt;=Meta,1,0)</f>
        <v>1</v>
      </c>
      <c r="G429" s="21">
        <v>1.6270441454098949E-2</v>
      </c>
    </row>
    <row r="430" spans="1:7" ht="16.95" customHeight="1">
      <c r="A430" s="11">
        <v>422</v>
      </c>
      <c r="B430" s="24">
        <v>104608812.3304964</v>
      </c>
      <c r="C430" s="24">
        <v>64683574.049500607</v>
      </c>
      <c r="D430" s="24">
        <v>76092829.43566902</v>
      </c>
      <c r="E430" s="24">
        <f>TSim[[#This Row],[ValorFinalReal]]-TSim[[#This Row],[AportesReales]]</f>
        <v>11409255.386168413</v>
      </c>
      <c r="F430" s="19">
        <f>IF(TSim[[#This Row],[ValorFinalReal]]&gt;=Meta,1,0)</f>
        <v>0</v>
      </c>
      <c r="G430" s="21">
        <v>3.569361790311421E-3</v>
      </c>
    </row>
    <row r="431" spans="1:7" ht="16.95" customHeight="1">
      <c r="A431" s="11">
        <v>423</v>
      </c>
      <c r="B431" s="24">
        <v>92733489.551463723</v>
      </c>
      <c r="C431" s="24">
        <v>64874461.822516687</v>
      </c>
      <c r="D431" s="24">
        <v>81748057.140103966</v>
      </c>
      <c r="E431" s="24">
        <f>TSim[[#This Row],[ValorFinalReal]]-TSim[[#This Row],[AportesReales]]</f>
        <v>16873595.317587279</v>
      </c>
      <c r="F431" s="19">
        <f>IF(TSim[[#This Row],[ValorFinalReal]]&gt;=Meta,1,0)</f>
        <v>1</v>
      </c>
      <c r="G431" s="21">
        <v>0</v>
      </c>
    </row>
    <row r="432" spans="1:7" ht="16.95" customHeight="1">
      <c r="A432" s="11">
        <v>424</v>
      </c>
      <c r="B432" s="24">
        <v>73176232.677019313</v>
      </c>
      <c r="C432" s="24">
        <v>65019937.743314579</v>
      </c>
      <c r="D432" s="24">
        <v>74594771.54205595</v>
      </c>
      <c r="E432" s="24">
        <f>TSim[[#This Row],[ValorFinalReal]]-TSim[[#This Row],[AportesReales]]</f>
        <v>9574833.7987413704</v>
      </c>
      <c r="F432" s="19">
        <f>IF(TSim[[#This Row],[ValorFinalReal]]&gt;=Meta,1,0)</f>
        <v>0</v>
      </c>
      <c r="G432" s="21">
        <v>4.9199704143356726E-3</v>
      </c>
    </row>
    <row r="433" spans="1:7" ht="16.95" customHeight="1">
      <c r="A433" s="11">
        <v>425</v>
      </c>
      <c r="B433" s="24">
        <v>85176522.353419721</v>
      </c>
      <c r="C433" s="24">
        <v>64802467.537036501</v>
      </c>
      <c r="D433" s="24">
        <v>69831005.990518823</v>
      </c>
      <c r="E433" s="24">
        <f>TSim[[#This Row],[ValorFinalReal]]-TSim[[#This Row],[AportesReales]]</f>
        <v>5028538.4534823224</v>
      </c>
      <c r="F433" s="19">
        <f>IF(TSim[[#This Row],[ValorFinalReal]]&gt;=Meta,1,0)</f>
        <v>0</v>
      </c>
      <c r="G433" s="21">
        <v>4.4554934090844664E-3</v>
      </c>
    </row>
    <row r="434" spans="1:7" ht="16.95" customHeight="1">
      <c r="A434" s="11">
        <v>426</v>
      </c>
      <c r="B434" s="24">
        <v>92298116.645059675</v>
      </c>
      <c r="C434" s="24">
        <v>64974004.240600303</v>
      </c>
      <c r="D434" s="24">
        <v>89903232.288291112</v>
      </c>
      <c r="E434" s="24">
        <f>TSim[[#This Row],[ValorFinalReal]]-TSim[[#This Row],[AportesReales]]</f>
        <v>24929228.047690809</v>
      </c>
      <c r="F434" s="19">
        <f>IF(TSim[[#This Row],[ValorFinalReal]]&gt;=Meta,1,0)</f>
        <v>1</v>
      </c>
      <c r="G434" s="21">
        <v>0</v>
      </c>
    </row>
    <row r="435" spans="1:7" ht="16.95" customHeight="1">
      <c r="A435" s="11">
        <v>427</v>
      </c>
      <c r="B435" s="24">
        <v>83175463.197527915</v>
      </c>
      <c r="C435" s="24">
        <v>64841779.302031033</v>
      </c>
      <c r="D435" s="24">
        <v>70954165.995437145</v>
      </c>
      <c r="E435" s="24">
        <f>TSim[[#This Row],[ValorFinalReal]]-TSim[[#This Row],[AportesReales]]</f>
        <v>6112386.6934061125</v>
      </c>
      <c r="F435" s="19">
        <f>IF(TSim[[#This Row],[ValorFinalReal]]&gt;=Meta,1,0)</f>
        <v>0</v>
      </c>
      <c r="G435" s="21">
        <v>3.7761781421462581E-3</v>
      </c>
    </row>
    <row r="436" spans="1:7" ht="16.95" customHeight="1">
      <c r="A436" s="11">
        <v>428</v>
      </c>
      <c r="B436" s="24">
        <v>89913695.180312291</v>
      </c>
      <c r="C436" s="24">
        <v>64839689.342679523</v>
      </c>
      <c r="D436" s="24">
        <v>76531755.10869813</v>
      </c>
      <c r="E436" s="24">
        <f>TSim[[#This Row],[ValorFinalReal]]-TSim[[#This Row],[AportesReales]]</f>
        <v>11692065.766018607</v>
      </c>
      <c r="F436" s="19">
        <f>IF(TSim[[#This Row],[ValorFinalReal]]&gt;=Meta,1,0)</f>
        <v>0</v>
      </c>
      <c r="G436" s="21">
        <v>0</v>
      </c>
    </row>
    <row r="437" spans="1:7" ht="16.95" customHeight="1">
      <c r="A437" s="11">
        <v>429</v>
      </c>
      <c r="B437" s="24">
        <v>88366376.525402606</v>
      </c>
      <c r="C437" s="24">
        <v>64909782.99908518</v>
      </c>
      <c r="D437" s="24">
        <v>80692278.833968967</v>
      </c>
      <c r="E437" s="24">
        <f>TSim[[#This Row],[ValorFinalReal]]-TSim[[#This Row],[AportesReales]]</f>
        <v>15782495.834883787</v>
      </c>
      <c r="F437" s="19">
        <f>IF(TSim[[#This Row],[ValorFinalReal]]&gt;=Meta,1,0)</f>
        <v>1</v>
      </c>
      <c r="G437" s="21">
        <v>6.9906225544000833E-3</v>
      </c>
    </row>
    <row r="438" spans="1:7" ht="16.95" customHeight="1">
      <c r="A438" s="11">
        <v>430</v>
      </c>
      <c r="B438" s="24">
        <v>77713023.747628257</v>
      </c>
      <c r="C438" s="24">
        <v>64992218.196678519</v>
      </c>
      <c r="D438" s="24">
        <v>77086475.991289601</v>
      </c>
      <c r="E438" s="24">
        <f>TSim[[#This Row],[ValorFinalReal]]-TSim[[#This Row],[AportesReales]]</f>
        <v>12094257.794611081</v>
      </c>
      <c r="F438" s="19">
        <f>IF(TSim[[#This Row],[ValorFinalReal]]&gt;=Meta,1,0)</f>
        <v>0</v>
      </c>
      <c r="G438" s="21">
        <v>0</v>
      </c>
    </row>
    <row r="439" spans="1:7" ht="16.95" customHeight="1">
      <c r="A439" s="11">
        <v>431</v>
      </c>
      <c r="B439" s="24">
        <v>86192019.935651213</v>
      </c>
      <c r="C439" s="24">
        <v>64982971.63747853</v>
      </c>
      <c r="D439" s="24">
        <v>84668852.390073389</v>
      </c>
      <c r="E439" s="24">
        <f>TSim[[#This Row],[ValorFinalReal]]-TSim[[#This Row],[AportesReales]]</f>
        <v>19685880.752594858</v>
      </c>
      <c r="F439" s="19">
        <f>IF(TSim[[#This Row],[ValorFinalReal]]&gt;=Meta,1,0)</f>
        <v>1</v>
      </c>
      <c r="G439" s="21">
        <v>1.075777918639542E-2</v>
      </c>
    </row>
    <row r="440" spans="1:7" ht="16.95" customHeight="1">
      <c r="A440" s="11">
        <v>432</v>
      </c>
      <c r="B440" s="24">
        <v>108995972.8253932</v>
      </c>
      <c r="C440" s="24">
        <v>64798141.271417603</v>
      </c>
      <c r="D440" s="24">
        <v>88986103.026585251</v>
      </c>
      <c r="E440" s="24">
        <f>TSim[[#This Row],[ValorFinalReal]]-TSim[[#This Row],[AportesReales]]</f>
        <v>24187961.755167648</v>
      </c>
      <c r="F440" s="19">
        <f>IF(TSim[[#This Row],[ValorFinalReal]]&gt;=Meta,1,0)</f>
        <v>1</v>
      </c>
      <c r="G440" s="21">
        <v>0</v>
      </c>
    </row>
    <row r="441" spans="1:7" ht="16.95" customHeight="1">
      <c r="A441" s="11">
        <v>433</v>
      </c>
      <c r="B441" s="24">
        <v>86034606.110204294</v>
      </c>
      <c r="C441" s="24">
        <v>64882960.591907047</v>
      </c>
      <c r="D441" s="24">
        <v>76493472.34893243</v>
      </c>
      <c r="E441" s="24">
        <f>TSim[[#This Row],[ValorFinalReal]]-TSim[[#This Row],[AportesReales]]</f>
        <v>11610511.757025383</v>
      </c>
      <c r="F441" s="19">
        <f>IF(TSim[[#This Row],[ValorFinalReal]]&gt;=Meta,1,0)</f>
        <v>0</v>
      </c>
      <c r="G441" s="21">
        <v>0</v>
      </c>
    </row>
    <row r="442" spans="1:7" ht="16.95" customHeight="1">
      <c r="A442" s="11">
        <v>434</v>
      </c>
      <c r="B442" s="24">
        <v>82115562.014621124</v>
      </c>
      <c r="C442" s="24">
        <v>64790303.811920978</v>
      </c>
      <c r="D442" s="24">
        <v>66521245.772059821</v>
      </c>
      <c r="E442" s="24">
        <f>TSim[[#This Row],[ValorFinalReal]]-TSim[[#This Row],[AportesReales]]</f>
        <v>1730941.9601388425</v>
      </c>
      <c r="F442" s="19">
        <f>IF(TSim[[#This Row],[ValorFinalReal]]&gt;=Meta,1,0)</f>
        <v>0</v>
      </c>
      <c r="G442" s="21">
        <v>1.488985638861484E-2</v>
      </c>
    </row>
    <row r="443" spans="1:7" ht="16.95" customHeight="1">
      <c r="A443" s="11">
        <v>435</v>
      </c>
      <c r="B443" s="24">
        <v>103872126.50921451</v>
      </c>
      <c r="C443" s="24">
        <v>64721744.019858189</v>
      </c>
      <c r="D443" s="24">
        <v>78540689.928509802</v>
      </c>
      <c r="E443" s="24">
        <f>TSim[[#This Row],[ValorFinalReal]]-TSim[[#This Row],[AportesReales]]</f>
        <v>13818945.908651613</v>
      </c>
      <c r="F443" s="19">
        <f>IF(TSim[[#This Row],[ValorFinalReal]]&gt;=Meta,1,0)</f>
        <v>0</v>
      </c>
      <c r="G443" s="21">
        <v>8.9931712449070611E-3</v>
      </c>
    </row>
    <row r="444" spans="1:7" ht="16.95" customHeight="1">
      <c r="A444" s="11">
        <v>436</v>
      </c>
      <c r="B444" s="24">
        <v>83341414.403783128</v>
      </c>
      <c r="C444" s="24">
        <v>64841988.35496898</v>
      </c>
      <c r="D444" s="24">
        <v>71121889.783301681</v>
      </c>
      <c r="E444" s="24">
        <f>TSim[[#This Row],[ValorFinalReal]]-TSim[[#This Row],[AportesReales]]</f>
        <v>6279901.4283327013</v>
      </c>
      <c r="F444" s="19">
        <f>IF(TSim[[#This Row],[ValorFinalReal]]&gt;=Meta,1,0)</f>
        <v>0</v>
      </c>
      <c r="G444" s="21">
        <v>4.3987456570718786E-3</v>
      </c>
    </row>
    <row r="445" spans="1:7" ht="16.95" customHeight="1">
      <c r="A445" s="11">
        <v>437</v>
      </c>
      <c r="B445" s="24">
        <v>102132789.5026411</v>
      </c>
      <c r="C445" s="24">
        <v>64863989.715765662</v>
      </c>
      <c r="D445" s="24">
        <v>89077377.926216051</v>
      </c>
      <c r="E445" s="24">
        <f>TSim[[#This Row],[ValorFinalReal]]-TSim[[#This Row],[AportesReales]]</f>
        <v>24213388.210450388</v>
      </c>
      <c r="F445" s="19">
        <f>IF(TSim[[#This Row],[ValorFinalReal]]&gt;=Meta,1,0)</f>
        <v>1</v>
      </c>
      <c r="G445" s="21">
        <v>0</v>
      </c>
    </row>
    <row r="446" spans="1:7" ht="16.95" customHeight="1">
      <c r="A446" s="11">
        <v>438</v>
      </c>
      <c r="B446" s="24">
        <v>91089704.153938979</v>
      </c>
      <c r="C446" s="24">
        <v>64896257.157604679</v>
      </c>
      <c r="D446" s="24">
        <v>82041991.056446001</v>
      </c>
      <c r="E446" s="24">
        <f>TSim[[#This Row],[ValorFinalReal]]-TSim[[#This Row],[AportesReales]]</f>
        <v>17145733.898841321</v>
      </c>
      <c r="F446" s="19">
        <f>IF(TSim[[#This Row],[ValorFinalReal]]&gt;=Meta,1,0)</f>
        <v>1</v>
      </c>
      <c r="G446" s="21">
        <v>2.6942660502065059E-3</v>
      </c>
    </row>
    <row r="447" spans="1:7" ht="16.95" customHeight="1">
      <c r="A447" s="11">
        <v>439</v>
      </c>
      <c r="B447" s="24">
        <v>88630884.324568823</v>
      </c>
      <c r="C447" s="24">
        <v>64876164.227649063</v>
      </c>
      <c r="D447" s="24">
        <v>78235666.316808462</v>
      </c>
      <c r="E447" s="24">
        <f>TSim[[#This Row],[ValorFinalReal]]-TSim[[#This Row],[AportesReales]]</f>
        <v>13359502.089159399</v>
      </c>
      <c r="F447" s="19">
        <f>IF(TSim[[#This Row],[ValorFinalReal]]&gt;=Meta,1,0)</f>
        <v>0</v>
      </c>
      <c r="G447" s="21">
        <v>9.7471209605807241E-3</v>
      </c>
    </row>
    <row r="448" spans="1:7" ht="16.95" customHeight="1">
      <c r="A448" s="11">
        <v>440</v>
      </c>
      <c r="B448" s="24">
        <v>95581678.202357411</v>
      </c>
      <c r="C448" s="24">
        <v>64769697.370868847</v>
      </c>
      <c r="D448" s="24">
        <v>75856472.577437043</v>
      </c>
      <c r="E448" s="24">
        <f>TSim[[#This Row],[ValorFinalReal]]-TSim[[#This Row],[AportesReales]]</f>
        <v>11086775.206568196</v>
      </c>
      <c r="F448" s="19">
        <f>IF(TSim[[#This Row],[ValorFinalReal]]&gt;=Meta,1,0)</f>
        <v>0</v>
      </c>
      <c r="G448" s="21">
        <v>5.6650704206868694E-3</v>
      </c>
    </row>
    <row r="449" spans="1:7" ht="16.95" customHeight="1">
      <c r="A449" s="11">
        <v>441</v>
      </c>
      <c r="B449" s="24">
        <v>94445306.531075656</v>
      </c>
      <c r="C449" s="24">
        <v>64848893.358465627</v>
      </c>
      <c r="D449" s="24">
        <v>81162048.176917806</v>
      </c>
      <c r="E449" s="24">
        <f>TSim[[#This Row],[ValorFinalReal]]-TSim[[#This Row],[AportesReales]]</f>
        <v>16313154.818452179</v>
      </c>
      <c r="F449" s="19">
        <f>IF(TSim[[#This Row],[ValorFinalReal]]&gt;=Meta,1,0)</f>
        <v>1</v>
      </c>
      <c r="G449" s="21">
        <v>0</v>
      </c>
    </row>
    <row r="450" spans="1:7" ht="16.95" customHeight="1">
      <c r="A450" s="11">
        <v>442</v>
      </c>
      <c r="B450" s="24">
        <v>77460894.401143312</v>
      </c>
      <c r="C450" s="24">
        <v>64889632.424662307</v>
      </c>
      <c r="D450" s="24">
        <v>69318092.777982771</v>
      </c>
      <c r="E450" s="24">
        <f>TSim[[#This Row],[ValorFinalReal]]-TSim[[#This Row],[AportesReales]]</f>
        <v>4428460.3533204645</v>
      </c>
      <c r="F450" s="19">
        <f>IF(TSim[[#This Row],[ValorFinalReal]]&gt;=Meta,1,0)</f>
        <v>0</v>
      </c>
      <c r="G450" s="21">
        <v>9.3676863594186477E-3</v>
      </c>
    </row>
    <row r="451" spans="1:7" ht="16.95" customHeight="1">
      <c r="A451" s="11">
        <v>443</v>
      </c>
      <c r="B451" s="24">
        <v>87880434.319882482</v>
      </c>
      <c r="C451" s="24">
        <v>64880467.331320487</v>
      </c>
      <c r="D451" s="24">
        <v>77927876.24287349</v>
      </c>
      <c r="E451" s="24">
        <f>TSim[[#This Row],[ValorFinalReal]]-TSim[[#This Row],[AportesReales]]</f>
        <v>13047408.911553003</v>
      </c>
      <c r="F451" s="19">
        <f>IF(TSim[[#This Row],[ValorFinalReal]]&gt;=Meta,1,0)</f>
        <v>0</v>
      </c>
      <c r="G451" s="21">
        <v>1.0775696257279139E-3</v>
      </c>
    </row>
    <row r="452" spans="1:7" ht="16.95" customHeight="1">
      <c r="A452" s="11">
        <v>444</v>
      </c>
      <c r="B452" s="24">
        <v>94598036.85653317</v>
      </c>
      <c r="C452" s="24">
        <v>64708264.487009682</v>
      </c>
      <c r="D452" s="24">
        <v>70561271.633911923</v>
      </c>
      <c r="E452" s="24">
        <f>TSim[[#This Row],[ValorFinalReal]]-TSim[[#This Row],[AportesReales]]</f>
        <v>5853007.1469022408</v>
      </c>
      <c r="F452" s="19">
        <f>IF(TSim[[#This Row],[ValorFinalReal]]&gt;=Meta,1,0)</f>
        <v>0</v>
      </c>
      <c r="G452" s="21">
        <v>2.623933099676345E-3</v>
      </c>
    </row>
    <row r="453" spans="1:7" ht="16.95" customHeight="1">
      <c r="A453" s="11">
        <v>445</v>
      </c>
      <c r="B453" s="24">
        <v>87585242.12884675</v>
      </c>
      <c r="C453" s="24">
        <v>64836262.467135914</v>
      </c>
      <c r="D453" s="24">
        <v>74286421.038625702</v>
      </c>
      <c r="E453" s="24">
        <f>TSim[[#This Row],[ValorFinalReal]]-TSim[[#This Row],[AportesReales]]</f>
        <v>9450158.5714897886</v>
      </c>
      <c r="F453" s="19">
        <f>IF(TSim[[#This Row],[ValorFinalReal]]&gt;=Meta,1,0)</f>
        <v>0</v>
      </c>
      <c r="G453" s="21">
        <v>0</v>
      </c>
    </row>
    <row r="454" spans="1:7" ht="16.95" customHeight="1">
      <c r="A454" s="11">
        <v>446</v>
      </c>
      <c r="B454" s="24">
        <v>97667700.82589227</v>
      </c>
      <c r="C454" s="24">
        <v>64807788.373201147</v>
      </c>
      <c r="D454" s="24">
        <v>80478121.444797426</v>
      </c>
      <c r="E454" s="24">
        <f>TSim[[#This Row],[ValorFinalReal]]-TSim[[#This Row],[AportesReales]]</f>
        <v>15670333.07159628</v>
      </c>
      <c r="F454" s="19">
        <f>IF(TSim[[#This Row],[ValorFinalReal]]&gt;=Meta,1,0)</f>
        <v>1</v>
      </c>
      <c r="G454" s="21">
        <v>5.2884741070875494E-3</v>
      </c>
    </row>
    <row r="455" spans="1:7" ht="16.95" customHeight="1">
      <c r="A455" s="11">
        <v>447</v>
      </c>
      <c r="B455" s="24">
        <v>80186351.798115045</v>
      </c>
      <c r="C455" s="24">
        <v>64940836.422696747</v>
      </c>
      <c r="D455" s="24">
        <v>75547028.984777704</v>
      </c>
      <c r="E455" s="24">
        <f>TSim[[#This Row],[ValorFinalReal]]-TSim[[#This Row],[AportesReales]]</f>
        <v>10606192.562080957</v>
      </c>
      <c r="F455" s="19">
        <f>IF(TSim[[#This Row],[ValorFinalReal]]&gt;=Meta,1,0)</f>
        <v>0</v>
      </c>
      <c r="G455" s="21">
        <v>2.0971489300735109E-3</v>
      </c>
    </row>
    <row r="456" spans="1:7" ht="16.95" customHeight="1">
      <c r="A456" s="11">
        <v>448</v>
      </c>
      <c r="B456" s="24">
        <v>81607018.757356256</v>
      </c>
      <c r="C456" s="24">
        <v>64833543.275693901</v>
      </c>
      <c r="D456" s="24">
        <v>69043003.393654704</v>
      </c>
      <c r="E456" s="24">
        <f>TSim[[#This Row],[ValorFinalReal]]-TSim[[#This Row],[AportesReales]]</f>
        <v>4209460.1179608032</v>
      </c>
      <c r="F456" s="19">
        <f>IF(TSim[[#This Row],[ValorFinalReal]]&gt;=Meta,1,0)</f>
        <v>0</v>
      </c>
      <c r="G456" s="21">
        <v>5.3676731794519714E-3</v>
      </c>
    </row>
    <row r="457" spans="1:7" ht="16.95" customHeight="1">
      <c r="A457" s="11">
        <v>449</v>
      </c>
      <c r="B457" s="24">
        <v>91153473.923660755</v>
      </c>
      <c r="C457" s="24">
        <v>64921664.142365523</v>
      </c>
      <c r="D457" s="24">
        <v>84218966.068203703</v>
      </c>
      <c r="E457" s="24">
        <f>TSim[[#This Row],[ValorFinalReal]]-TSim[[#This Row],[AportesReales]]</f>
        <v>19297301.92583818</v>
      </c>
      <c r="F457" s="19">
        <f>IF(TSim[[#This Row],[ValorFinalReal]]&gt;=Meta,1,0)</f>
        <v>1</v>
      </c>
      <c r="G457" s="21">
        <v>0</v>
      </c>
    </row>
    <row r="458" spans="1:7" ht="16.95" customHeight="1">
      <c r="A458" s="11">
        <v>450</v>
      </c>
      <c r="B458" s="24">
        <v>87464467.336522296</v>
      </c>
      <c r="C458" s="24">
        <v>64929995.185334213</v>
      </c>
      <c r="D458" s="24">
        <v>81512898.321822286</v>
      </c>
      <c r="E458" s="24">
        <f>TSim[[#This Row],[ValorFinalReal]]-TSim[[#This Row],[AportesReales]]</f>
        <v>16582903.136488073</v>
      </c>
      <c r="F458" s="19">
        <f>IF(TSim[[#This Row],[ValorFinalReal]]&gt;=Meta,1,0)</f>
        <v>1</v>
      </c>
      <c r="G458" s="21">
        <v>0</v>
      </c>
    </row>
    <row r="459" spans="1:7" ht="16.95" customHeight="1">
      <c r="A459" s="11">
        <v>451</v>
      </c>
      <c r="B459" s="24">
        <v>83425841.53659898</v>
      </c>
      <c r="C459" s="24">
        <v>64877267.172918953</v>
      </c>
      <c r="D459" s="24">
        <v>73750084.424234718</v>
      </c>
      <c r="E459" s="24">
        <f>TSim[[#This Row],[ValorFinalReal]]-TSim[[#This Row],[AportesReales]]</f>
        <v>8872817.2513157651</v>
      </c>
      <c r="F459" s="19">
        <f>IF(TSim[[#This Row],[ValorFinalReal]]&gt;=Meta,1,0)</f>
        <v>0</v>
      </c>
      <c r="G459" s="21">
        <v>6.3887935878524926E-3</v>
      </c>
    </row>
    <row r="460" spans="1:7" ht="16.95" customHeight="1">
      <c r="A460" s="11">
        <v>452</v>
      </c>
      <c r="B460" s="24">
        <v>110665813.96481229</v>
      </c>
      <c r="C460" s="24">
        <v>64707272.773271449</v>
      </c>
      <c r="D460" s="24">
        <v>82500908.481234998</v>
      </c>
      <c r="E460" s="24">
        <f>TSim[[#This Row],[ValorFinalReal]]-TSim[[#This Row],[AportesReales]]</f>
        <v>17793635.707963549</v>
      </c>
      <c r="F460" s="19">
        <f>IF(TSim[[#This Row],[ValorFinalReal]]&gt;=Meta,1,0)</f>
        <v>1</v>
      </c>
      <c r="G460" s="21">
        <v>5.0108324507162072E-3</v>
      </c>
    </row>
    <row r="461" spans="1:7" ht="16.95" customHeight="1">
      <c r="A461" s="11">
        <v>453</v>
      </c>
      <c r="B461" s="24">
        <v>107373857.259736</v>
      </c>
      <c r="C461" s="24">
        <v>64917617.70059789</v>
      </c>
      <c r="D461" s="24">
        <v>98785609.97362636</v>
      </c>
      <c r="E461" s="24">
        <f>TSim[[#This Row],[ValorFinalReal]]-TSim[[#This Row],[AportesReales]]</f>
        <v>33867992.273028471</v>
      </c>
      <c r="F461" s="19">
        <f>IF(TSim[[#This Row],[ValorFinalReal]]&gt;=Meta,1,0)</f>
        <v>1</v>
      </c>
      <c r="G461" s="21">
        <v>0</v>
      </c>
    </row>
    <row r="462" spans="1:7" ht="16.95" customHeight="1">
      <c r="A462" s="11">
        <v>454</v>
      </c>
      <c r="B462" s="24">
        <v>84090547.679209903</v>
      </c>
      <c r="C462" s="24">
        <v>64851421.452179201</v>
      </c>
      <c r="D462" s="24">
        <v>72441237.106593221</v>
      </c>
      <c r="E462" s="24">
        <f>TSim[[#This Row],[ValorFinalReal]]-TSim[[#This Row],[AportesReales]]</f>
        <v>7589815.6544140205</v>
      </c>
      <c r="F462" s="19">
        <f>IF(TSim[[#This Row],[ValorFinalReal]]&gt;=Meta,1,0)</f>
        <v>0</v>
      </c>
      <c r="G462" s="21">
        <v>3.3421518857171821E-3</v>
      </c>
    </row>
    <row r="463" spans="1:7" ht="16.95" customHeight="1">
      <c r="A463" s="11">
        <v>455</v>
      </c>
      <c r="B463" s="24">
        <v>90307249.07545203</v>
      </c>
      <c r="C463" s="24">
        <v>64841554.256263912</v>
      </c>
      <c r="D463" s="24">
        <v>76998105.432652667</v>
      </c>
      <c r="E463" s="24">
        <f>TSim[[#This Row],[ValorFinalReal]]-TSim[[#This Row],[AportesReales]]</f>
        <v>12156551.176388755</v>
      </c>
      <c r="F463" s="19">
        <f>IF(TSim[[#This Row],[ValorFinalReal]]&gt;=Meta,1,0)</f>
        <v>0</v>
      </c>
      <c r="G463" s="21">
        <v>1.002244585080847E-2</v>
      </c>
    </row>
    <row r="464" spans="1:7" ht="16.95" customHeight="1">
      <c r="A464" s="11">
        <v>456</v>
      </c>
      <c r="B464" s="24">
        <v>84687044.557992607</v>
      </c>
      <c r="C464" s="24">
        <v>65091153.001982927</v>
      </c>
      <c r="D464" s="24">
        <v>92716119.087885261</v>
      </c>
      <c r="E464" s="24">
        <f>TSim[[#This Row],[ValorFinalReal]]-TSim[[#This Row],[AportesReales]]</f>
        <v>27624966.085902333</v>
      </c>
      <c r="F464" s="19">
        <f>IF(TSim[[#This Row],[ValorFinalReal]]&gt;=Meta,1,0)</f>
        <v>1</v>
      </c>
      <c r="G464" s="21">
        <v>7.8377874691816229E-3</v>
      </c>
    </row>
    <row r="465" spans="1:7" ht="16.95" customHeight="1">
      <c r="A465" s="11">
        <v>457</v>
      </c>
      <c r="B465" s="24">
        <v>109942056.11541121</v>
      </c>
      <c r="C465" s="24">
        <v>64696629.98023805</v>
      </c>
      <c r="D465" s="24">
        <v>81081403.163159892</v>
      </c>
      <c r="E465" s="24">
        <f>TSim[[#This Row],[ValorFinalReal]]-TSim[[#This Row],[AportesReales]]</f>
        <v>16384773.182921842</v>
      </c>
      <c r="F465" s="19">
        <f>IF(TSim[[#This Row],[ValorFinalReal]]&gt;=Meta,1,0)</f>
        <v>1</v>
      </c>
      <c r="G465" s="21">
        <v>0</v>
      </c>
    </row>
    <row r="466" spans="1:7" ht="16.95" customHeight="1">
      <c r="A466" s="11">
        <v>458</v>
      </c>
      <c r="B466" s="24">
        <v>94312858.247681558</v>
      </c>
      <c r="C466" s="24">
        <v>64808033.292481087</v>
      </c>
      <c r="D466" s="24">
        <v>77778551.830989257</v>
      </c>
      <c r="E466" s="24">
        <f>TSim[[#This Row],[ValorFinalReal]]-TSim[[#This Row],[AportesReales]]</f>
        <v>12970518.538508169</v>
      </c>
      <c r="F466" s="19">
        <f>IF(TSim[[#This Row],[ValorFinalReal]]&gt;=Meta,1,0)</f>
        <v>0</v>
      </c>
      <c r="G466" s="21">
        <v>2.887912994349318E-3</v>
      </c>
    </row>
    <row r="467" spans="1:7" ht="16.95" customHeight="1">
      <c r="A467" s="11">
        <v>459</v>
      </c>
      <c r="B467" s="24">
        <v>83577378.814565301</v>
      </c>
      <c r="C467" s="24">
        <v>64967370.56147939</v>
      </c>
      <c r="D467" s="24">
        <v>80856480.736928716</v>
      </c>
      <c r="E467" s="24">
        <f>TSim[[#This Row],[ValorFinalReal]]-TSim[[#This Row],[AportesReales]]</f>
        <v>15889110.175449327</v>
      </c>
      <c r="F467" s="19">
        <f>IF(TSim[[#This Row],[ValorFinalReal]]&gt;=Meta,1,0)</f>
        <v>1</v>
      </c>
      <c r="G467" s="21">
        <v>1.3870016004581039E-2</v>
      </c>
    </row>
    <row r="468" spans="1:7" ht="16.95" customHeight="1">
      <c r="A468" s="11">
        <v>460</v>
      </c>
      <c r="B468" s="24">
        <v>86289072.2849482</v>
      </c>
      <c r="C468" s="24">
        <v>64824537.901280433</v>
      </c>
      <c r="D468" s="24">
        <v>72355866.304101855</v>
      </c>
      <c r="E468" s="24">
        <f>TSim[[#This Row],[ValorFinalReal]]-TSim[[#This Row],[AportesReales]]</f>
        <v>7531328.4028214216</v>
      </c>
      <c r="F468" s="19">
        <f>IF(TSim[[#This Row],[ValorFinalReal]]&gt;=Meta,1,0)</f>
        <v>0</v>
      </c>
      <c r="G468" s="21">
        <v>6.5260781389638867E-3</v>
      </c>
    </row>
    <row r="469" spans="1:7" ht="16.95" customHeight="1">
      <c r="A469" s="11">
        <v>461</v>
      </c>
      <c r="B469" s="24">
        <v>94583524.932811752</v>
      </c>
      <c r="C469" s="24">
        <v>64918258.494392753</v>
      </c>
      <c r="D469" s="24">
        <v>87102664.705945313</v>
      </c>
      <c r="E469" s="24">
        <f>TSim[[#This Row],[ValorFinalReal]]-TSim[[#This Row],[AportesReales]]</f>
        <v>22184406.21155256</v>
      </c>
      <c r="F469" s="19">
        <f>IF(TSim[[#This Row],[ValorFinalReal]]&gt;=Meta,1,0)</f>
        <v>1</v>
      </c>
      <c r="G469" s="21">
        <v>0</v>
      </c>
    </row>
    <row r="470" spans="1:7" ht="16.95" customHeight="1">
      <c r="A470" s="11">
        <v>462</v>
      </c>
      <c r="B470" s="24">
        <v>85123509.250320613</v>
      </c>
      <c r="C470" s="24">
        <v>64962317.727604017</v>
      </c>
      <c r="D470" s="24">
        <v>81927019.382764727</v>
      </c>
      <c r="E470" s="24">
        <f>TSim[[#This Row],[ValorFinalReal]]-TSim[[#This Row],[AportesReales]]</f>
        <v>16964701.65516071</v>
      </c>
      <c r="F470" s="19">
        <f>IF(TSim[[#This Row],[ValorFinalReal]]&gt;=Meta,1,0)</f>
        <v>1</v>
      </c>
      <c r="G470" s="21">
        <v>2.0623948920125419E-3</v>
      </c>
    </row>
    <row r="471" spans="1:7" ht="16.95" customHeight="1">
      <c r="A471" s="11">
        <v>463</v>
      </c>
      <c r="B471" s="24">
        <v>88377092.439894363</v>
      </c>
      <c r="C471" s="24">
        <v>64784488.132298261</v>
      </c>
      <c r="D471" s="24">
        <v>71194296.53022939</v>
      </c>
      <c r="E471" s="24">
        <f>TSim[[#This Row],[ValorFinalReal]]-TSim[[#This Row],[AportesReales]]</f>
        <v>6409808.3979311287</v>
      </c>
      <c r="F471" s="19">
        <f>IF(TSim[[#This Row],[ValorFinalReal]]&gt;=Meta,1,0)</f>
        <v>0</v>
      </c>
      <c r="G471" s="21">
        <v>1.277400485493962E-3</v>
      </c>
    </row>
    <row r="472" spans="1:7" ht="16.95" customHeight="1">
      <c r="A472" s="11">
        <v>464</v>
      </c>
      <c r="B472" s="24">
        <v>103227103.01106849</v>
      </c>
      <c r="C472" s="24">
        <v>64802411.385925941</v>
      </c>
      <c r="D472" s="24">
        <v>84648227.549383715</v>
      </c>
      <c r="E472" s="24">
        <f>TSim[[#This Row],[ValorFinalReal]]-TSim[[#This Row],[AportesReales]]</f>
        <v>19845816.163457774</v>
      </c>
      <c r="F472" s="19">
        <f>IF(TSim[[#This Row],[ValorFinalReal]]&gt;=Meta,1,0)</f>
        <v>1</v>
      </c>
      <c r="G472" s="21">
        <v>8.0609199262915432E-4</v>
      </c>
    </row>
    <row r="473" spans="1:7" ht="16.95" customHeight="1">
      <c r="A473" s="11">
        <v>465</v>
      </c>
      <c r="B473" s="24">
        <v>88840153.170846894</v>
      </c>
      <c r="C473" s="24">
        <v>64815626.134071581</v>
      </c>
      <c r="D473" s="24">
        <v>73820475.500687048</v>
      </c>
      <c r="E473" s="24">
        <f>TSim[[#This Row],[ValorFinalReal]]-TSim[[#This Row],[AportesReales]]</f>
        <v>9004849.3666154668</v>
      </c>
      <c r="F473" s="19">
        <f>IF(TSim[[#This Row],[ValorFinalReal]]&gt;=Meta,1,0)</f>
        <v>0</v>
      </c>
      <c r="G473" s="21">
        <v>4.6397270091578244E-3</v>
      </c>
    </row>
    <row r="474" spans="1:7" ht="16.95" customHeight="1">
      <c r="A474" s="11">
        <v>466</v>
      </c>
      <c r="B474" s="24">
        <v>88874278.368489936</v>
      </c>
      <c r="C474" s="24">
        <v>64817969.101883613</v>
      </c>
      <c r="D474" s="24">
        <v>74038564.593950793</v>
      </c>
      <c r="E474" s="24">
        <f>TSim[[#This Row],[ValorFinalReal]]-TSim[[#This Row],[AportesReales]]</f>
        <v>9220595.4920671806</v>
      </c>
      <c r="F474" s="19">
        <f>IF(TSim[[#This Row],[ValorFinalReal]]&gt;=Meta,1,0)</f>
        <v>0</v>
      </c>
      <c r="G474" s="21">
        <v>2.7376669081140559E-3</v>
      </c>
    </row>
    <row r="475" spans="1:7" ht="16.95" customHeight="1">
      <c r="A475" s="11">
        <v>467</v>
      </c>
      <c r="B475" s="24">
        <v>96640838.165006265</v>
      </c>
      <c r="C475" s="24">
        <v>64761684.600507647</v>
      </c>
      <c r="D475" s="24">
        <v>76070671.749535531</v>
      </c>
      <c r="E475" s="24">
        <f>TSim[[#This Row],[ValorFinalReal]]-TSim[[#This Row],[AportesReales]]</f>
        <v>11308987.149027884</v>
      </c>
      <c r="F475" s="19">
        <f>IF(TSim[[#This Row],[ValorFinalReal]]&gt;=Meta,1,0)</f>
        <v>0</v>
      </c>
      <c r="G475" s="21">
        <v>5.0754969083719459E-3</v>
      </c>
    </row>
    <row r="476" spans="1:7" ht="16.95" customHeight="1">
      <c r="A476" s="11">
        <v>468</v>
      </c>
      <c r="B476" s="24">
        <v>85900843.366746277</v>
      </c>
      <c r="C476" s="24">
        <v>64928287.761792503</v>
      </c>
      <c r="D476" s="24">
        <v>79918203.218169227</v>
      </c>
      <c r="E476" s="24">
        <f>TSim[[#This Row],[ValorFinalReal]]-TSim[[#This Row],[AportesReales]]</f>
        <v>14989915.456376724</v>
      </c>
      <c r="F476" s="19">
        <f>IF(TSim[[#This Row],[ValorFinalReal]]&gt;=Meta,1,0)</f>
        <v>0</v>
      </c>
      <c r="G476" s="21">
        <v>2.1402503849975441E-3</v>
      </c>
    </row>
    <row r="477" spans="1:7" ht="16.95" customHeight="1">
      <c r="A477" s="11">
        <v>469</v>
      </c>
      <c r="B477" s="24">
        <v>107178779.6684175</v>
      </c>
      <c r="C477" s="24">
        <v>64891626.320777327</v>
      </c>
      <c r="D477" s="24">
        <v>96112030.972841695</v>
      </c>
      <c r="E477" s="24">
        <f>TSim[[#This Row],[ValorFinalReal]]-TSim[[#This Row],[AportesReales]]</f>
        <v>31220404.652064368</v>
      </c>
      <c r="F477" s="19">
        <f>IF(TSim[[#This Row],[ValorFinalReal]]&gt;=Meta,1,0)</f>
        <v>1</v>
      </c>
      <c r="G477" s="21">
        <v>1.142090270445872E-3</v>
      </c>
    </row>
    <row r="478" spans="1:7" ht="16.95" customHeight="1">
      <c r="A478" s="11">
        <v>470</v>
      </c>
      <c r="B478" s="24">
        <v>80562984.240922213</v>
      </c>
      <c r="C478" s="24">
        <v>64886304.764609382</v>
      </c>
      <c r="D478" s="24">
        <v>71873434.488962561</v>
      </c>
      <c r="E478" s="24">
        <f>TSim[[#This Row],[ValorFinalReal]]-TSim[[#This Row],[AportesReales]]</f>
        <v>6987129.7243531793</v>
      </c>
      <c r="F478" s="19">
        <f>IF(TSim[[#This Row],[ValorFinalReal]]&gt;=Meta,1,0)</f>
        <v>0</v>
      </c>
      <c r="G478" s="21">
        <v>0</v>
      </c>
    </row>
    <row r="479" spans="1:7" ht="16.95" customHeight="1">
      <c r="A479" s="11">
        <v>471</v>
      </c>
      <c r="B479" s="24">
        <v>93330923.368108481</v>
      </c>
      <c r="C479" s="24">
        <v>64789038.954175577</v>
      </c>
      <c r="D479" s="24">
        <v>75520736.377091348</v>
      </c>
      <c r="E479" s="24">
        <f>TSim[[#This Row],[ValorFinalReal]]-TSim[[#This Row],[AportesReales]]</f>
        <v>10731697.422915772</v>
      </c>
      <c r="F479" s="19">
        <f>IF(TSim[[#This Row],[ValorFinalReal]]&gt;=Meta,1,0)</f>
        <v>0</v>
      </c>
      <c r="G479" s="21">
        <v>5.8299156581660414E-3</v>
      </c>
    </row>
    <row r="480" spans="1:7" ht="16.95" customHeight="1">
      <c r="A480" s="11">
        <v>472</v>
      </c>
      <c r="B480" s="24">
        <v>103307913.2743133</v>
      </c>
      <c r="C480" s="24">
        <v>64809930.681362391</v>
      </c>
      <c r="D480" s="24">
        <v>85367526.127745807</v>
      </c>
      <c r="E480" s="24">
        <f>TSim[[#This Row],[ValorFinalReal]]-TSim[[#This Row],[AportesReales]]</f>
        <v>20557595.446383417</v>
      </c>
      <c r="F480" s="19">
        <f>IF(TSim[[#This Row],[ValorFinalReal]]&gt;=Meta,1,0)</f>
        <v>1</v>
      </c>
      <c r="G480" s="21">
        <v>0</v>
      </c>
    </row>
    <row r="481" spans="1:7" ht="16.95" customHeight="1">
      <c r="A481" s="11">
        <v>473</v>
      </c>
      <c r="B481" s="24">
        <v>87320825.829632968</v>
      </c>
      <c r="C481" s="24">
        <v>64889409.768733889</v>
      </c>
      <c r="D481" s="24">
        <v>78125864.028992638</v>
      </c>
      <c r="E481" s="24">
        <f>TSim[[#This Row],[ValorFinalReal]]-TSim[[#This Row],[AportesReales]]</f>
        <v>13236454.260258749</v>
      </c>
      <c r="F481" s="19">
        <f>IF(TSim[[#This Row],[ValorFinalReal]]&gt;=Meta,1,0)</f>
        <v>0</v>
      </c>
      <c r="G481" s="21">
        <v>5.4650341028265048E-3</v>
      </c>
    </row>
    <row r="482" spans="1:7" ht="16.95" customHeight="1">
      <c r="A482" s="11">
        <v>474</v>
      </c>
      <c r="B482" s="24">
        <v>83362015.53800118</v>
      </c>
      <c r="C482" s="24">
        <v>64910870.411192857</v>
      </c>
      <c r="D482" s="24">
        <v>76212911.175964311</v>
      </c>
      <c r="E482" s="24">
        <f>TSim[[#This Row],[ValorFinalReal]]-TSim[[#This Row],[AportesReales]]</f>
        <v>11302040.764771454</v>
      </c>
      <c r="F482" s="19">
        <f>IF(TSim[[#This Row],[ValorFinalReal]]&gt;=Meta,1,0)</f>
        <v>0</v>
      </c>
      <c r="G482" s="21">
        <v>9.7740433507647051E-3</v>
      </c>
    </row>
    <row r="483" spans="1:7" ht="16.95" customHeight="1">
      <c r="A483" s="11">
        <v>475</v>
      </c>
      <c r="B483" s="24">
        <v>89898116.836932778</v>
      </c>
      <c r="C483" s="24">
        <v>64958174.953174427</v>
      </c>
      <c r="D483" s="24">
        <v>86181155.890605852</v>
      </c>
      <c r="E483" s="24">
        <f>TSim[[#This Row],[ValorFinalReal]]-TSim[[#This Row],[AportesReales]]</f>
        <v>21222980.937431425</v>
      </c>
      <c r="F483" s="19">
        <f>IF(TSim[[#This Row],[ValorFinalReal]]&gt;=Meta,1,0)</f>
        <v>1</v>
      </c>
      <c r="G483" s="21">
        <v>0</v>
      </c>
    </row>
    <row r="484" spans="1:7" ht="16.95" customHeight="1">
      <c r="A484" s="11">
        <v>476</v>
      </c>
      <c r="B484" s="24">
        <v>82656909.513434574</v>
      </c>
      <c r="C484" s="24">
        <v>64938361.682944767</v>
      </c>
      <c r="D484" s="24">
        <v>77663974.44832015</v>
      </c>
      <c r="E484" s="24">
        <f>TSim[[#This Row],[ValorFinalReal]]-TSim[[#This Row],[AportesReales]]</f>
        <v>12725612.765375383</v>
      </c>
      <c r="F484" s="19">
        <f>IF(TSim[[#This Row],[ValorFinalReal]]&gt;=Meta,1,0)</f>
        <v>0</v>
      </c>
      <c r="G484" s="21">
        <v>0</v>
      </c>
    </row>
    <row r="485" spans="1:7" ht="16.95" customHeight="1">
      <c r="A485" s="11">
        <v>477</v>
      </c>
      <c r="B485" s="24">
        <v>103703819.60764959</v>
      </c>
      <c r="C485" s="24">
        <v>64736361.945593469</v>
      </c>
      <c r="D485" s="24">
        <v>79573811.514255702</v>
      </c>
      <c r="E485" s="24">
        <f>TSim[[#This Row],[ValorFinalReal]]-TSim[[#This Row],[AportesReales]]</f>
        <v>14837449.568662234</v>
      </c>
      <c r="F485" s="19">
        <f>IF(TSim[[#This Row],[ValorFinalReal]]&gt;=Meta,1,0)</f>
        <v>0</v>
      </c>
      <c r="G485" s="21">
        <v>0</v>
      </c>
    </row>
    <row r="486" spans="1:7" ht="16.95" customHeight="1">
      <c r="A486" s="11">
        <v>478</v>
      </c>
      <c r="B486" s="24">
        <v>93025575.820272312</v>
      </c>
      <c r="C486" s="24">
        <v>64751681.608763777</v>
      </c>
      <c r="D486" s="24">
        <v>72507844.833982244</v>
      </c>
      <c r="E486" s="24">
        <f>TSim[[#This Row],[ValorFinalReal]]-TSim[[#This Row],[AportesReales]]</f>
        <v>7756163.2252184674</v>
      </c>
      <c r="F486" s="19">
        <f>IF(TSim[[#This Row],[ValorFinalReal]]&gt;=Meta,1,0)</f>
        <v>0</v>
      </c>
      <c r="G486" s="21">
        <v>1.064637298160753E-3</v>
      </c>
    </row>
    <row r="487" spans="1:7" ht="16.95" customHeight="1">
      <c r="A487" s="11">
        <v>479</v>
      </c>
      <c r="B487" s="24">
        <v>99105220.719352558</v>
      </c>
      <c r="C487" s="24">
        <v>64795231.507000379</v>
      </c>
      <c r="D487" s="24">
        <v>80680531.182463363</v>
      </c>
      <c r="E487" s="24">
        <f>TSim[[#This Row],[ValorFinalReal]]-TSim[[#This Row],[AportesReales]]</f>
        <v>15885299.675462984</v>
      </c>
      <c r="F487" s="19">
        <f>IF(TSim[[#This Row],[ValorFinalReal]]&gt;=Meta,1,0)</f>
        <v>1</v>
      </c>
      <c r="G487" s="21">
        <v>1.1045573848169621E-2</v>
      </c>
    </row>
    <row r="488" spans="1:7" ht="16.95" customHeight="1">
      <c r="A488" s="11">
        <v>480</v>
      </c>
      <c r="B488" s="24">
        <v>83414123.995674908</v>
      </c>
      <c r="C488" s="24">
        <v>64894432.094458707</v>
      </c>
      <c r="D488" s="24">
        <v>74980593.575509429</v>
      </c>
      <c r="E488" s="24">
        <f>TSim[[#This Row],[ValorFinalReal]]-TSim[[#This Row],[AportesReales]]</f>
        <v>10086161.481050722</v>
      </c>
      <c r="F488" s="19">
        <f>IF(TSim[[#This Row],[ValorFinalReal]]&gt;=Meta,1,0)</f>
        <v>0</v>
      </c>
      <c r="G488" s="21">
        <v>4.1500796233835402E-3</v>
      </c>
    </row>
    <row r="489" spans="1:7" ht="16.95" customHeight="1">
      <c r="A489" s="11">
        <v>481</v>
      </c>
      <c r="B489" s="24">
        <v>101183289.9572878</v>
      </c>
      <c r="C489" s="24">
        <v>64773847.826350242</v>
      </c>
      <c r="D489" s="24">
        <v>80640196.787777841</v>
      </c>
      <c r="E489" s="24">
        <f>TSim[[#This Row],[ValorFinalReal]]-TSim[[#This Row],[AportesReales]]</f>
        <v>15866348.961427599</v>
      </c>
      <c r="F489" s="19">
        <f>IF(TSim[[#This Row],[ValorFinalReal]]&gt;=Meta,1,0)</f>
        <v>1</v>
      </c>
      <c r="G489" s="21">
        <v>0</v>
      </c>
    </row>
    <row r="490" spans="1:7" ht="16.95" customHeight="1">
      <c r="A490" s="11">
        <v>482</v>
      </c>
      <c r="B490" s="24">
        <v>87178467.858998507</v>
      </c>
      <c r="C490" s="24">
        <v>64819803.858844362</v>
      </c>
      <c r="D490" s="24">
        <v>72730336.924528584</v>
      </c>
      <c r="E490" s="24">
        <f>TSim[[#This Row],[ValorFinalReal]]-TSim[[#This Row],[AportesReales]]</f>
        <v>7910533.0656842217</v>
      </c>
      <c r="F490" s="19">
        <f>IF(TSim[[#This Row],[ValorFinalReal]]&gt;=Meta,1,0)</f>
        <v>0</v>
      </c>
      <c r="G490" s="21">
        <v>2.0924618977986591E-3</v>
      </c>
    </row>
    <row r="491" spans="1:7" ht="16.95" customHeight="1">
      <c r="A491" s="11">
        <v>483</v>
      </c>
      <c r="B491" s="24">
        <v>98560232.318668872</v>
      </c>
      <c r="C491" s="24">
        <v>64868915.667301677</v>
      </c>
      <c r="D491" s="24">
        <v>86404487.878483936</v>
      </c>
      <c r="E491" s="24">
        <f>TSim[[#This Row],[ValorFinalReal]]-TSim[[#This Row],[AportesReales]]</f>
        <v>21535572.211182259</v>
      </c>
      <c r="F491" s="19">
        <f>IF(TSim[[#This Row],[ValorFinalReal]]&gt;=Meta,1,0)</f>
        <v>1</v>
      </c>
      <c r="G491" s="21">
        <v>0</v>
      </c>
    </row>
    <row r="492" spans="1:7" ht="16.95" customHeight="1">
      <c r="A492" s="11">
        <v>484</v>
      </c>
      <c r="B492" s="24">
        <v>92319647.08166939</v>
      </c>
      <c r="C492" s="24">
        <v>64859415.826175138</v>
      </c>
      <c r="D492" s="24">
        <v>80133063.350954294</v>
      </c>
      <c r="E492" s="24">
        <f>TSim[[#This Row],[ValorFinalReal]]-TSim[[#This Row],[AportesReales]]</f>
        <v>15273647.524779156</v>
      </c>
      <c r="F492" s="19">
        <f>IF(TSim[[#This Row],[ValorFinalReal]]&gt;=Meta,1,0)</f>
        <v>1</v>
      </c>
      <c r="G492" s="21">
        <v>0</v>
      </c>
    </row>
    <row r="493" spans="1:7" ht="16.95" customHeight="1">
      <c r="A493" s="11">
        <v>485</v>
      </c>
      <c r="B493" s="24">
        <v>85371580.609330431</v>
      </c>
      <c r="C493" s="24">
        <v>64834973.743161269</v>
      </c>
      <c r="D493" s="24">
        <v>72333467.264286816</v>
      </c>
      <c r="E493" s="24">
        <f>TSim[[#This Row],[ValorFinalReal]]-TSim[[#This Row],[AportesReales]]</f>
        <v>7498493.5211255476</v>
      </c>
      <c r="F493" s="19">
        <f>IF(TSim[[#This Row],[ValorFinalReal]]&gt;=Meta,1,0)</f>
        <v>0</v>
      </c>
      <c r="G493" s="21">
        <v>1.459336596975702E-2</v>
      </c>
    </row>
    <row r="494" spans="1:7" ht="16.95" customHeight="1">
      <c r="A494" s="11">
        <v>486</v>
      </c>
      <c r="B494" s="24">
        <v>85118220.418528363</v>
      </c>
      <c r="C494" s="24">
        <v>64922425.721837737</v>
      </c>
      <c r="D494" s="24">
        <v>78686802.298285708</v>
      </c>
      <c r="E494" s="24">
        <f>TSim[[#This Row],[ValorFinalReal]]-TSim[[#This Row],[AportesReales]]</f>
        <v>13764376.576447971</v>
      </c>
      <c r="F494" s="19">
        <f>IF(TSim[[#This Row],[ValorFinalReal]]&gt;=Meta,1,0)</f>
        <v>0</v>
      </c>
      <c r="G494" s="21">
        <v>2.246767467821487E-2</v>
      </c>
    </row>
    <row r="495" spans="1:7" ht="16.95" customHeight="1">
      <c r="A495" s="11">
        <v>487</v>
      </c>
      <c r="B495" s="24">
        <v>75545046.954075038</v>
      </c>
      <c r="C495" s="24">
        <v>65019740.993397512</v>
      </c>
      <c r="D495" s="24">
        <v>77025114.485434622</v>
      </c>
      <c r="E495" s="24">
        <f>TSim[[#This Row],[ValorFinalReal]]-TSim[[#This Row],[AportesReales]]</f>
        <v>12005373.49203711</v>
      </c>
      <c r="F495" s="19">
        <f>IF(TSim[[#This Row],[ValorFinalReal]]&gt;=Meta,1,0)</f>
        <v>0</v>
      </c>
      <c r="G495" s="21">
        <v>1.5444503633604829E-3</v>
      </c>
    </row>
    <row r="496" spans="1:7" ht="16.95" customHeight="1">
      <c r="A496" s="11">
        <v>488</v>
      </c>
      <c r="B496" s="24">
        <v>93019921.303603649</v>
      </c>
      <c r="C496" s="24">
        <v>64766847.91054482</v>
      </c>
      <c r="D496" s="24">
        <v>73572296.630995497</v>
      </c>
      <c r="E496" s="24">
        <f>TSim[[#This Row],[ValorFinalReal]]-TSim[[#This Row],[AportesReales]]</f>
        <v>8805448.720450677</v>
      </c>
      <c r="F496" s="19">
        <f>IF(TSim[[#This Row],[ValorFinalReal]]&gt;=Meta,1,0)</f>
        <v>0</v>
      </c>
      <c r="G496" s="21">
        <v>7.996770995544189E-5</v>
      </c>
    </row>
    <row r="497" spans="1:7" ht="16.95" customHeight="1">
      <c r="A497" s="11">
        <v>489</v>
      </c>
      <c r="B497" s="24">
        <v>88783335.577961966</v>
      </c>
      <c r="C497" s="24">
        <v>64783268.326266773</v>
      </c>
      <c r="D497" s="24">
        <v>71404350.40190509</v>
      </c>
      <c r="E497" s="24">
        <f>TSim[[#This Row],[ValorFinalReal]]-TSim[[#This Row],[AportesReales]]</f>
        <v>6621082.0756383166</v>
      </c>
      <c r="F497" s="19">
        <f>IF(TSim[[#This Row],[ValorFinalReal]]&gt;=Meta,1,0)</f>
        <v>0</v>
      </c>
      <c r="G497" s="21">
        <v>4.1599849278968204E-3</v>
      </c>
    </row>
    <row r="498" spans="1:7" ht="16.95" customHeight="1">
      <c r="A498" s="11">
        <v>490</v>
      </c>
      <c r="B498" s="24">
        <v>103380181.7956776</v>
      </c>
      <c r="C498" s="24">
        <v>64691846.986654587</v>
      </c>
      <c r="D498" s="24">
        <v>75862484.26080516</v>
      </c>
      <c r="E498" s="24">
        <f>TSim[[#This Row],[ValorFinalReal]]-TSim[[#This Row],[AportesReales]]</f>
        <v>11170637.274150573</v>
      </c>
      <c r="F498" s="19">
        <f>IF(TSim[[#This Row],[ValorFinalReal]]&gt;=Meta,1,0)</f>
        <v>0</v>
      </c>
      <c r="G498" s="21">
        <v>0</v>
      </c>
    </row>
    <row r="499" spans="1:7" ht="16.95" customHeight="1">
      <c r="A499" s="11">
        <v>491</v>
      </c>
      <c r="B499" s="24">
        <v>89005193.348474473</v>
      </c>
      <c r="C499" s="24">
        <v>64857514.171936058</v>
      </c>
      <c r="D499" s="24">
        <v>77133413.747285739</v>
      </c>
      <c r="E499" s="24">
        <f>TSim[[#This Row],[ValorFinalReal]]-TSim[[#This Row],[AportesReales]]</f>
        <v>12275899.575349681</v>
      </c>
      <c r="F499" s="19">
        <f>IF(TSim[[#This Row],[ValorFinalReal]]&gt;=Meta,1,0)</f>
        <v>0</v>
      </c>
      <c r="G499" s="21">
        <v>1.0450558033503481E-3</v>
      </c>
    </row>
    <row r="500" spans="1:7" ht="16.95" customHeight="1">
      <c r="A500" s="11">
        <v>492</v>
      </c>
      <c r="B500" s="24">
        <v>85191885.235699266</v>
      </c>
      <c r="C500" s="24">
        <v>65040450.413339093</v>
      </c>
      <c r="D500" s="24">
        <v>88683296.070051104</v>
      </c>
      <c r="E500" s="24">
        <f>TSim[[#This Row],[ValorFinalReal]]-TSim[[#This Row],[AportesReales]]</f>
        <v>23642845.656712011</v>
      </c>
      <c r="F500" s="19">
        <f>IF(TSim[[#This Row],[ValorFinalReal]]&gt;=Meta,1,0)</f>
        <v>1</v>
      </c>
      <c r="G500" s="21">
        <v>0</v>
      </c>
    </row>
    <row r="501" spans="1:7" ht="16.95" customHeight="1">
      <c r="A501" s="11">
        <v>493</v>
      </c>
      <c r="B501" s="24">
        <v>97346067.245295689</v>
      </c>
      <c r="C501" s="24">
        <v>64821159.664470688</v>
      </c>
      <c r="D501" s="24">
        <v>81315264.991640747</v>
      </c>
      <c r="E501" s="24">
        <f>TSim[[#This Row],[ValorFinalReal]]-TSim[[#This Row],[AportesReales]]</f>
        <v>16494105.327170059</v>
      </c>
      <c r="F501" s="19">
        <f>IF(TSim[[#This Row],[ValorFinalReal]]&gt;=Meta,1,0)</f>
        <v>1</v>
      </c>
      <c r="G501" s="21">
        <v>7.4859911102567178E-3</v>
      </c>
    </row>
    <row r="502" spans="1:7" ht="16.95" customHeight="1">
      <c r="A502" s="11">
        <v>494</v>
      </c>
      <c r="B502" s="24">
        <v>98801454.555634484</v>
      </c>
      <c r="C502" s="24">
        <v>64725821.109507553</v>
      </c>
      <c r="D502" s="24">
        <v>75004081.509268358</v>
      </c>
      <c r="E502" s="24">
        <f>TSim[[#This Row],[ValorFinalReal]]-TSim[[#This Row],[AportesReales]]</f>
        <v>10278260.399760805</v>
      </c>
      <c r="F502" s="19">
        <f>IF(TSim[[#This Row],[ValorFinalReal]]&gt;=Meta,1,0)</f>
        <v>0</v>
      </c>
      <c r="G502" s="21">
        <v>0</v>
      </c>
    </row>
    <row r="503" spans="1:7" ht="16.95" customHeight="1">
      <c r="A503" s="11">
        <v>495</v>
      </c>
      <c r="B503" s="24">
        <v>73916685.467246577</v>
      </c>
      <c r="C503" s="24">
        <v>64998535.617660873</v>
      </c>
      <c r="D503" s="24">
        <v>73772830.926100537</v>
      </c>
      <c r="E503" s="24">
        <f>TSim[[#This Row],[ValorFinalReal]]-TSim[[#This Row],[AportesReales]]</f>
        <v>8774295.3084396645</v>
      </c>
      <c r="F503" s="19">
        <f>IF(TSim[[#This Row],[ValorFinalReal]]&gt;=Meta,1,0)</f>
        <v>0</v>
      </c>
      <c r="G503" s="21">
        <v>4.3367803144759298E-3</v>
      </c>
    </row>
    <row r="504" spans="1:7" ht="16.95" customHeight="1">
      <c r="A504" s="11">
        <v>496</v>
      </c>
      <c r="B504" s="24">
        <v>104330025.919065</v>
      </c>
      <c r="C504" s="24">
        <v>64653267.011097372</v>
      </c>
      <c r="D504" s="24">
        <v>73665594.769969717</v>
      </c>
      <c r="E504" s="24">
        <f>TSim[[#This Row],[ValorFinalReal]]-TSim[[#This Row],[AportesReales]]</f>
        <v>9012327.7588723451</v>
      </c>
      <c r="F504" s="19">
        <f>IF(TSim[[#This Row],[ValorFinalReal]]&gt;=Meta,1,0)</f>
        <v>0</v>
      </c>
      <c r="G504" s="21">
        <v>1.9233208173775052E-2</v>
      </c>
    </row>
    <row r="505" spans="1:7" ht="16.95" customHeight="1">
      <c r="A505" s="11">
        <v>497</v>
      </c>
      <c r="B505" s="24">
        <v>79608984.94044961</v>
      </c>
      <c r="C505" s="24">
        <v>64903824.736359231</v>
      </c>
      <c r="D505" s="24">
        <v>72254372.726696178</v>
      </c>
      <c r="E505" s="24">
        <f>TSim[[#This Row],[ValorFinalReal]]-TSim[[#This Row],[AportesReales]]</f>
        <v>7350547.9903369471</v>
      </c>
      <c r="F505" s="19">
        <f>IF(TSim[[#This Row],[ValorFinalReal]]&gt;=Meta,1,0)</f>
        <v>0</v>
      </c>
      <c r="G505" s="21">
        <v>1.274545695369667E-3</v>
      </c>
    </row>
    <row r="506" spans="1:7" ht="16.95" customHeight="1">
      <c r="A506" s="11">
        <v>498</v>
      </c>
      <c r="B506" s="24">
        <v>85604525.129047632</v>
      </c>
      <c r="C506" s="24">
        <v>64910737.603631943</v>
      </c>
      <c r="D506" s="24">
        <v>78238662.209336326</v>
      </c>
      <c r="E506" s="24">
        <f>TSim[[#This Row],[ValorFinalReal]]-TSim[[#This Row],[AportesReales]]</f>
        <v>13327924.605704382</v>
      </c>
      <c r="F506" s="19">
        <f>IF(TSim[[#This Row],[ValorFinalReal]]&gt;=Meta,1,0)</f>
        <v>0</v>
      </c>
      <c r="G506" s="21">
        <v>0</v>
      </c>
    </row>
    <row r="507" spans="1:7" ht="16.95" customHeight="1">
      <c r="A507" s="11">
        <v>499</v>
      </c>
      <c r="B507" s="24">
        <v>87010270.612560108</v>
      </c>
      <c r="C507" s="24">
        <v>64823009.672336087</v>
      </c>
      <c r="D507" s="24">
        <v>72849015.07153891</v>
      </c>
      <c r="E507" s="24">
        <f>TSim[[#This Row],[ValorFinalReal]]-TSim[[#This Row],[AportesReales]]</f>
        <v>8026005.3992028236</v>
      </c>
      <c r="F507" s="19">
        <f>IF(TSim[[#This Row],[ValorFinalReal]]&gt;=Meta,1,0)</f>
        <v>0</v>
      </c>
      <c r="G507" s="21">
        <v>4.7648871913138491E-3</v>
      </c>
    </row>
    <row r="508" spans="1:7" ht="16.95" customHeight="1">
      <c r="A508" s="11">
        <v>500</v>
      </c>
      <c r="B508" s="24">
        <v>94746487.378038675</v>
      </c>
      <c r="C508" s="24">
        <v>64847933.078697354</v>
      </c>
      <c r="D508" s="24">
        <v>81331084.336826608</v>
      </c>
      <c r="E508" s="24">
        <f>TSim[[#This Row],[ValorFinalReal]]-TSim[[#This Row],[AportesReales]]</f>
        <v>16483151.258129254</v>
      </c>
      <c r="F508" s="19">
        <f>IF(TSim[[#This Row],[ValorFinalReal]]&gt;=Meta,1,0)</f>
        <v>1</v>
      </c>
      <c r="G508" s="21">
        <v>0</v>
      </c>
    </row>
    <row r="509" spans="1:7" ht="16.95" customHeight="1">
      <c r="A509" s="11">
        <v>501</v>
      </c>
      <c r="B509" s="24">
        <v>87523575.761335552</v>
      </c>
      <c r="C509" s="24">
        <v>64867857.800399497</v>
      </c>
      <c r="D509" s="24">
        <v>76645047.414379463</v>
      </c>
      <c r="E509" s="24">
        <f>TSim[[#This Row],[ValorFinalReal]]-TSim[[#This Row],[AportesReales]]</f>
        <v>11777189.613979965</v>
      </c>
      <c r="F509" s="19">
        <f>IF(TSim[[#This Row],[ValorFinalReal]]&gt;=Meta,1,0)</f>
        <v>0</v>
      </c>
      <c r="G509" s="21">
        <v>0</v>
      </c>
    </row>
    <row r="510" spans="1:7" ht="16.95" customHeight="1">
      <c r="A510" s="11">
        <v>502</v>
      </c>
      <c r="B510" s="24">
        <v>106403600.9300538</v>
      </c>
      <c r="C510" s="24">
        <v>64686875.964729548</v>
      </c>
      <c r="D510" s="24">
        <v>77688839.403629854</v>
      </c>
      <c r="E510" s="24">
        <f>TSim[[#This Row],[ValorFinalReal]]-TSim[[#This Row],[AportesReales]]</f>
        <v>13001963.438900307</v>
      </c>
      <c r="F510" s="19">
        <f>IF(TSim[[#This Row],[ValorFinalReal]]&gt;=Meta,1,0)</f>
        <v>0</v>
      </c>
      <c r="G510" s="21">
        <v>9.4596410486301741E-3</v>
      </c>
    </row>
    <row r="511" spans="1:7" ht="16.95" customHeight="1">
      <c r="A511" s="11">
        <v>503</v>
      </c>
      <c r="B511" s="24">
        <v>87120158.661524087</v>
      </c>
      <c r="C511" s="24">
        <v>64850773.659658179</v>
      </c>
      <c r="D511" s="24">
        <v>75004272.575616837</v>
      </c>
      <c r="E511" s="24">
        <f>TSim[[#This Row],[ValorFinalReal]]-TSim[[#This Row],[AportesReales]]</f>
        <v>10153498.915958658</v>
      </c>
      <c r="F511" s="19">
        <f>IF(TSim[[#This Row],[ValorFinalReal]]&gt;=Meta,1,0)</f>
        <v>0</v>
      </c>
      <c r="G511" s="21">
        <v>0</v>
      </c>
    </row>
    <row r="512" spans="1:7" ht="16.95" customHeight="1">
      <c r="A512" s="11">
        <v>504</v>
      </c>
      <c r="B512" s="24">
        <v>100483579.1902688</v>
      </c>
      <c r="C512" s="24">
        <v>64836069.296085663</v>
      </c>
      <c r="D512" s="24">
        <v>85242230.241228417</v>
      </c>
      <c r="E512" s="24">
        <f>TSim[[#This Row],[ValorFinalReal]]-TSim[[#This Row],[AportesReales]]</f>
        <v>20406160.945142753</v>
      </c>
      <c r="F512" s="19">
        <f>IF(TSim[[#This Row],[ValorFinalReal]]&gt;=Meta,1,0)</f>
        <v>1</v>
      </c>
      <c r="G512" s="21">
        <v>0</v>
      </c>
    </row>
    <row r="513" spans="1:7" ht="16.95" customHeight="1">
      <c r="A513" s="11">
        <v>505</v>
      </c>
      <c r="B513" s="24">
        <v>90579932.890573651</v>
      </c>
      <c r="C513" s="24">
        <v>64897661.298730493</v>
      </c>
      <c r="D513" s="24">
        <v>81733441.785142243</v>
      </c>
      <c r="E513" s="24">
        <f>TSim[[#This Row],[ValorFinalReal]]-TSim[[#This Row],[AportesReales]]</f>
        <v>16835780.48641175</v>
      </c>
      <c r="F513" s="19">
        <f>IF(TSim[[#This Row],[ValorFinalReal]]&gt;=Meta,1,0)</f>
        <v>1</v>
      </c>
      <c r="G513" s="21">
        <v>0</v>
      </c>
    </row>
    <row r="514" spans="1:7" ht="16.95" customHeight="1">
      <c r="A514" s="11">
        <v>506</v>
      </c>
      <c r="B514" s="24">
        <v>91654662.826704532</v>
      </c>
      <c r="C514" s="24">
        <v>64854533.044281743</v>
      </c>
      <c r="D514" s="24">
        <v>79196202.353950202</v>
      </c>
      <c r="E514" s="24">
        <f>TSim[[#This Row],[ValorFinalReal]]-TSim[[#This Row],[AportesReales]]</f>
        <v>14341669.309668459</v>
      </c>
      <c r="F514" s="19">
        <f>IF(TSim[[#This Row],[ValorFinalReal]]&gt;=Meta,1,0)</f>
        <v>0</v>
      </c>
      <c r="G514" s="21">
        <v>8.3344799259802427E-3</v>
      </c>
    </row>
    <row r="515" spans="1:7" ht="16.95" customHeight="1">
      <c r="A515" s="11">
        <v>507</v>
      </c>
      <c r="B515" s="24">
        <v>85771628.682795808</v>
      </c>
      <c r="C515" s="24">
        <v>64823752.38913931</v>
      </c>
      <c r="D515" s="24">
        <v>71866550.69671537</v>
      </c>
      <c r="E515" s="24">
        <f>TSim[[#This Row],[ValorFinalReal]]-TSim[[#This Row],[AportesReales]]</f>
        <v>7042798.3075760603</v>
      </c>
      <c r="F515" s="19">
        <f>IF(TSim[[#This Row],[ValorFinalReal]]&gt;=Meta,1,0)</f>
        <v>0</v>
      </c>
      <c r="G515" s="21">
        <v>8.8042278755408043E-3</v>
      </c>
    </row>
    <row r="516" spans="1:7" ht="16.95" customHeight="1">
      <c r="A516" s="11">
        <v>508</v>
      </c>
      <c r="B516" s="24">
        <v>85525226.705231264</v>
      </c>
      <c r="C516" s="24">
        <v>64873516.727965526</v>
      </c>
      <c r="D516" s="24">
        <v>75293117.752287209</v>
      </c>
      <c r="E516" s="24">
        <f>TSim[[#This Row],[ValorFinalReal]]-TSim[[#This Row],[AportesReales]]</f>
        <v>10419601.024321683</v>
      </c>
      <c r="F516" s="19">
        <f>IF(TSim[[#This Row],[ValorFinalReal]]&gt;=Meta,1,0)</f>
        <v>0</v>
      </c>
      <c r="G516" s="21">
        <v>1.234669983787295E-3</v>
      </c>
    </row>
    <row r="517" spans="1:7" ht="16.95" customHeight="1">
      <c r="A517" s="11">
        <v>509</v>
      </c>
      <c r="B517" s="24">
        <v>101339676.4995313</v>
      </c>
      <c r="C517" s="24">
        <v>64834343.895726644</v>
      </c>
      <c r="D517" s="24">
        <v>85804397.167874381</v>
      </c>
      <c r="E517" s="24">
        <f>TSim[[#This Row],[ValorFinalReal]]-TSim[[#This Row],[AportesReales]]</f>
        <v>20970053.272147737</v>
      </c>
      <c r="F517" s="19">
        <f>IF(TSim[[#This Row],[ValorFinalReal]]&gt;=Meta,1,0)</f>
        <v>1</v>
      </c>
      <c r="G517" s="21">
        <v>0</v>
      </c>
    </row>
    <row r="518" spans="1:7" ht="16.95" customHeight="1">
      <c r="A518" s="11">
        <v>510</v>
      </c>
      <c r="B518" s="24">
        <v>86689912.842131227</v>
      </c>
      <c r="C518" s="24">
        <v>64782253.320009761</v>
      </c>
      <c r="D518" s="24">
        <v>69648091.286576495</v>
      </c>
      <c r="E518" s="24">
        <f>TSim[[#This Row],[ValorFinalReal]]-TSim[[#This Row],[AportesReales]]</f>
        <v>4865837.966566734</v>
      </c>
      <c r="F518" s="19">
        <f>IF(TSim[[#This Row],[ValorFinalReal]]&gt;=Meta,1,0)</f>
        <v>0</v>
      </c>
      <c r="G518" s="21">
        <v>1.8605870642042551E-2</v>
      </c>
    </row>
    <row r="519" spans="1:7" ht="16.95" customHeight="1">
      <c r="A519" s="11">
        <v>511</v>
      </c>
      <c r="B519" s="24">
        <v>83994325.000626996</v>
      </c>
      <c r="C519" s="24">
        <v>64907617.833091147</v>
      </c>
      <c r="D519" s="24">
        <v>76515723.769775286</v>
      </c>
      <c r="E519" s="24">
        <f>TSim[[#This Row],[ValorFinalReal]]-TSim[[#This Row],[AportesReales]]</f>
        <v>11608105.936684139</v>
      </c>
      <c r="F519" s="19">
        <f>IF(TSim[[#This Row],[ValorFinalReal]]&gt;=Meta,1,0)</f>
        <v>0</v>
      </c>
      <c r="G519" s="21">
        <v>1.083480062162023E-2</v>
      </c>
    </row>
    <row r="520" spans="1:7" ht="16.95" customHeight="1">
      <c r="A520" s="11">
        <v>512</v>
      </c>
      <c r="B520" s="24">
        <v>86145293.282009453</v>
      </c>
      <c r="C520" s="24">
        <v>64963819.721781529</v>
      </c>
      <c r="D520" s="24">
        <v>83048622.710408449</v>
      </c>
      <c r="E520" s="24">
        <f>TSim[[#This Row],[ValorFinalReal]]-TSim[[#This Row],[AportesReales]]</f>
        <v>18084802.98862692</v>
      </c>
      <c r="F520" s="19">
        <f>IF(TSim[[#This Row],[ValorFinalReal]]&gt;=Meta,1,0)</f>
        <v>1</v>
      </c>
      <c r="G520" s="21">
        <v>6.84147712791916E-3</v>
      </c>
    </row>
    <row r="521" spans="1:7" ht="16.95" customHeight="1">
      <c r="A521" s="11">
        <v>513</v>
      </c>
      <c r="B521" s="24">
        <v>81967835.548085958</v>
      </c>
      <c r="C521" s="24">
        <v>64951826.684252493</v>
      </c>
      <c r="D521" s="24">
        <v>78069115.072300971</v>
      </c>
      <c r="E521" s="24">
        <f>TSim[[#This Row],[ValorFinalReal]]-TSim[[#This Row],[AportesReales]]</f>
        <v>13117288.388048477</v>
      </c>
      <c r="F521" s="19">
        <f>IF(TSim[[#This Row],[ValorFinalReal]]&gt;=Meta,1,0)</f>
        <v>0</v>
      </c>
      <c r="G521" s="21">
        <v>1.0153983883536279E-3</v>
      </c>
    </row>
    <row r="522" spans="1:7" ht="16.95" customHeight="1">
      <c r="A522" s="11">
        <v>514</v>
      </c>
      <c r="B522" s="24">
        <v>96741855.779851735</v>
      </c>
      <c r="C522" s="24">
        <v>64882992.111693121</v>
      </c>
      <c r="D522" s="24">
        <v>86011496.290634125</v>
      </c>
      <c r="E522" s="24">
        <f>TSim[[#This Row],[ValorFinalReal]]-TSim[[#This Row],[AportesReales]]</f>
        <v>21128504.178941004</v>
      </c>
      <c r="F522" s="19">
        <f>IF(TSim[[#This Row],[ValorFinalReal]]&gt;=Meta,1,0)</f>
        <v>1</v>
      </c>
      <c r="G522" s="21">
        <v>0</v>
      </c>
    </row>
    <row r="523" spans="1:7" ht="16.95" customHeight="1">
      <c r="A523" s="11">
        <v>515</v>
      </c>
      <c r="B523" s="24">
        <v>86406939.805524737</v>
      </c>
      <c r="C523" s="24">
        <v>64866715.971877411</v>
      </c>
      <c r="D523" s="24">
        <v>75567629.834165111</v>
      </c>
      <c r="E523" s="24">
        <f>TSim[[#This Row],[ValorFinalReal]]-TSim[[#This Row],[AportesReales]]</f>
        <v>10700913.8622877</v>
      </c>
      <c r="F523" s="19">
        <f>IF(TSim[[#This Row],[ValorFinalReal]]&gt;=Meta,1,0)</f>
        <v>0</v>
      </c>
      <c r="G523" s="21">
        <v>3.4610189231546462E-3</v>
      </c>
    </row>
    <row r="524" spans="1:7" ht="16.95" customHeight="1">
      <c r="A524" s="11">
        <v>516</v>
      </c>
      <c r="B524" s="24">
        <v>87846858.067923605</v>
      </c>
      <c r="C524" s="24">
        <v>65003786.044903107</v>
      </c>
      <c r="D524" s="24">
        <v>88112705.304709211</v>
      </c>
      <c r="E524" s="24">
        <f>TSim[[#This Row],[ValorFinalReal]]-TSim[[#This Row],[AportesReales]]</f>
        <v>23108919.259806104</v>
      </c>
      <c r="F524" s="19">
        <f>IF(TSim[[#This Row],[ValorFinalReal]]&gt;=Meta,1,0)</f>
        <v>1</v>
      </c>
      <c r="G524" s="21">
        <v>6.1478900640075107E-3</v>
      </c>
    </row>
    <row r="525" spans="1:7" ht="16.95" customHeight="1">
      <c r="A525" s="11">
        <v>517</v>
      </c>
      <c r="B525" s="24">
        <v>99942037.902328506</v>
      </c>
      <c r="C525" s="24">
        <v>64865439.238320842</v>
      </c>
      <c r="D525" s="24">
        <v>87310499.636462703</v>
      </c>
      <c r="E525" s="24">
        <f>TSim[[#This Row],[ValorFinalReal]]-TSim[[#This Row],[AportesReales]]</f>
        <v>22445060.398141861</v>
      </c>
      <c r="F525" s="19">
        <f>IF(TSim[[#This Row],[ValorFinalReal]]&gt;=Meta,1,0)</f>
        <v>1</v>
      </c>
      <c r="G525" s="21">
        <v>8.4746513799340839E-3</v>
      </c>
    </row>
    <row r="526" spans="1:7" ht="16.95" customHeight="1">
      <c r="A526" s="11">
        <v>518</v>
      </c>
      <c r="B526" s="24">
        <v>86134910.4055904</v>
      </c>
      <c r="C526" s="24">
        <v>64928129.389416918</v>
      </c>
      <c r="D526" s="24">
        <v>80117099.749083489</v>
      </c>
      <c r="E526" s="24">
        <f>TSim[[#This Row],[ValorFinalReal]]-TSim[[#This Row],[AportesReales]]</f>
        <v>15188970.359666571</v>
      </c>
      <c r="F526" s="19">
        <f>IF(TSim[[#This Row],[ValorFinalReal]]&gt;=Meta,1,0)</f>
        <v>1</v>
      </c>
      <c r="G526" s="21">
        <v>1.0575906659204831E-5</v>
      </c>
    </row>
    <row r="527" spans="1:7" ht="16.95" customHeight="1">
      <c r="A527" s="11">
        <v>519</v>
      </c>
      <c r="B527" s="24">
        <v>85010849.380938202</v>
      </c>
      <c r="C527" s="24">
        <v>64947648.515511453</v>
      </c>
      <c r="D527" s="24">
        <v>80627224.327728093</v>
      </c>
      <c r="E527" s="24">
        <f>TSim[[#This Row],[ValorFinalReal]]-TSim[[#This Row],[AportesReales]]</f>
        <v>15679575.81221664</v>
      </c>
      <c r="F527" s="19">
        <f>IF(TSim[[#This Row],[ValorFinalReal]]&gt;=Meta,1,0)</f>
        <v>1</v>
      </c>
      <c r="G527" s="21">
        <v>0</v>
      </c>
    </row>
    <row r="528" spans="1:7" ht="16.95" customHeight="1">
      <c r="A528" s="11">
        <v>520</v>
      </c>
      <c r="B528" s="24">
        <v>104985392.3738842</v>
      </c>
      <c r="C528" s="24">
        <v>64660104.264423013</v>
      </c>
      <c r="D528" s="24">
        <v>74629238.937221169</v>
      </c>
      <c r="E528" s="24">
        <f>TSim[[#This Row],[ValorFinalReal]]-TSim[[#This Row],[AportesReales]]</f>
        <v>9969134.6727981567</v>
      </c>
      <c r="F528" s="19">
        <f>IF(TSim[[#This Row],[ValorFinalReal]]&gt;=Meta,1,0)</f>
        <v>0</v>
      </c>
      <c r="G528" s="21">
        <v>3.986328942716999E-3</v>
      </c>
    </row>
    <row r="529" spans="1:7" ht="16.95" customHeight="1">
      <c r="A529" s="11">
        <v>521</v>
      </c>
      <c r="B529" s="24">
        <v>102827537.7936331</v>
      </c>
      <c r="C529" s="24">
        <v>64786126.929773852</v>
      </c>
      <c r="D529" s="24">
        <v>82961272.59646143</v>
      </c>
      <c r="E529" s="24">
        <f>TSim[[#This Row],[ValorFinalReal]]-TSim[[#This Row],[AportesReales]]</f>
        <v>18175145.666687578</v>
      </c>
      <c r="F529" s="19">
        <f>IF(TSim[[#This Row],[ValorFinalReal]]&gt;=Meta,1,0)</f>
        <v>1</v>
      </c>
      <c r="G529" s="21">
        <v>0</v>
      </c>
    </row>
    <row r="530" spans="1:7" ht="16.95" customHeight="1">
      <c r="A530" s="11">
        <v>522</v>
      </c>
      <c r="B530" s="24">
        <v>84200546.80459936</v>
      </c>
      <c r="C530" s="24">
        <v>64941726.419774003</v>
      </c>
      <c r="D530" s="24">
        <v>79404091.729679823</v>
      </c>
      <c r="E530" s="24">
        <f>TSim[[#This Row],[ValorFinalReal]]-TSim[[#This Row],[AportesReales]]</f>
        <v>14462365.30990582</v>
      </c>
      <c r="F530" s="19">
        <f>IF(TSim[[#This Row],[ValorFinalReal]]&gt;=Meta,1,0)</f>
        <v>0</v>
      </c>
      <c r="G530" s="21">
        <v>4.6516734580860364E-3</v>
      </c>
    </row>
    <row r="531" spans="1:7" ht="16.95" customHeight="1">
      <c r="A531" s="11">
        <v>523</v>
      </c>
      <c r="B531" s="24">
        <v>105771623.7496608</v>
      </c>
      <c r="C531" s="24">
        <v>64770593.110198043</v>
      </c>
      <c r="D531" s="24">
        <v>84018466.168769076</v>
      </c>
      <c r="E531" s="24">
        <f>TSim[[#This Row],[ValorFinalReal]]-TSim[[#This Row],[AportesReales]]</f>
        <v>19247873.058571033</v>
      </c>
      <c r="F531" s="19">
        <f>IF(TSim[[#This Row],[ValorFinalReal]]&gt;=Meta,1,0)</f>
        <v>1</v>
      </c>
      <c r="G531" s="21">
        <v>0</v>
      </c>
    </row>
    <row r="532" spans="1:7" ht="16.95" customHeight="1">
      <c r="A532" s="11">
        <v>524</v>
      </c>
      <c r="B532" s="24">
        <v>98458805.065779999</v>
      </c>
      <c r="C532" s="24">
        <v>64938120.465853922</v>
      </c>
      <c r="D532" s="24">
        <v>92467343.568523824</v>
      </c>
      <c r="E532" s="24">
        <f>TSim[[#This Row],[ValorFinalReal]]-TSim[[#This Row],[AportesReales]]</f>
        <v>27529223.102669902</v>
      </c>
      <c r="F532" s="19">
        <f>IF(TSim[[#This Row],[ValorFinalReal]]&gt;=Meta,1,0)</f>
        <v>1</v>
      </c>
      <c r="G532" s="21">
        <v>0</v>
      </c>
    </row>
    <row r="533" spans="1:7" ht="16.95" customHeight="1">
      <c r="A533" s="11">
        <v>525</v>
      </c>
      <c r="B533" s="24">
        <v>85715040.283249825</v>
      </c>
      <c r="C533" s="24">
        <v>64784250.114040174</v>
      </c>
      <c r="D533" s="24">
        <v>69039170.101987958</v>
      </c>
      <c r="E533" s="24">
        <f>TSim[[#This Row],[ValorFinalReal]]-TSim[[#This Row],[AportesReales]]</f>
        <v>4254919.9879477844</v>
      </c>
      <c r="F533" s="19">
        <f>IF(TSim[[#This Row],[ValorFinalReal]]&gt;=Meta,1,0)</f>
        <v>0</v>
      </c>
      <c r="G533" s="21">
        <v>7.0269008039901548E-3</v>
      </c>
    </row>
    <row r="534" spans="1:7" ht="16.95" customHeight="1">
      <c r="A534" s="11">
        <v>526</v>
      </c>
      <c r="B534" s="24">
        <v>87239452.578104123</v>
      </c>
      <c r="C534" s="24">
        <v>64903170.000736333</v>
      </c>
      <c r="D534" s="24">
        <v>79153303.677769721</v>
      </c>
      <c r="E534" s="24">
        <f>TSim[[#This Row],[ValorFinalReal]]-TSim[[#This Row],[AportesReales]]</f>
        <v>14250133.677033387</v>
      </c>
      <c r="F534" s="19">
        <f>IF(TSim[[#This Row],[ValorFinalReal]]&gt;=Meta,1,0)</f>
        <v>0</v>
      </c>
      <c r="G534" s="21">
        <v>8.7520275973952399E-3</v>
      </c>
    </row>
    <row r="535" spans="1:7" ht="16.95" customHeight="1">
      <c r="A535" s="11">
        <v>527</v>
      </c>
      <c r="B535" s="24">
        <v>108065886.37360141</v>
      </c>
      <c r="C535" s="24">
        <v>64815440.138482466</v>
      </c>
      <c r="D535" s="24">
        <v>89765885.863628119</v>
      </c>
      <c r="E535" s="24">
        <f>TSim[[#This Row],[ValorFinalReal]]-TSim[[#This Row],[AportesReales]]</f>
        <v>24950445.725145653</v>
      </c>
      <c r="F535" s="19">
        <f>IF(TSim[[#This Row],[ValorFinalReal]]&gt;=Meta,1,0)</f>
        <v>1</v>
      </c>
      <c r="G535" s="21">
        <v>0</v>
      </c>
    </row>
    <row r="536" spans="1:7" ht="16.95" customHeight="1">
      <c r="A536" s="11">
        <v>528</v>
      </c>
      <c r="B536" s="24">
        <v>91660704.766060382</v>
      </c>
      <c r="C536" s="24">
        <v>64831611.499106579</v>
      </c>
      <c r="D536" s="24">
        <v>77389829.172668129</v>
      </c>
      <c r="E536" s="24">
        <f>TSim[[#This Row],[ValorFinalReal]]-TSim[[#This Row],[AportesReales]]</f>
        <v>12558217.673561551</v>
      </c>
      <c r="F536" s="19">
        <f>IF(TSim[[#This Row],[ValorFinalReal]]&gt;=Meta,1,0)</f>
        <v>0</v>
      </c>
      <c r="G536" s="21">
        <v>5.1089156041411732E-3</v>
      </c>
    </row>
    <row r="537" spans="1:7" ht="16.95" customHeight="1">
      <c r="A537" s="11">
        <v>529</v>
      </c>
      <c r="B537" s="24">
        <v>83484116.313671142</v>
      </c>
      <c r="C537" s="24">
        <v>65022236.382648081</v>
      </c>
      <c r="D537" s="24">
        <v>85270281.721748993</v>
      </c>
      <c r="E537" s="24">
        <f>TSim[[#This Row],[ValorFinalReal]]-TSim[[#This Row],[AportesReales]]</f>
        <v>20248045.339100912</v>
      </c>
      <c r="F537" s="19">
        <f>IF(TSim[[#This Row],[ValorFinalReal]]&gt;=Meta,1,0)</f>
        <v>1</v>
      </c>
      <c r="G537" s="21">
        <v>0</v>
      </c>
    </row>
    <row r="538" spans="1:7" ht="16.95" customHeight="1">
      <c r="A538" s="11">
        <v>530</v>
      </c>
      <c r="B538" s="24">
        <v>83446247.605417252</v>
      </c>
      <c r="C538" s="24">
        <v>64794089.517511472</v>
      </c>
      <c r="D538" s="24">
        <v>67870986.501894683</v>
      </c>
      <c r="E538" s="24">
        <f>TSim[[#This Row],[ValorFinalReal]]-TSim[[#This Row],[AportesReales]]</f>
        <v>3076896.9843832105</v>
      </c>
      <c r="F538" s="19">
        <f>IF(TSim[[#This Row],[ValorFinalReal]]&gt;=Meta,1,0)</f>
        <v>0</v>
      </c>
      <c r="G538" s="21">
        <v>3.4407306766072181E-3</v>
      </c>
    </row>
    <row r="539" spans="1:7" ht="16.95" customHeight="1">
      <c r="A539" s="11">
        <v>531</v>
      </c>
      <c r="B539" s="24">
        <v>88930257.126893237</v>
      </c>
      <c r="C539" s="24">
        <v>65015004.832245007</v>
      </c>
      <c r="D539" s="24">
        <v>90177468.32174316</v>
      </c>
      <c r="E539" s="24">
        <f>TSim[[#This Row],[ValorFinalReal]]-TSim[[#This Row],[AportesReales]]</f>
        <v>25162463.489498153</v>
      </c>
      <c r="F539" s="19">
        <f>IF(TSim[[#This Row],[ValorFinalReal]]&gt;=Meta,1,0)</f>
        <v>1</v>
      </c>
      <c r="G539" s="21">
        <v>5.157389099865628E-3</v>
      </c>
    </row>
    <row r="540" spans="1:7" ht="16.95" customHeight="1">
      <c r="A540" s="11">
        <v>532</v>
      </c>
      <c r="B540" s="24">
        <v>83836659.292261615</v>
      </c>
      <c r="C540" s="24">
        <v>64937286.75111796</v>
      </c>
      <c r="D540" s="24">
        <v>78686646.894905016</v>
      </c>
      <c r="E540" s="24">
        <f>TSim[[#This Row],[ValorFinalReal]]-TSim[[#This Row],[AportesReales]]</f>
        <v>13749360.143787056</v>
      </c>
      <c r="F540" s="19">
        <f>IF(TSim[[#This Row],[ValorFinalReal]]&gt;=Meta,1,0)</f>
        <v>0</v>
      </c>
      <c r="G540" s="21">
        <v>8.8511335609344766E-3</v>
      </c>
    </row>
    <row r="541" spans="1:7" ht="16.95" customHeight="1">
      <c r="A541" s="11">
        <v>533</v>
      </c>
      <c r="B541" s="24">
        <v>95789514.675614595</v>
      </c>
      <c r="C541" s="24">
        <v>64845119.260862298</v>
      </c>
      <c r="D541" s="24">
        <v>81969319.774240777</v>
      </c>
      <c r="E541" s="24">
        <f>TSim[[#This Row],[ValorFinalReal]]-TSim[[#This Row],[AportesReales]]</f>
        <v>17124200.513378479</v>
      </c>
      <c r="F541" s="19">
        <f>IF(TSim[[#This Row],[ValorFinalReal]]&gt;=Meta,1,0)</f>
        <v>1</v>
      </c>
      <c r="G541" s="21">
        <v>7.6595118770605986E-4</v>
      </c>
    </row>
    <row r="542" spans="1:7" ht="16.95" customHeight="1">
      <c r="A542" s="11">
        <v>534</v>
      </c>
      <c r="B542" s="24">
        <v>74870365.017237648</v>
      </c>
      <c r="C542" s="24">
        <v>64992964.494800247</v>
      </c>
      <c r="D542" s="24">
        <v>74298970.740609989</v>
      </c>
      <c r="E542" s="24">
        <f>TSim[[#This Row],[ValorFinalReal]]-TSim[[#This Row],[AportesReales]]</f>
        <v>9306006.2458097413</v>
      </c>
      <c r="F542" s="19">
        <f>IF(TSim[[#This Row],[ValorFinalReal]]&gt;=Meta,1,0)</f>
        <v>0</v>
      </c>
      <c r="G542" s="21">
        <v>2.8080748152545798E-3</v>
      </c>
    </row>
    <row r="543" spans="1:7" ht="16.95" customHeight="1">
      <c r="A543" s="11">
        <v>535</v>
      </c>
      <c r="B543" s="24">
        <v>81994354.035935193</v>
      </c>
      <c r="C543" s="24">
        <v>65009893.664605416</v>
      </c>
      <c r="D543" s="24">
        <v>82718340.129118636</v>
      </c>
      <c r="E543" s="24">
        <f>TSim[[#This Row],[ValorFinalReal]]-TSim[[#This Row],[AportesReales]]</f>
        <v>17708446.46451322</v>
      </c>
      <c r="F543" s="19">
        <f>IF(TSim[[#This Row],[ValorFinalReal]]&gt;=Meta,1,0)</f>
        <v>1</v>
      </c>
      <c r="G543" s="21">
        <v>1.918056611728169E-3</v>
      </c>
    </row>
    <row r="544" spans="1:7" ht="16.95" customHeight="1">
      <c r="A544" s="11">
        <v>536</v>
      </c>
      <c r="B544" s="24">
        <v>87483078.875839427</v>
      </c>
      <c r="C544" s="24">
        <v>64684981.870403253</v>
      </c>
      <c r="D544" s="24">
        <v>63746404.071624286</v>
      </c>
      <c r="E544" s="24">
        <f>TSim[[#This Row],[ValorFinalReal]]-TSim[[#This Row],[AportesReales]]</f>
        <v>-938577.79877896607</v>
      </c>
      <c r="F544" s="19">
        <f>IF(TSim[[#This Row],[ValorFinalReal]]&gt;=Meta,1,0)</f>
        <v>0</v>
      </c>
      <c r="G544" s="21">
        <v>3.3858152839192361E-3</v>
      </c>
    </row>
    <row r="545" spans="1:7" ht="16.95" customHeight="1">
      <c r="A545" s="11">
        <v>537</v>
      </c>
      <c r="B545" s="24">
        <v>83803525.925291285</v>
      </c>
      <c r="C545" s="24">
        <v>64970814.249757066</v>
      </c>
      <c r="D545" s="24">
        <v>81328236.606360793</v>
      </c>
      <c r="E545" s="24">
        <f>TSim[[#This Row],[ValorFinalReal]]-TSim[[#This Row],[AportesReales]]</f>
        <v>16357422.356603727</v>
      </c>
      <c r="F545" s="19">
        <f>IF(TSim[[#This Row],[ValorFinalReal]]&gt;=Meta,1,0)</f>
        <v>1</v>
      </c>
      <c r="G545" s="21">
        <v>0</v>
      </c>
    </row>
    <row r="546" spans="1:7" ht="16.95" customHeight="1">
      <c r="A546" s="11">
        <v>538</v>
      </c>
      <c r="B546" s="24">
        <v>88926888.69913201</v>
      </c>
      <c r="C546" s="24">
        <v>64958021.157458179</v>
      </c>
      <c r="D546" s="24">
        <v>85233753.993165791</v>
      </c>
      <c r="E546" s="24">
        <f>TSim[[#This Row],[ValorFinalReal]]-TSim[[#This Row],[AportesReales]]</f>
        <v>20275732.835707612</v>
      </c>
      <c r="F546" s="19">
        <f>IF(TSim[[#This Row],[ValorFinalReal]]&gt;=Meta,1,0)</f>
        <v>1</v>
      </c>
      <c r="G546" s="21">
        <v>0</v>
      </c>
    </row>
    <row r="547" spans="1:7" ht="16.95" customHeight="1">
      <c r="A547" s="11">
        <v>539</v>
      </c>
      <c r="B547" s="24">
        <v>94469501.585223511</v>
      </c>
      <c r="C547" s="24">
        <v>64824526.648496628</v>
      </c>
      <c r="D547" s="24">
        <v>79191878.729468286</v>
      </c>
      <c r="E547" s="24">
        <f>TSim[[#This Row],[ValorFinalReal]]-TSim[[#This Row],[AportesReales]]</f>
        <v>14367352.080971658</v>
      </c>
      <c r="F547" s="19">
        <f>IF(TSim[[#This Row],[ValorFinalReal]]&gt;=Meta,1,0)</f>
        <v>0</v>
      </c>
      <c r="G547" s="21">
        <v>0</v>
      </c>
    </row>
    <row r="548" spans="1:7" ht="16.95" customHeight="1">
      <c r="A548" s="11">
        <v>540</v>
      </c>
      <c r="B548" s="24">
        <v>97057283.444408953</v>
      </c>
      <c r="C548" s="24">
        <v>64835493.470007516</v>
      </c>
      <c r="D548" s="24">
        <v>82252844.276118964</v>
      </c>
      <c r="E548" s="24">
        <f>TSim[[#This Row],[ValorFinalReal]]-TSim[[#This Row],[AportesReales]]</f>
        <v>17417350.806111448</v>
      </c>
      <c r="F548" s="19">
        <f>IF(TSim[[#This Row],[ValorFinalReal]]&gt;=Meta,1,0)</f>
        <v>1</v>
      </c>
      <c r="G548" s="21">
        <v>1.1520001252034669E-2</v>
      </c>
    </row>
    <row r="549" spans="1:7" ht="16.95" customHeight="1">
      <c r="A549" s="11">
        <v>541</v>
      </c>
      <c r="B549" s="24">
        <v>91834129.980879545</v>
      </c>
      <c r="C549" s="24">
        <v>64880410.284285471</v>
      </c>
      <c r="D549" s="24">
        <v>81436233.612606525</v>
      </c>
      <c r="E549" s="24">
        <f>TSim[[#This Row],[ValorFinalReal]]-TSim[[#This Row],[AportesReales]]</f>
        <v>16555823.328321055</v>
      </c>
      <c r="F549" s="19">
        <f>IF(TSim[[#This Row],[ValorFinalReal]]&gt;=Meta,1,0)</f>
        <v>1</v>
      </c>
      <c r="G549" s="21">
        <v>1.0637611794461649E-2</v>
      </c>
    </row>
    <row r="550" spans="1:7" ht="16.95" customHeight="1">
      <c r="A550" s="11">
        <v>542</v>
      </c>
      <c r="B550" s="24">
        <v>103572121.1191389</v>
      </c>
      <c r="C550" s="24">
        <v>64786431.676831357</v>
      </c>
      <c r="D550" s="24">
        <v>83583081.055839106</v>
      </c>
      <c r="E550" s="24">
        <f>TSim[[#This Row],[ValorFinalReal]]-TSim[[#This Row],[AportesReales]]</f>
        <v>18796649.379007749</v>
      </c>
      <c r="F550" s="19">
        <f>IF(TSim[[#This Row],[ValorFinalReal]]&gt;=Meta,1,0)</f>
        <v>1</v>
      </c>
      <c r="G550" s="21">
        <v>5.4684372592730401E-3</v>
      </c>
    </row>
    <row r="551" spans="1:7" ht="16.95" customHeight="1">
      <c r="A551" s="11">
        <v>543</v>
      </c>
      <c r="B551" s="24">
        <v>88426756.618360043</v>
      </c>
      <c r="C551" s="24">
        <v>64769831.776776612</v>
      </c>
      <c r="D551" s="24">
        <v>70195842.91014488</v>
      </c>
      <c r="E551" s="24">
        <f>TSim[[#This Row],[ValorFinalReal]]-TSim[[#This Row],[AportesReales]]</f>
        <v>5426011.1333682686</v>
      </c>
      <c r="F551" s="19">
        <f>IF(TSim[[#This Row],[ValorFinalReal]]&gt;=Meta,1,0)</f>
        <v>0</v>
      </c>
      <c r="G551" s="21">
        <v>0</v>
      </c>
    </row>
    <row r="552" spans="1:7" ht="16.95" customHeight="1">
      <c r="A552" s="11">
        <v>544</v>
      </c>
      <c r="B552" s="24">
        <v>93917196.064626575</v>
      </c>
      <c r="C552" s="24">
        <v>64788965.525525019</v>
      </c>
      <c r="D552" s="24">
        <v>75987494.545176223</v>
      </c>
      <c r="E552" s="24">
        <f>TSim[[#This Row],[ValorFinalReal]]-TSim[[#This Row],[AportesReales]]</f>
        <v>11198529.019651204</v>
      </c>
      <c r="F552" s="19">
        <f>IF(TSim[[#This Row],[ValorFinalReal]]&gt;=Meta,1,0)</f>
        <v>0</v>
      </c>
      <c r="G552" s="21">
        <v>2.5894088154676531E-5</v>
      </c>
    </row>
    <row r="553" spans="1:7" ht="16.95" customHeight="1">
      <c r="A553" s="11">
        <v>545</v>
      </c>
      <c r="B553" s="24">
        <v>82919816.966943145</v>
      </c>
      <c r="C553" s="24">
        <v>64926431.880242147</v>
      </c>
      <c r="D553" s="24">
        <v>77007473.70631583</v>
      </c>
      <c r="E553" s="24">
        <f>TSim[[#This Row],[ValorFinalReal]]-TSim[[#This Row],[AportesReales]]</f>
        <v>12081041.826073684</v>
      </c>
      <c r="F553" s="19">
        <f>IF(TSim[[#This Row],[ValorFinalReal]]&gt;=Meta,1,0)</f>
        <v>0</v>
      </c>
      <c r="G553" s="21">
        <v>0</v>
      </c>
    </row>
    <row r="554" spans="1:7" ht="16.95" customHeight="1">
      <c r="A554" s="11">
        <v>546</v>
      </c>
      <c r="B554" s="24">
        <v>84659904.642684877</v>
      </c>
      <c r="C554" s="24">
        <v>64936557.580213971</v>
      </c>
      <c r="D554" s="24">
        <v>79402028.963149875</v>
      </c>
      <c r="E554" s="24">
        <f>TSim[[#This Row],[ValorFinalReal]]-TSim[[#This Row],[AportesReales]]</f>
        <v>14465471.382935904</v>
      </c>
      <c r="F554" s="19">
        <f>IF(TSim[[#This Row],[ValorFinalReal]]&gt;=Meta,1,0)</f>
        <v>0</v>
      </c>
      <c r="G554" s="21">
        <v>9.5550640603914161E-4</v>
      </c>
    </row>
    <row r="555" spans="1:7" ht="16.95" customHeight="1">
      <c r="A555" s="11">
        <v>547</v>
      </c>
      <c r="B555" s="24">
        <v>87965434.284123957</v>
      </c>
      <c r="C555" s="24">
        <v>64921948.252276637</v>
      </c>
      <c r="D555" s="24">
        <v>81295878.494933173</v>
      </c>
      <c r="E555" s="24">
        <f>TSim[[#This Row],[ValorFinalReal]]-TSim[[#This Row],[AportesReales]]</f>
        <v>16373930.242656536</v>
      </c>
      <c r="F555" s="19">
        <f>IF(TSim[[#This Row],[ValorFinalReal]]&gt;=Meta,1,0)</f>
        <v>1</v>
      </c>
      <c r="G555" s="21">
        <v>3.9040553239616531E-3</v>
      </c>
    </row>
    <row r="556" spans="1:7" ht="16.95" customHeight="1">
      <c r="A556" s="11">
        <v>548</v>
      </c>
      <c r="B556" s="24">
        <v>78590564.599445328</v>
      </c>
      <c r="C556" s="24">
        <v>64881062.695248902</v>
      </c>
      <c r="D556" s="24">
        <v>69735243.470660731</v>
      </c>
      <c r="E556" s="24">
        <f>TSim[[#This Row],[ValorFinalReal]]-TSim[[#This Row],[AportesReales]]</f>
        <v>4854180.7754118294</v>
      </c>
      <c r="F556" s="19">
        <f>IF(TSim[[#This Row],[ValorFinalReal]]&gt;=Meta,1,0)</f>
        <v>0</v>
      </c>
      <c r="G556" s="21">
        <v>8.4895441134344996E-3</v>
      </c>
    </row>
    <row r="557" spans="1:7" ht="16.95" customHeight="1">
      <c r="A557" s="11">
        <v>549</v>
      </c>
      <c r="B557" s="24">
        <v>81829382.318908244</v>
      </c>
      <c r="C557" s="24">
        <v>64888360.522581384</v>
      </c>
      <c r="D557" s="24">
        <v>73145376.388896108</v>
      </c>
      <c r="E557" s="24">
        <f>TSim[[#This Row],[ValorFinalReal]]-TSim[[#This Row],[AportesReales]]</f>
        <v>8257015.8663147241</v>
      </c>
      <c r="F557" s="19">
        <f>IF(TSim[[#This Row],[ValorFinalReal]]&gt;=Meta,1,0)</f>
        <v>0</v>
      </c>
      <c r="G557" s="21">
        <v>4.6167904526980266E-3</v>
      </c>
    </row>
    <row r="558" spans="1:7" ht="16.95" customHeight="1">
      <c r="A558" s="11">
        <v>550</v>
      </c>
      <c r="B558" s="24">
        <v>112417336.5468622</v>
      </c>
      <c r="C558" s="24">
        <v>64751738.432495013</v>
      </c>
      <c r="D558" s="24">
        <v>87618230.440098241</v>
      </c>
      <c r="E558" s="24">
        <f>TSim[[#This Row],[ValorFinalReal]]-TSim[[#This Row],[AportesReales]]</f>
        <v>22866492.007603228</v>
      </c>
      <c r="F558" s="19">
        <f>IF(TSim[[#This Row],[ValorFinalReal]]&gt;=Meta,1,0)</f>
        <v>1</v>
      </c>
      <c r="G558" s="21">
        <v>0</v>
      </c>
    </row>
    <row r="559" spans="1:7" ht="16.95" customHeight="1">
      <c r="A559" s="11">
        <v>551</v>
      </c>
      <c r="B559" s="24">
        <v>75313292.502494663</v>
      </c>
      <c r="C559" s="24">
        <v>64937179.387352817</v>
      </c>
      <c r="D559" s="24">
        <v>70683108.727405429</v>
      </c>
      <c r="E559" s="24">
        <f>TSim[[#This Row],[ValorFinalReal]]-TSim[[#This Row],[AportesReales]]</f>
        <v>5745929.3400526121</v>
      </c>
      <c r="F559" s="19">
        <f>IF(TSim[[#This Row],[ValorFinalReal]]&gt;=Meta,1,0)</f>
        <v>0</v>
      </c>
      <c r="G559" s="21">
        <v>5.718051882571018E-3</v>
      </c>
    </row>
    <row r="560" spans="1:7" ht="16.95" customHeight="1">
      <c r="A560" s="11">
        <v>552</v>
      </c>
      <c r="B560" s="24">
        <v>89810570.70409441</v>
      </c>
      <c r="C560" s="24">
        <v>64914307.849843428</v>
      </c>
      <c r="D560" s="24">
        <v>82389253.879638642</v>
      </c>
      <c r="E560" s="24">
        <f>TSim[[#This Row],[ValorFinalReal]]-TSim[[#This Row],[AportesReales]]</f>
        <v>17474946.029795215</v>
      </c>
      <c r="F560" s="19">
        <f>IF(TSim[[#This Row],[ValorFinalReal]]&gt;=Meta,1,0)</f>
        <v>1</v>
      </c>
      <c r="G560" s="21">
        <v>0</v>
      </c>
    </row>
    <row r="561" spans="1:7" ht="16.95" customHeight="1">
      <c r="A561" s="11">
        <v>553</v>
      </c>
      <c r="B561" s="24">
        <v>98251397.480496541</v>
      </c>
      <c r="C561" s="24">
        <v>64758169.174684711</v>
      </c>
      <c r="D561" s="24">
        <v>77059516.556168512</v>
      </c>
      <c r="E561" s="24">
        <f>TSim[[#This Row],[ValorFinalReal]]-TSim[[#This Row],[AportesReales]]</f>
        <v>12301347.381483801</v>
      </c>
      <c r="F561" s="19">
        <f>IF(TSim[[#This Row],[ValorFinalReal]]&gt;=Meta,1,0)</f>
        <v>0</v>
      </c>
      <c r="G561" s="21">
        <v>2.0288046394451031E-3</v>
      </c>
    </row>
    <row r="562" spans="1:7" ht="16.95" customHeight="1">
      <c r="A562" s="11">
        <v>554</v>
      </c>
      <c r="B562" s="24">
        <v>101443625.5528596</v>
      </c>
      <c r="C562" s="24">
        <v>64739241.747973926</v>
      </c>
      <c r="D562" s="24">
        <v>78058749.127064258</v>
      </c>
      <c r="E562" s="24">
        <f>TSim[[#This Row],[ValorFinalReal]]-TSim[[#This Row],[AportesReales]]</f>
        <v>13319507.379090331</v>
      </c>
      <c r="F562" s="19">
        <f>IF(TSim[[#This Row],[ValorFinalReal]]&gt;=Meta,1,0)</f>
        <v>0</v>
      </c>
      <c r="G562" s="21">
        <v>6.8323567198097512E-3</v>
      </c>
    </row>
    <row r="563" spans="1:7" ht="16.95" customHeight="1">
      <c r="A563" s="11">
        <v>555</v>
      </c>
      <c r="B563" s="24">
        <v>90770025.364238977</v>
      </c>
      <c r="C563" s="24">
        <v>64818922.867833398</v>
      </c>
      <c r="D563" s="24">
        <v>75666676.181622863</v>
      </c>
      <c r="E563" s="24">
        <f>TSim[[#This Row],[ValorFinalReal]]-TSim[[#This Row],[AportesReales]]</f>
        <v>10847753.313789465</v>
      </c>
      <c r="F563" s="19">
        <f>IF(TSim[[#This Row],[ValorFinalReal]]&gt;=Meta,1,0)</f>
        <v>0</v>
      </c>
      <c r="G563" s="21">
        <v>1.15743461199902E-3</v>
      </c>
    </row>
    <row r="564" spans="1:7" ht="16.95" customHeight="1">
      <c r="A564" s="11">
        <v>556</v>
      </c>
      <c r="B564" s="24">
        <v>100798242.0493103</v>
      </c>
      <c r="C564" s="24">
        <v>64826324.045887567</v>
      </c>
      <c r="D564" s="24">
        <v>84659187.671389133</v>
      </c>
      <c r="E564" s="24">
        <f>TSim[[#This Row],[ValorFinalReal]]-TSim[[#This Row],[AportesReales]]</f>
        <v>19832863.625501566</v>
      </c>
      <c r="F564" s="19">
        <f>IF(TSim[[#This Row],[ValorFinalReal]]&gt;=Meta,1,0)</f>
        <v>1</v>
      </c>
      <c r="G564" s="21">
        <v>5.131885663161917E-3</v>
      </c>
    </row>
    <row r="565" spans="1:7" ht="16.95" customHeight="1">
      <c r="A565" s="11">
        <v>557</v>
      </c>
      <c r="B565" s="24">
        <v>86252648.79847762</v>
      </c>
      <c r="C565" s="24">
        <v>64981679.722124353</v>
      </c>
      <c r="D565" s="24">
        <v>84637338.323082268</v>
      </c>
      <c r="E565" s="24">
        <f>TSim[[#This Row],[ValorFinalReal]]-TSim[[#This Row],[AportesReales]]</f>
        <v>19655658.600957915</v>
      </c>
      <c r="F565" s="19">
        <f>IF(TSim[[#This Row],[ValorFinalReal]]&gt;=Meta,1,0)</f>
        <v>1</v>
      </c>
      <c r="G565" s="21">
        <v>0</v>
      </c>
    </row>
    <row r="566" spans="1:7" ht="16.95" customHeight="1">
      <c r="A566" s="11">
        <v>558</v>
      </c>
      <c r="B566" s="24">
        <v>94637860.141110241</v>
      </c>
      <c r="C566" s="24">
        <v>64977018.022634096</v>
      </c>
      <c r="D566" s="24">
        <v>92448457.524422109</v>
      </c>
      <c r="E566" s="24">
        <f>TSim[[#This Row],[ValorFinalReal]]-TSim[[#This Row],[AportesReales]]</f>
        <v>27471439.501788013</v>
      </c>
      <c r="F566" s="19">
        <f>IF(TSim[[#This Row],[ValorFinalReal]]&gt;=Meta,1,0)</f>
        <v>1</v>
      </c>
      <c r="G566" s="21">
        <v>0</v>
      </c>
    </row>
    <row r="567" spans="1:7" ht="16.95" customHeight="1">
      <c r="A567" s="11">
        <v>559</v>
      </c>
      <c r="B567" s="24">
        <v>84326993.037143469</v>
      </c>
      <c r="C567" s="24">
        <v>64902042.425430767</v>
      </c>
      <c r="D567" s="24">
        <v>76392398.421717912</v>
      </c>
      <c r="E567" s="24">
        <f>TSim[[#This Row],[ValorFinalReal]]-TSim[[#This Row],[AportesReales]]</f>
        <v>11490355.996287145</v>
      </c>
      <c r="F567" s="19">
        <f>IF(TSim[[#This Row],[ValorFinalReal]]&gt;=Meta,1,0)</f>
        <v>0</v>
      </c>
      <c r="G567" s="21">
        <v>1.690964283573182E-2</v>
      </c>
    </row>
    <row r="568" spans="1:7" ht="16.95" customHeight="1">
      <c r="A568" s="11">
        <v>560</v>
      </c>
      <c r="B568" s="24">
        <v>98001151.478037894</v>
      </c>
      <c r="C568" s="24">
        <v>64807966.153038047</v>
      </c>
      <c r="D568" s="24">
        <v>80826208.710677922</v>
      </c>
      <c r="E568" s="24">
        <f>TSim[[#This Row],[ValorFinalReal]]-TSim[[#This Row],[AportesReales]]</f>
        <v>16018242.557639875</v>
      </c>
      <c r="F568" s="19">
        <f>IF(TSim[[#This Row],[ValorFinalReal]]&gt;=Meta,1,0)</f>
        <v>1</v>
      </c>
      <c r="G568" s="21">
        <v>0</v>
      </c>
    </row>
    <row r="569" spans="1:7" ht="16.95" customHeight="1">
      <c r="A569" s="11">
        <v>561</v>
      </c>
      <c r="B569" s="24">
        <v>88698786.008244023</v>
      </c>
      <c r="C569" s="24">
        <v>64889151.901196837</v>
      </c>
      <c r="D569" s="24">
        <v>79320272.551888674</v>
      </c>
      <c r="E569" s="24">
        <f>TSim[[#This Row],[ValorFinalReal]]-TSim[[#This Row],[AportesReales]]</f>
        <v>14431120.650691837</v>
      </c>
      <c r="F569" s="19">
        <f>IF(TSim[[#This Row],[ValorFinalReal]]&gt;=Meta,1,0)</f>
        <v>0</v>
      </c>
      <c r="G569" s="21">
        <v>1.9088654125746118E-2</v>
      </c>
    </row>
    <row r="570" spans="1:7" ht="16.95" customHeight="1">
      <c r="A570" s="11">
        <v>562</v>
      </c>
      <c r="B570" s="24">
        <v>103508642.691321</v>
      </c>
      <c r="C570" s="24">
        <v>64723437.936993323</v>
      </c>
      <c r="D570" s="24">
        <v>78388674.38388288</v>
      </c>
      <c r="E570" s="24">
        <f>TSim[[#This Row],[ValorFinalReal]]-TSim[[#This Row],[AportesReales]]</f>
        <v>13665236.446889557</v>
      </c>
      <c r="F570" s="19">
        <f>IF(TSim[[#This Row],[ValorFinalReal]]&gt;=Meta,1,0)</f>
        <v>0</v>
      </c>
      <c r="G570" s="21">
        <v>1.4249446711738891E-2</v>
      </c>
    </row>
    <row r="571" spans="1:7" ht="16.95" customHeight="1">
      <c r="A571" s="11">
        <v>563</v>
      </c>
      <c r="B571" s="24">
        <v>110067838.4584495</v>
      </c>
      <c r="C571" s="24">
        <v>64856786.452446803</v>
      </c>
      <c r="D571" s="24">
        <v>95313703.997687653</v>
      </c>
      <c r="E571" s="24">
        <f>TSim[[#This Row],[ValorFinalReal]]-TSim[[#This Row],[AportesReales]]</f>
        <v>30456917.545240849</v>
      </c>
      <c r="F571" s="19">
        <f>IF(TSim[[#This Row],[ValorFinalReal]]&gt;=Meta,1,0)</f>
        <v>1</v>
      </c>
      <c r="G571" s="21">
        <v>0</v>
      </c>
    </row>
    <row r="572" spans="1:7" ht="16.95" customHeight="1">
      <c r="A572" s="11">
        <v>564</v>
      </c>
      <c r="B572" s="24">
        <v>99905606.367788717</v>
      </c>
      <c r="C572" s="24">
        <v>64713984.589434683</v>
      </c>
      <c r="D572" s="24">
        <v>74958972.646370754</v>
      </c>
      <c r="E572" s="24">
        <f>TSim[[#This Row],[ValorFinalReal]]-TSim[[#This Row],[AportesReales]]</f>
        <v>10244988.05693607</v>
      </c>
      <c r="F572" s="19">
        <f>IF(TSim[[#This Row],[ValorFinalReal]]&gt;=Meta,1,0)</f>
        <v>0</v>
      </c>
      <c r="G572" s="21">
        <v>0</v>
      </c>
    </row>
    <row r="573" spans="1:7" ht="16.95" customHeight="1">
      <c r="A573" s="11">
        <v>565</v>
      </c>
      <c r="B573" s="24">
        <v>97053634.553343087</v>
      </c>
      <c r="C573" s="24">
        <v>64775847.747025996</v>
      </c>
      <c r="D573" s="24">
        <v>77496173.638896137</v>
      </c>
      <c r="E573" s="24">
        <f>TSim[[#This Row],[ValorFinalReal]]-TSim[[#This Row],[AportesReales]]</f>
        <v>12720325.891870141</v>
      </c>
      <c r="F573" s="19">
        <f>IF(TSim[[#This Row],[ValorFinalReal]]&gt;=Meta,1,0)</f>
        <v>0</v>
      </c>
      <c r="G573" s="21">
        <v>0</v>
      </c>
    </row>
    <row r="574" spans="1:7" ht="16.95" customHeight="1">
      <c r="A574" s="11">
        <v>566</v>
      </c>
      <c r="B574" s="24">
        <v>95925083.536432341</v>
      </c>
      <c r="C574" s="24">
        <v>64837521.716880769</v>
      </c>
      <c r="D574" s="24">
        <v>81474001.828080997</v>
      </c>
      <c r="E574" s="24">
        <f>TSim[[#This Row],[ValorFinalReal]]-TSim[[#This Row],[AportesReales]]</f>
        <v>16636480.111200228</v>
      </c>
      <c r="F574" s="19">
        <f>IF(TSim[[#This Row],[ValorFinalReal]]&gt;=Meta,1,0)</f>
        <v>1</v>
      </c>
      <c r="G574" s="21">
        <v>0</v>
      </c>
    </row>
    <row r="575" spans="1:7" ht="16.95" customHeight="1">
      <c r="A575" s="11">
        <v>567</v>
      </c>
      <c r="B575" s="24">
        <v>88734679.390071049</v>
      </c>
      <c r="C575" s="24">
        <v>64873779.991948269</v>
      </c>
      <c r="D575" s="24">
        <v>78175357.679863468</v>
      </c>
      <c r="E575" s="24">
        <f>TSim[[#This Row],[ValorFinalReal]]-TSim[[#This Row],[AportesReales]]</f>
        <v>13301577.687915199</v>
      </c>
      <c r="F575" s="19">
        <f>IF(TSim[[#This Row],[ValorFinalReal]]&gt;=Meta,1,0)</f>
        <v>0</v>
      </c>
      <c r="G575" s="21">
        <v>0</v>
      </c>
    </row>
    <row r="576" spans="1:7" ht="16.95" customHeight="1">
      <c r="A576" s="11">
        <v>568</v>
      </c>
      <c r="B576" s="24">
        <v>67836375.222089574</v>
      </c>
      <c r="C576" s="24">
        <v>64970234.791334808</v>
      </c>
      <c r="D576" s="24">
        <v>65810545.725173026</v>
      </c>
      <c r="E576" s="24">
        <f>TSim[[#This Row],[ValorFinalReal]]-TSim[[#This Row],[AportesReales]]</f>
        <v>840310.93383821845</v>
      </c>
      <c r="F576" s="19">
        <f>IF(TSim[[#This Row],[ValorFinalReal]]&gt;=Meta,1,0)</f>
        <v>0</v>
      </c>
      <c r="G576" s="21">
        <v>9.2297488004510209E-3</v>
      </c>
    </row>
    <row r="577" spans="1:7" ht="16.95" customHeight="1">
      <c r="A577" s="11">
        <v>569</v>
      </c>
      <c r="B577" s="24">
        <v>87045298.646780685</v>
      </c>
      <c r="C577" s="24">
        <v>64846189.032292768</v>
      </c>
      <c r="D577" s="24">
        <v>74582629.124019369</v>
      </c>
      <c r="E577" s="24">
        <f>TSim[[#This Row],[ValorFinalReal]]-TSim[[#This Row],[AportesReales]]</f>
        <v>9736440.0917266011</v>
      </c>
      <c r="F577" s="19">
        <f>IF(TSim[[#This Row],[ValorFinalReal]]&gt;=Meta,1,0)</f>
        <v>0</v>
      </c>
      <c r="G577" s="21">
        <v>0</v>
      </c>
    </row>
    <row r="578" spans="1:7" ht="16.95" customHeight="1">
      <c r="A578" s="11">
        <v>570</v>
      </c>
      <c r="B578" s="24">
        <v>79791225.711276636</v>
      </c>
      <c r="C578" s="24">
        <v>64944247.105141819</v>
      </c>
      <c r="D578" s="24">
        <v>75418536.991182581</v>
      </c>
      <c r="E578" s="24">
        <f>TSim[[#This Row],[ValorFinalReal]]-TSim[[#This Row],[AportesReales]]</f>
        <v>10474289.886040762</v>
      </c>
      <c r="F578" s="19">
        <f>IF(TSim[[#This Row],[ValorFinalReal]]&gt;=Meta,1,0)</f>
        <v>0</v>
      </c>
      <c r="G578" s="21">
        <v>1.1566766471200469E-3</v>
      </c>
    </row>
    <row r="579" spans="1:7" ht="16.95" customHeight="1">
      <c r="A579" s="11">
        <v>571</v>
      </c>
      <c r="B579" s="24">
        <v>88729710.207637921</v>
      </c>
      <c r="C579" s="24">
        <v>64850418.25360202</v>
      </c>
      <c r="D579" s="24">
        <v>76341538.47255601</v>
      </c>
      <c r="E579" s="24">
        <f>TSim[[#This Row],[ValorFinalReal]]-TSim[[#This Row],[AportesReales]]</f>
        <v>11491120.218953989</v>
      </c>
      <c r="F579" s="19">
        <f>IF(TSim[[#This Row],[ValorFinalReal]]&gt;=Meta,1,0)</f>
        <v>0</v>
      </c>
      <c r="G579" s="21">
        <v>5.1395636306980066E-3</v>
      </c>
    </row>
    <row r="580" spans="1:7" ht="16.95" customHeight="1">
      <c r="A580" s="11">
        <v>572</v>
      </c>
      <c r="B580" s="24">
        <v>89524724.554000974</v>
      </c>
      <c r="C580" s="24">
        <v>64757609.478628188</v>
      </c>
      <c r="D580" s="24">
        <v>70179254.585101634</v>
      </c>
      <c r="E580" s="24">
        <f>TSim[[#This Row],[ValorFinalReal]]-TSim[[#This Row],[AportesReales]]</f>
        <v>5421645.1064734459</v>
      </c>
      <c r="F580" s="19">
        <f>IF(TSim[[#This Row],[ValorFinalReal]]&gt;=Meta,1,0)</f>
        <v>0</v>
      </c>
      <c r="G580" s="21">
        <v>3.705711766554209E-3</v>
      </c>
    </row>
    <row r="581" spans="1:7" ht="16.95" customHeight="1">
      <c r="A581" s="11">
        <v>573</v>
      </c>
      <c r="B581" s="24">
        <v>96533720.33555977</v>
      </c>
      <c r="C581" s="24">
        <v>64802555.035584457</v>
      </c>
      <c r="D581" s="24">
        <v>79181996.497183383</v>
      </c>
      <c r="E581" s="24">
        <f>TSim[[#This Row],[ValorFinalReal]]-TSim[[#This Row],[AportesReales]]</f>
        <v>14379441.461598925</v>
      </c>
      <c r="F581" s="19">
        <f>IF(TSim[[#This Row],[ValorFinalReal]]&gt;=Meta,1,0)</f>
        <v>0</v>
      </c>
      <c r="G581" s="21">
        <v>0</v>
      </c>
    </row>
    <row r="582" spans="1:7" ht="16.95" customHeight="1">
      <c r="A582" s="11">
        <v>574</v>
      </c>
      <c r="B582" s="24">
        <v>90088586.855375811</v>
      </c>
      <c r="C582" s="24">
        <v>64739247.403506257</v>
      </c>
      <c r="D582" s="24">
        <v>69328636.650444672</v>
      </c>
      <c r="E582" s="24">
        <f>TSim[[#This Row],[ValorFinalReal]]-TSim[[#This Row],[AportesReales]]</f>
        <v>4589389.2469384149</v>
      </c>
      <c r="F582" s="19">
        <f>IF(TSim[[#This Row],[ValorFinalReal]]&gt;=Meta,1,0)</f>
        <v>0</v>
      </c>
      <c r="G582" s="21">
        <v>1.423695323940932E-3</v>
      </c>
    </row>
    <row r="583" spans="1:7" ht="16.95" customHeight="1">
      <c r="A583" s="11">
        <v>575</v>
      </c>
      <c r="B583" s="24">
        <v>86107320.173108384</v>
      </c>
      <c r="C583" s="24">
        <v>64857347.611089982</v>
      </c>
      <c r="D583" s="24">
        <v>74602503.342282876</v>
      </c>
      <c r="E583" s="24">
        <f>TSim[[#This Row],[ValorFinalReal]]-TSim[[#This Row],[AportesReales]]</f>
        <v>9745155.7311928943</v>
      </c>
      <c r="F583" s="19">
        <f>IF(TSim[[#This Row],[ValorFinalReal]]&gt;=Meta,1,0)</f>
        <v>0</v>
      </c>
      <c r="G583" s="21">
        <v>5.3205075890611084E-3</v>
      </c>
    </row>
    <row r="584" spans="1:7" ht="16.95" customHeight="1">
      <c r="A584" s="11">
        <v>576</v>
      </c>
      <c r="B584" s="24">
        <v>95010219.001836851</v>
      </c>
      <c r="C584" s="24">
        <v>64721150.486010343</v>
      </c>
      <c r="D584" s="24">
        <v>71783774.720697761</v>
      </c>
      <c r="E584" s="24">
        <f>TSim[[#This Row],[ValorFinalReal]]-TSim[[#This Row],[AportesReales]]</f>
        <v>7062624.2346874177</v>
      </c>
      <c r="F584" s="19">
        <f>IF(TSim[[#This Row],[ValorFinalReal]]&gt;=Meta,1,0)</f>
        <v>0</v>
      </c>
      <c r="G584" s="21">
        <v>0</v>
      </c>
    </row>
    <row r="585" spans="1:7" ht="16.95" customHeight="1">
      <c r="A585" s="11">
        <v>577</v>
      </c>
      <c r="B585" s="24">
        <v>103720540.2140404</v>
      </c>
      <c r="C585" s="24">
        <v>64677067.329216033</v>
      </c>
      <c r="D585" s="24">
        <v>74996016.952237561</v>
      </c>
      <c r="E585" s="24">
        <f>TSim[[#This Row],[ValorFinalReal]]-TSim[[#This Row],[AportesReales]]</f>
        <v>10318949.623021528</v>
      </c>
      <c r="F585" s="19">
        <f>IF(TSim[[#This Row],[ValorFinalReal]]&gt;=Meta,1,0)</f>
        <v>0</v>
      </c>
      <c r="G585" s="21">
        <v>4.1644091459391852E-4</v>
      </c>
    </row>
    <row r="586" spans="1:7" ht="16.95" customHeight="1">
      <c r="A586" s="11">
        <v>578</v>
      </c>
      <c r="B586" s="24">
        <v>94699253.121003866</v>
      </c>
      <c r="C586" s="24">
        <v>64709925.311958738</v>
      </c>
      <c r="D586" s="24">
        <v>70745718.839562491</v>
      </c>
      <c r="E586" s="24">
        <f>TSim[[#This Row],[ValorFinalReal]]-TSim[[#This Row],[AportesReales]]</f>
        <v>6035793.5276037529</v>
      </c>
      <c r="F586" s="19">
        <f>IF(TSim[[#This Row],[ValorFinalReal]]&gt;=Meta,1,0)</f>
        <v>0</v>
      </c>
      <c r="G586" s="21">
        <v>1.4872092387934081E-2</v>
      </c>
    </row>
    <row r="587" spans="1:7" ht="16.95" customHeight="1">
      <c r="A587" s="11">
        <v>579</v>
      </c>
      <c r="B587" s="24">
        <v>97270843.429068744</v>
      </c>
      <c r="C587" s="24">
        <v>64830226.383492254</v>
      </c>
      <c r="D587" s="24">
        <v>82007242.280724525</v>
      </c>
      <c r="E587" s="24">
        <f>TSim[[#This Row],[ValorFinalReal]]-TSim[[#This Row],[AportesReales]]</f>
        <v>17177015.897232272</v>
      </c>
      <c r="F587" s="19">
        <f>IF(TSim[[#This Row],[ValorFinalReal]]&gt;=Meta,1,0)</f>
        <v>1</v>
      </c>
      <c r="G587" s="21">
        <v>8.8130556511746283E-3</v>
      </c>
    </row>
    <row r="588" spans="1:7" ht="16.95" customHeight="1">
      <c r="A588" s="11">
        <v>580</v>
      </c>
      <c r="B588" s="24">
        <v>88285814.022587568</v>
      </c>
      <c r="C588" s="24">
        <v>64823317.889182962</v>
      </c>
      <c r="D588" s="24">
        <v>73919798.759604439</v>
      </c>
      <c r="E588" s="24">
        <f>TSim[[#This Row],[ValorFinalReal]]-TSim[[#This Row],[AportesReales]]</f>
        <v>9096480.8704214767</v>
      </c>
      <c r="F588" s="19">
        <f>IF(TSim[[#This Row],[ValorFinalReal]]&gt;=Meta,1,0)</f>
        <v>0</v>
      </c>
      <c r="G588" s="21">
        <v>3.5670762712178838E-3</v>
      </c>
    </row>
    <row r="589" spans="1:7" ht="16.95" customHeight="1">
      <c r="A589" s="11">
        <v>581</v>
      </c>
      <c r="B589" s="24">
        <v>92346242.220732063</v>
      </c>
      <c r="C589" s="24">
        <v>64723045.47564064</v>
      </c>
      <c r="D589" s="24">
        <v>69909295.912754446</v>
      </c>
      <c r="E589" s="24">
        <f>TSim[[#This Row],[ValorFinalReal]]-TSim[[#This Row],[AportesReales]]</f>
        <v>5186250.4371138066</v>
      </c>
      <c r="F589" s="19">
        <f>IF(TSim[[#This Row],[ValorFinalReal]]&gt;=Meta,1,0)</f>
        <v>0</v>
      </c>
      <c r="G589" s="21">
        <v>0</v>
      </c>
    </row>
    <row r="590" spans="1:7" ht="16.95" customHeight="1">
      <c r="A590" s="11">
        <v>582</v>
      </c>
      <c r="B590" s="24">
        <v>87696364.424932212</v>
      </c>
      <c r="C590" s="24">
        <v>64942703.464606963</v>
      </c>
      <c r="D590" s="24">
        <v>82766407.381657511</v>
      </c>
      <c r="E590" s="24">
        <f>TSim[[#This Row],[ValorFinalReal]]-TSim[[#This Row],[AportesReales]]</f>
        <v>17823703.917050548</v>
      </c>
      <c r="F590" s="19">
        <f>IF(TSim[[#This Row],[ValorFinalReal]]&gt;=Meta,1,0)</f>
        <v>1</v>
      </c>
      <c r="G590" s="21">
        <v>2.3236312514174351E-4</v>
      </c>
    </row>
    <row r="591" spans="1:7" ht="16.95" customHeight="1">
      <c r="A591" s="11">
        <v>583</v>
      </c>
      <c r="B591" s="24">
        <v>91404249.877582982</v>
      </c>
      <c r="C591" s="24">
        <v>64996209.446754754</v>
      </c>
      <c r="D591" s="24">
        <v>91020584.06264323</v>
      </c>
      <c r="E591" s="24">
        <f>TSim[[#This Row],[ValorFinalReal]]-TSim[[#This Row],[AportesReales]]</f>
        <v>26024374.615888476</v>
      </c>
      <c r="F591" s="19">
        <f>IF(TSim[[#This Row],[ValorFinalReal]]&gt;=Meta,1,0)</f>
        <v>1</v>
      </c>
      <c r="G591" s="21">
        <v>0</v>
      </c>
    </row>
    <row r="592" spans="1:7" ht="16.95" customHeight="1">
      <c r="A592" s="11">
        <v>584</v>
      </c>
      <c r="B592" s="24">
        <v>93961960.174000859</v>
      </c>
      <c r="C592" s="24">
        <v>64794673.538097426</v>
      </c>
      <c r="D592" s="24">
        <v>76457502.090391904</v>
      </c>
      <c r="E592" s="24">
        <f>TSim[[#This Row],[ValorFinalReal]]-TSim[[#This Row],[AportesReales]]</f>
        <v>11662828.552294478</v>
      </c>
      <c r="F592" s="19">
        <f>IF(TSim[[#This Row],[ValorFinalReal]]&gt;=Meta,1,0)</f>
        <v>0</v>
      </c>
      <c r="G592" s="21">
        <v>2.5933526225618508E-2</v>
      </c>
    </row>
    <row r="593" spans="1:7" ht="16.95" customHeight="1">
      <c r="A593" s="11">
        <v>585</v>
      </c>
      <c r="B593" s="24">
        <v>96535227.37422438</v>
      </c>
      <c r="C593" s="24">
        <v>64926312.105000123</v>
      </c>
      <c r="D593" s="24">
        <v>89632164.675112814</v>
      </c>
      <c r="E593" s="24">
        <f>TSim[[#This Row],[ValorFinalReal]]-TSim[[#This Row],[AportesReales]]</f>
        <v>24705852.57011269</v>
      </c>
      <c r="F593" s="19">
        <f>IF(TSim[[#This Row],[ValorFinalReal]]&gt;=Meta,1,0)</f>
        <v>1</v>
      </c>
      <c r="G593" s="21">
        <v>0</v>
      </c>
    </row>
    <row r="594" spans="1:7" ht="16.95" customHeight="1">
      <c r="A594" s="11">
        <v>586</v>
      </c>
      <c r="B594" s="24">
        <v>85684259.585733831</v>
      </c>
      <c r="C594" s="24">
        <v>64870152.652278937</v>
      </c>
      <c r="D594" s="24">
        <v>75203624.801958635</v>
      </c>
      <c r="E594" s="24">
        <f>TSim[[#This Row],[ValorFinalReal]]-TSim[[#This Row],[AportesReales]]</f>
        <v>10333472.149679698</v>
      </c>
      <c r="F594" s="19">
        <f>IF(TSim[[#This Row],[ValorFinalReal]]&gt;=Meta,1,0)</f>
        <v>0</v>
      </c>
      <c r="G594" s="21">
        <v>0</v>
      </c>
    </row>
    <row r="595" spans="1:7" ht="16.95" customHeight="1">
      <c r="A595" s="11">
        <v>587</v>
      </c>
      <c r="B595" s="24">
        <v>91987805.056145251</v>
      </c>
      <c r="C595" s="24">
        <v>64897091.090497017</v>
      </c>
      <c r="D595" s="24">
        <v>82928681.023247674</v>
      </c>
      <c r="E595" s="24">
        <f>TSim[[#This Row],[ValorFinalReal]]-TSim[[#This Row],[AportesReales]]</f>
        <v>18031589.932750657</v>
      </c>
      <c r="F595" s="19">
        <f>IF(TSim[[#This Row],[ValorFinalReal]]&gt;=Meta,1,0)</f>
        <v>1</v>
      </c>
      <c r="G595" s="21">
        <v>0</v>
      </c>
    </row>
    <row r="596" spans="1:7" ht="16.95" customHeight="1">
      <c r="A596" s="11">
        <v>588</v>
      </c>
      <c r="B596" s="24">
        <v>98110040.562029183</v>
      </c>
      <c r="C596" s="24">
        <v>64829990.146854147</v>
      </c>
      <c r="D596" s="24">
        <v>82724736.279751793</v>
      </c>
      <c r="E596" s="24">
        <f>TSim[[#This Row],[ValorFinalReal]]-TSim[[#This Row],[AportesReales]]</f>
        <v>17894746.132897645</v>
      </c>
      <c r="F596" s="19">
        <f>IF(TSim[[#This Row],[ValorFinalReal]]&gt;=Meta,1,0)</f>
        <v>1</v>
      </c>
      <c r="G596" s="21">
        <v>4.0939740589210896E-3</v>
      </c>
    </row>
    <row r="597" spans="1:7" ht="16.95" customHeight="1">
      <c r="A597" s="11">
        <v>589</v>
      </c>
      <c r="B597" s="24">
        <v>92018293.065160543</v>
      </c>
      <c r="C597" s="24">
        <v>64917696.575586967</v>
      </c>
      <c r="D597" s="24">
        <v>84711876.407988966</v>
      </c>
      <c r="E597" s="24">
        <f>TSim[[#This Row],[ValorFinalReal]]-TSim[[#This Row],[AportesReales]]</f>
        <v>19794179.832401998</v>
      </c>
      <c r="F597" s="19">
        <f>IF(TSim[[#This Row],[ValorFinalReal]]&gt;=Meta,1,0)</f>
        <v>1</v>
      </c>
      <c r="G597" s="21">
        <v>0</v>
      </c>
    </row>
    <row r="598" spans="1:7" ht="16.95" customHeight="1">
      <c r="A598" s="11">
        <v>590</v>
      </c>
      <c r="B598" s="24">
        <v>90210649.081163332</v>
      </c>
      <c r="C598" s="24">
        <v>65025740.671873003</v>
      </c>
      <c r="D598" s="24">
        <v>92511543.606676072</v>
      </c>
      <c r="E598" s="24">
        <f>TSim[[#This Row],[ValorFinalReal]]-TSim[[#This Row],[AportesReales]]</f>
        <v>27485802.934803069</v>
      </c>
      <c r="F598" s="19">
        <f>IF(TSim[[#This Row],[ValorFinalReal]]&gt;=Meta,1,0)</f>
        <v>1</v>
      </c>
      <c r="G598" s="21">
        <v>0</v>
      </c>
    </row>
    <row r="599" spans="1:7" ht="16.95" customHeight="1">
      <c r="A599" s="11">
        <v>591</v>
      </c>
      <c r="B599" s="24">
        <v>87100047.756485641</v>
      </c>
      <c r="C599" s="24">
        <v>64837828.022795074</v>
      </c>
      <c r="D599" s="24">
        <v>74003827.170841128</v>
      </c>
      <c r="E599" s="24">
        <f>TSim[[#This Row],[ValorFinalReal]]-TSim[[#This Row],[AportesReales]]</f>
        <v>9165999.1480460539</v>
      </c>
      <c r="F599" s="19">
        <f>IF(TSim[[#This Row],[ValorFinalReal]]&gt;=Meta,1,0)</f>
        <v>0</v>
      </c>
      <c r="G599" s="21">
        <v>9.5389668291414598E-3</v>
      </c>
    </row>
    <row r="600" spans="1:7" ht="16.95" customHeight="1">
      <c r="A600" s="11">
        <v>592</v>
      </c>
      <c r="B600" s="24">
        <v>87887750.758603781</v>
      </c>
      <c r="C600" s="24">
        <v>65056486.004295647</v>
      </c>
      <c r="D600" s="24">
        <v>92960943.353258997</v>
      </c>
      <c r="E600" s="24">
        <f>TSim[[#This Row],[ValorFinalReal]]-TSim[[#This Row],[AportesReales]]</f>
        <v>27904457.34896335</v>
      </c>
      <c r="F600" s="19">
        <f>IF(TSim[[#This Row],[ValorFinalReal]]&gt;=Meta,1,0)</f>
        <v>1</v>
      </c>
      <c r="G600" s="21">
        <v>3.515273429325561E-3</v>
      </c>
    </row>
    <row r="601" spans="1:7" ht="16.95" customHeight="1">
      <c r="A601" s="11">
        <v>593</v>
      </c>
      <c r="B601" s="24">
        <v>90402189.202702776</v>
      </c>
      <c r="C601" s="24">
        <v>64953777.886956647</v>
      </c>
      <c r="D601" s="24">
        <v>86286723.158785537</v>
      </c>
      <c r="E601" s="24">
        <f>TSim[[#This Row],[ValorFinalReal]]-TSim[[#This Row],[AportesReales]]</f>
        <v>21332945.27182889</v>
      </c>
      <c r="F601" s="19">
        <f>IF(TSim[[#This Row],[ValorFinalReal]]&gt;=Meta,1,0)</f>
        <v>1</v>
      </c>
      <c r="G601" s="21">
        <v>2.8576691360354678E-3</v>
      </c>
    </row>
    <row r="602" spans="1:7" ht="16.95" customHeight="1">
      <c r="A602" s="11">
        <v>594</v>
      </c>
      <c r="B602" s="24">
        <v>96063294.023096725</v>
      </c>
      <c r="C602" s="24">
        <v>64774163.771285951</v>
      </c>
      <c r="D602" s="24">
        <v>76585778.208297655</v>
      </c>
      <c r="E602" s="24">
        <f>TSim[[#This Row],[ValorFinalReal]]-TSim[[#This Row],[AportesReales]]</f>
        <v>11811614.437011704</v>
      </c>
      <c r="F602" s="19">
        <f>IF(TSim[[#This Row],[ValorFinalReal]]&gt;=Meta,1,0)</f>
        <v>0</v>
      </c>
      <c r="G602" s="21">
        <v>9.9032080897223373E-3</v>
      </c>
    </row>
    <row r="603" spans="1:7" ht="16.95" customHeight="1">
      <c r="A603" s="11">
        <v>595</v>
      </c>
      <c r="B603" s="24">
        <v>85632090.804022878</v>
      </c>
      <c r="C603" s="24">
        <v>64757420.471542113</v>
      </c>
      <c r="D603" s="24">
        <v>67121783.021784037</v>
      </c>
      <c r="E603" s="24">
        <f>TSim[[#This Row],[ValorFinalReal]]-TSim[[#This Row],[AportesReales]]</f>
        <v>2364362.5502419248</v>
      </c>
      <c r="F603" s="19">
        <f>IF(TSim[[#This Row],[ValorFinalReal]]&gt;=Meta,1,0)</f>
        <v>0</v>
      </c>
      <c r="G603" s="21">
        <v>1.001856348642682E-2</v>
      </c>
    </row>
    <row r="604" spans="1:7" ht="16.95" customHeight="1">
      <c r="A604" s="11">
        <v>596</v>
      </c>
      <c r="B604" s="24">
        <v>76145745.639607668</v>
      </c>
      <c r="C604" s="24">
        <v>65020952.809696957</v>
      </c>
      <c r="D604" s="24">
        <v>77699901.864692211</v>
      </c>
      <c r="E604" s="24">
        <f>TSim[[#This Row],[ValorFinalReal]]-TSim[[#This Row],[AportesReales]]</f>
        <v>12678949.054995254</v>
      </c>
      <c r="F604" s="19">
        <f>IF(TSim[[#This Row],[ValorFinalReal]]&gt;=Meta,1,0)</f>
        <v>0</v>
      </c>
      <c r="G604" s="21">
        <v>0</v>
      </c>
    </row>
    <row r="605" spans="1:7" ht="16.95" customHeight="1">
      <c r="A605" s="11">
        <v>597</v>
      </c>
      <c r="B605" s="24">
        <v>92734179.747515082</v>
      </c>
      <c r="C605" s="24">
        <v>64786148.382728778</v>
      </c>
      <c r="D605" s="24">
        <v>74820821.75404799</v>
      </c>
      <c r="E605" s="24">
        <f>TSim[[#This Row],[ValorFinalReal]]-TSim[[#This Row],[AportesReales]]</f>
        <v>10034673.371319212</v>
      </c>
      <c r="F605" s="19">
        <f>IF(TSim[[#This Row],[ValorFinalReal]]&gt;=Meta,1,0)</f>
        <v>0</v>
      </c>
      <c r="G605" s="21">
        <v>8.3413117179786944E-3</v>
      </c>
    </row>
    <row r="606" spans="1:7" ht="16.95" customHeight="1">
      <c r="A606" s="11">
        <v>598</v>
      </c>
      <c r="B606" s="24">
        <v>94967321.287399903</v>
      </c>
      <c r="C606" s="24">
        <v>64838034.523207009</v>
      </c>
      <c r="D606" s="24">
        <v>80713204.830034792</v>
      </c>
      <c r="E606" s="24">
        <f>TSim[[#This Row],[ValorFinalReal]]-TSim[[#This Row],[AportesReales]]</f>
        <v>15875170.306827784</v>
      </c>
      <c r="F606" s="19">
        <f>IF(TSim[[#This Row],[ValorFinalReal]]&gt;=Meta,1,0)</f>
        <v>1</v>
      </c>
      <c r="G606" s="21">
        <v>1.3878712708356169E-3</v>
      </c>
    </row>
    <row r="607" spans="1:7" ht="16.95" customHeight="1">
      <c r="A607" s="11">
        <v>599</v>
      </c>
      <c r="B607" s="24">
        <v>78198474.320544928</v>
      </c>
      <c r="C607" s="24">
        <v>64758186.570280813</v>
      </c>
      <c r="D607" s="24">
        <v>61338669.298579603</v>
      </c>
      <c r="E607" s="24">
        <f>TSim[[#This Row],[ValorFinalReal]]-TSim[[#This Row],[AportesReales]]</f>
        <v>-3419517.2717012092</v>
      </c>
      <c r="F607" s="19">
        <f>IF(TSim[[#This Row],[ValorFinalReal]]&gt;=Meta,1,0)</f>
        <v>0</v>
      </c>
      <c r="G607" s="21">
        <v>1.1810718193746791E-2</v>
      </c>
    </row>
    <row r="608" spans="1:7" ht="16.95" customHeight="1">
      <c r="A608" s="11">
        <v>600</v>
      </c>
      <c r="B608" s="24">
        <v>88328692.635039032</v>
      </c>
      <c r="C608" s="24">
        <v>64744335.557903387</v>
      </c>
      <c r="D608" s="24">
        <v>68323887.056049556</v>
      </c>
      <c r="E608" s="24">
        <f>TSim[[#This Row],[ValorFinalReal]]-TSim[[#This Row],[AportesReales]]</f>
        <v>3579551.4981461689</v>
      </c>
      <c r="F608" s="19">
        <f>IF(TSim[[#This Row],[ValorFinalReal]]&gt;=Meta,1,0)</f>
        <v>0</v>
      </c>
      <c r="G608" s="21">
        <v>6.150155841809779E-3</v>
      </c>
    </row>
    <row r="609" spans="1:7" ht="16.95" customHeight="1">
      <c r="A609" s="11">
        <v>601</v>
      </c>
      <c r="B609" s="24">
        <v>73505536.02938506</v>
      </c>
      <c r="C609" s="24">
        <v>64861739.438159302</v>
      </c>
      <c r="D609" s="24">
        <v>63946347.276400506</v>
      </c>
      <c r="E609" s="24">
        <f>TSim[[#This Row],[ValorFinalReal]]-TSim[[#This Row],[AportesReales]]</f>
        <v>-915392.16175879538</v>
      </c>
      <c r="F609" s="19">
        <f>IF(TSim[[#This Row],[ValorFinalReal]]&gt;=Meta,1,0)</f>
        <v>0</v>
      </c>
      <c r="G609" s="21">
        <v>0</v>
      </c>
    </row>
    <row r="610" spans="1:7" ht="16.95" customHeight="1">
      <c r="A610" s="11">
        <v>602</v>
      </c>
      <c r="B610" s="24">
        <v>88485405.452917337</v>
      </c>
      <c r="C610" s="24">
        <v>64922937.057260327</v>
      </c>
      <c r="D610" s="24">
        <v>81879012.699238375</v>
      </c>
      <c r="E610" s="24">
        <f>TSim[[#This Row],[ValorFinalReal]]-TSim[[#This Row],[AportesReales]]</f>
        <v>16956075.641978048</v>
      </c>
      <c r="F610" s="19">
        <f>IF(TSim[[#This Row],[ValorFinalReal]]&gt;=Meta,1,0)</f>
        <v>1</v>
      </c>
      <c r="G610" s="21">
        <v>2.4429388749133141E-3</v>
      </c>
    </row>
    <row r="611" spans="1:7" ht="16.95" customHeight="1">
      <c r="A611" s="11">
        <v>603</v>
      </c>
      <c r="B611" s="24">
        <v>97731791.486796215</v>
      </c>
      <c r="C611" s="24">
        <v>64833914.904870607</v>
      </c>
      <c r="D611" s="24">
        <v>82737356.964420557</v>
      </c>
      <c r="E611" s="24">
        <f>TSim[[#This Row],[ValorFinalReal]]-TSim[[#This Row],[AportesReales]]</f>
        <v>17903442.05954995</v>
      </c>
      <c r="F611" s="19">
        <f>IF(TSim[[#This Row],[ValorFinalReal]]&gt;=Meta,1,0)</f>
        <v>1</v>
      </c>
      <c r="G611" s="21">
        <v>2.1090024960126459E-3</v>
      </c>
    </row>
    <row r="612" spans="1:7" ht="16.95" customHeight="1">
      <c r="A612" s="11">
        <v>604</v>
      </c>
      <c r="B612" s="24">
        <v>77876724.7750604</v>
      </c>
      <c r="C612" s="24">
        <v>64977347.438453794</v>
      </c>
      <c r="D612" s="24">
        <v>76098004.914620206</v>
      </c>
      <c r="E612" s="24">
        <f>TSim[[#This Row],[ValorFinalReal]]-TSim[[#This Row],[AportesReales]]</f>
        <v>11120657.476166412</v>
      </c>
      <c r="F612" s="19">
        <f>IF(TSim[[#This Row],[ValorFinalReal]]&gt;=Meta,1,0)</f>
        <v>0</v>
      </c>
      <c r="G612" s="21">
        <v>0</v>
      </c>
    </row>
    <row r="613" spans="1:7" ht="16.95" customHeight="1">
      <c r="A613" s="11">
        <v>605</v>
      </c>
      <c r="B613" s="24">
        <v>86555467.049178451</v>
      </c>
      <c r="C613" s="24">
        <v>64798386.42199643</v>
      </c>
      <c r="D613" s="24">
        <v>70710978.181317046</v>
      </c>
      <c r="E613" s="24">
        <f>TSim[[#This Row],[ValorFinalReal]]-TSim[[#This Row],[AportesReales]]</f>
        <v>5912591.7593206167</v>
      </c>
      <c r="F613" s="19">
        <f>IF(TSim[[#This Row],[ValorFinalReal]]&gt;=Meta,1,0)</f>
        <v>0</v>
      </c>
      <c r="G613" s="21">
        <v>8.4558896838855535E-3</v>
      </c>
    </row>
    <row r="614" spans="1:7" ht="16.95" customHeight="1">
      <c r="A614" s="11">
        <v>606</v>
      </c>
      <c r="B614" s="24">
        <v>92515857.748421133</v>
      </c>
      <c r="C614" s="24">
        <v>64769476.235330038</v>
      </c>
      <c r="D614" s="24">
        <v>73412345.240911081</v>
      </c>
      <c r="E614" s="24">
        <f>TSim[[#This Row],[ValorFinalReal]]-TSim[[#This Row],[AportesReales]]</f>
        <v>8642869.0055810437</v>
      </c>
      <c r="F614" s="19">
        <f>IF(TSim[[#This Row],[ValorFinalReal]]&gt;=Meta,1,0)</f>
        <v>0</v>
      </c>
      <c r="G614" s="21">
        <v>0</v>
      </c>
    </row>
    <row r="615" spans="1:7" ht="16.95" customHeight="1">
      <c r="A615" s="11">
        <v>607</v>
      </c>
      <c r="B615" s="24">
        <v>111744174.7671072</v>
      </c>
      <c r="C615" s="24">
        <v>64738703.227732852</v>
      </c>
      <c r="D615" s="24">
        <v>85961079.954649553</v>
      </c>
      <c r="E615" s="24">
        <f>TSim[[#This Row],[ValorFinalReal]]-TSim[[#This Row],[AportesReales]]</f>
        <v>21222376.726916701</v>
      </c>
      <c r="F615" s="19">
        <f>IF(TSim[[#This Row],[ValorFinalReal]]&gt;=Meta,1,0)</f>
        <v>1</v>
      </c>
      <c r="G615" s="21">
        <v>0</v>
      </c>
    </row>
    <row r="616" spans="1:7" ht="16.95" customHeight="1">
      <c r="A616" s="11">
        <v>608</v>
      </c>
      <c r="B616" s="24">
        <v>98570519.799006656</v>
      </c>
      <c r="C616" s="24">
        <v>64774990.928305671</v>
      </c>
      <c r="D616" s="24">
        <v>78648872.775732353</v>
      </c>
      <c r="E616" s="24">
        <f>TSim[[#This Row],[ValorFinalReal]]-TSim[[#This Row],[AportesReales]]</f>
        <v>13873881.847426683</v>
      </c>
      <c r="F616" s="19">
        <f>IF(TSim[[#This Row],[ValorFinalReal]]&gt;=Meta,1,0)</f>
        <v>0</v>
      </c>
      <c r="G616" s="21">
        <v>1.140083044284435E-2</v>
      </c>
    </row>
    <row r="617" spans="1:7" ht="16.95" customHeight="1">
      <c r="A617" s="11">
        <v>609</v>
      </c>
      <c r="B617" s="24">
        <v>84867382.5905101</v>
      </c>
      <c r="C617" s="24">
        <v>64936883.454204246</v>
      </c>
      <c r="D617" s="24">
        <v>79623484.063471913</v>
      </c>
      <c r="E617" s="24">
        <f>TSim[[#This Row],[ValorFinalReal]]-TSim[[#This Row],[AportesReales]]</f>
        <v>14686600.609267667</v>
      </c>
      <c r="F617" s="19">
        <f>IF(TSim[[#This Row],[ValorFinalReal]]&gt;=Meta,1,0)</f>
        <v>0</v>
      </c>
      <c r="G617" s="21">
        <v>1.0464940289983571E-2</v>
      </c>
    </row>
    <row r="618" spans="1:7" ht="16.95" customHeight="1">
      <c r="A618" s="11">
        <v>610</v>
      </c>
      <c r="B618" s="24">
        <v>100009558.4714261</v>
      </c>
      <c r="C618" s="24">
        <v>64884025.651432082</v>
      </c>
      <c r="D618" s="24">
        <v>89017643.111723736</v>
      </c>
      <c r="E618" s="24">
        <f>TSim[[#This Row],[ValorFinalReal]]-TSim[[#This Row],[AportesReales]]</f>
        <v>24133617.460291654</v>
      </c>
      <c r="F618" s="19">
        <f>IF(TSim[[#This Row],[ValorFinalReal]]&gt;=Meta,1,0)</f>
        <v>1</v>
      </c>
      <c r="G618" s="21">
        <v>0</v>
      </c>
    </row>
    <row r="619" spans="1:7" ht="16.95" customHeight="1">
      <c r="A619" s="11">
        <v>611</v>
      </c>
      <c r="B619" s="24">
        <v>76325495.524502084</v>
      </c>
      <c r="C619" s="24">
        <v>65039426.131268144</v>
      </c>
      <c r="D619" s="24">
        <v>79362133.959371626</v>
      </c>
      <c r="E619" s="24">
        <f>TSim[[#This Row],[ValorFinalReal]]-TSim[[#This Row],[AportesReales]]</f>
        <v>14322707.828103483</v>
      </c>
      <c r="F619" s="19">
        <f>IF(TSim[[#This Row],[ValorFinalReal]]&gt;=Meta,1,0)</f>
        <v>0</v>
      </c>
      <c r="G619" s="21">
        <v>0</v>
      </c>
    </row>
    <row r="620" spans="1:7" ht="16.95" customHeight="1">
      <c r="A620" s="11">
        <v>612</v>
      </c>
      <c r="B620" s="24">
        <v>99671496.500731155</v>
      </c>
      <c r="C620" s="24">
        <v>64798329.834007241</v>
      </c>
      <c r="D620" s="24">
        <v>81398105.545062244</v>
      </c>
      <c r="E620" s="24">
        <f>TSim[[#This Row],[ValorFinalReal]]-TSim[[#This Row],[AportesReales]]</f>
        <v>16599775.711055003</v>
      </c>
      <c r="F620" s="19">
        <f>IF(TSim[[#This Row],[ValorFinalReal]]&gt;=Meta,1,0)</f>
        <v>1</v>
      </c>
      <c r="G620" s="21">
        <v>3.8819443657895909E-3</v>
      </c>
    </row>
    <row r="621" spans="1:7" ht="16.95" customHeight="1">
      <c r="A621" s="11">
        <v>613</v>
      </c>
      <c r="B621" s="24">
        <v>74417535.57806921</v>
      </c>
      <c r="C621" s="24">
        <v>64883145.510314956</v>
      </c>
      <c r="D621" s="24">
        <v>66178628.451454453</v>
      </c>
      <c r="E621" s="24">
        <f>TSim[[#This Row],[ValorFinalReal]]-TSim[[#This Row],[AportesReales]]</f>
        <v>1295482.9411394969</v>
      </c>
      <c r="F621" s="19">
        <f>IF(TSim[[#This Row],[ValorFinalReal]]&gt;=Meta,1,0)</f>
        <v>0</v>
      </c>
      <c r="G621" s="21">
        <v>0</v>
      </c>
    </row>
    <row r="622" spans="1:7" ht="16.95" customHeight="1">
      <c r="A622" s="11">
        <v>614</v>
      </c>
      <c r="B622" s="24">
        <v>102790949.9903803</v>
      </c>
      <c r="C622" s="24">
        <v>64814479.886841513</v>
      </c>
      <c r="D622" s="24">
        <v>85333362.903214127</v>
      </c>
      <c r="E622" s="24">
        <f>TSim[[#This Row],[ValorFinalReal]]-TSim[[#This Row],[AportesReales]]</f>
        <v>20518883.016372614</v>
      </c>
      <c r="F622" s="19">
        <f>IF(TSim[[#This Row],[ValorFinalReal]]&gt;=Meta,1,0)</f>
        <v>1</v>
      </c>
      <c r="G622" s="21">
        <v>0</v>
      </c>
    </row>
    <row r="623" spans="1:7" ht="16.95" customHeight="1">
      <c r="A623" s="11">
        <v>615</v>
      </c>
      <c r="B623" s="24">
        <v>73638313.384842679</v>
      </c>
      <c r="C623" s="24">
        <v>64984265.096376501</v>
      </c>
      <c r="D623" s="24">
        <v>72448716.375717625</v>
      </c>
      <c r="E623" s="24">
        <f>TSim[[#This Row],[ValorFinalReal]]-TSim[[#This Row],[AportesReales]]</f>
        <v>7464451.279341124</v>
      </c>
      <c r="F623" s="19">
        <f>IF(TSim[[#This Row],[ValorFinalReal]]&gt;=Meta,1,0)</f>
        <v>0</v>
      </c>
      <c r="G623" s="21">
        <v>3.6252254984494581E-3</v>
      </c>
    </row>
    <row r="624" spans="1:7" ht="16.95" customHeight="1">
      <c r="A624" s="11">
        <v>616</v>
      </c>
      <c r="B624" s="24">
        <v>97320341.592460558</v>
      </c>
      <c r="C624" s="24">
        <v>64622217.076932199</v>
      </c>
      <c r="D624" s="24">
        <v>66598005.562402077</v>
      </c>
      <c r="E624" s="24">
        <f>TSim[[#This Row],[ValorFinalReal]]-TSim[[#This Row],[AportesReales]]</f>
        <v>1975788.4854698777</v>
      </c>
      <c r="F624" s="19">
        <f>IF(TSim[[#This Row],[ValorFinalReal]]&gt;=Meta,1,0)</f>
        <v>0</v>
      </c>
      <c r="G624" s="21">
        <v>2.19039847897925E-2</v>
      </c>
    </row>
    <row r="625" spans="1:7" ht="16.95" customHeight="1">
      <c r="A625" s="11">
        <v>617</v>
      </c>
      <c r="B625" s="24">
        <v>99303169.31689325</v>
      </c>
      <c r="C625" s="24">
        <v>64834462.211816482</v>
      </c>
      <c r="D625" s="24">
        <v>84058601.800338939</v>
      </c>
      <c r="E625" s="24">
        <f>TSim[[#This Row],[ValorFinalReal]]-TSim[[#This Row],[AportesReales]]</f>
        <v>19224139.588522457</v>
      </c>
      <c r="F625" s="19">
        <f>IF(TSim[[#This Row],[ValorFinalReal]]&gt;=Meta,1,0)</f>
        <v>1</v>
      </c>
      <c r="G625" s="21">
        <v>0</v>
      </c>
    </row>
    <row r="626" spans="1:7" ht="16.95" customHeight="1">
      <c r="A626" s="11">
        <v>618</v>
      </c>
      <c r="B626" s="24">
        <v>91225431.037253439</v>
      </c>
      <c r="C626" s="24">
        <v>64824382.542899467</v>
      </c>
      <c r="D626" s="24">
        <v>76462391.866208047</v>
      </c>
      <c r="E626" s="24">
        <f>TSim[[#This Row],[ValorFinalReal]]-TSim[[#This Row],[AportesReales]]</f>
        <v>11638009.32330858</v>
      </c>
      <c r="F626" s="19">
        <f>IF(TSim[[#This Row],[ValorFinalReal]]&gt;=Meta,1,0)</f>
        <v>0</v>
      </c>
      <c r="G626" s="21">
        <v>1.554259943411807E-2</v>
      </c>
    </row>
    <row r="627" spans="1:7" ht="16.95" customHeight="1">
      <c r="A627" s="11">
        <v>619</v>
      </c>
      <c r="B627" s="24">
        <v>97814174.031389475</v>
      </c>
      <c r="C627" s="24">
        <v>64781721.60162966</v>
      </c>
      <c r="D627" s="24">
        <v>78549176.509038866</v>
      </c>
      <c r="E627" s="24">
        <f>TSim[[#This Row],[ValorFinalReal]]-TSim[[#This Row],[AportesReales]]</f>
        <v>13767454.907409206</v>
      </c>
      <c r="F627" s="19">
        <f>IF(TSim[[#This Row],[ValorFinalReal]]&gt;=Meta,1,0)</f>
        <v>0</v>
      </c>
      <c r="G627" s="21">
        <v>9.1548354473225402E-4</v>
      </c>
    </row>
    <row r="628" spans="1:7" ht="16.95" customHeight="1">
      <c r="A628" s="11">
        <v>620</v>
      </c>
      <c r="B628" s="24">
        <v>79083490.823880434</v>
      </c>
      <c r="C628" s="24">
        <v>65007130.470867157</v>
      </c>
      <c r="D628" s="24">
        <v>79568647.959021747</v>
      </c>
      <c r="E628" s="24">
        <f>TSim[[#This Row],[ValorFinalReal]]-TSim[[#This Row],[AportesReales]]</f>
        <v>14561517.48815459</v>
      </c>
      <c r="F628" s="19">
        <f>IF(TSim[[#This Row],[ValorFinalReal]]&gt;=Meta,1,0)</f>
        <v>0</v>
      </c>
      <c r="G628" s="21">
        <v>2.7610956151702388E-3</v>
      </c>
    </row>
    <row r="629" spans="1:7" ht="16.95" customHeight="1">
      <c r="A629" s="11">
        <v>621</v>
      </c>
      <c r="B629" s="24">
        <v>101249076.177275</v>
      </c>
      <c r="C629" s="24">
        <v>64716460.117517792</v>
      </c>
      <c r="D629" s="24">
        <v>76159728.048939422</v>
      </c>
      <c r="E629" s="24">
        <f>TSim[[#This Row],[ValorFinalReal]]-TSim[[#This Row],[AportesReales]]</f>
        <v>11443267.93142163</v>
      </c>
      <c r="F629" s="19">
        <f>IF(TSim[[#This Row],[ValorFinalReal]]&gt;=Meta,1,0)</f>
        <v>0</v>
      </c>
      <c r="G629" s="21">
        <v>3.5058014653972509E-3</v>
      </c>
    </row>
    <row r="630" spans="1:7" ht="16.95" customHeight="1">
      <c r="A630" s="11">
        <v>622</v>
      </c>
      <c r="B630" s="24">
        <v>86369987.168367356</v>
      </c>
      <c r="C630" s="24">
        <v>64842144.350222319</v>
      </c>
      <c r="D630" s="24">
        <v>73718687.672012255</v>
      </c>
      <c r="E630" s="24">
        <f>TSim[[#This Row],[ValorFinalReal]]-TSim[[#This Row],[AportesReales]]</f>
        <v>8876543.3217899352</v>
      </c>
      <c r="F630" s="19">
        <f>IF(TSim[[#This Row],[ValorFinalReal]]&gt;=Meta,1,0)</f>
        <v>0</v>
      </c>
      <c r="G630" s="21">
        <v>0</v>
      </c>
    </row>
    <row r="631" spans="1:7" ht="16.95" customHeight="1">
      <c r="A631" s="11">
        <v>623</v>
      </c>
      <c r="B631" s="24">
        <v>90875177.103588432</v>
      </c>
      <c r="C631" s="24">
        <v>64803086.4934038</v>
      </c>
      <c r="D631" s="24">
        <v>74591134.241179198</v>
      </c>
      <c r="E631" s="24">
        <f>TSim[[#This Row],[ValorFinalReal]]-TSim[[#This Row],[AportesReales]]</f>
        <v>9788047.7477753982</v>
      </c>
      <c r="F631" s="19">
        <f>IF(TSim[[#This Row],[ValorFinalReal]]&gt;=Meta,1,0)</f>
        <v>0</v>
      </c>
      <c r="G631" s="21">
        <v>0</v>
      </c>
    </row>
    <row r="632" spans="1:7" ht="16.95" customHeight="1">
      <c r="A632" s="11">
        <v>624</v>
      </c>
      <c r="B632" s="24">
        <v>85993362.932280168</v>
      </c>
      <c r="C632" s="24">
        <v>64707973.883298308</v>
      </c>
      <c r="D632" s="24">
        <v>64125547.192622997</v>
      </c>
      <c r="E632" s="24">
        <f>TSim[[#This Row],[ValorFinalReal]]-TSim[[#This Row],[AportesReales]]</f>
        <v>-582426.69067531079</v>
      </c>
      <c r="F632" s="19">
        <f>IF(TSim[[#This Row],[ValorFinalReal]]&gt;=Meta,1,0)</f>
        <v>0</v>
      </c>
      <c r="G632" s="21">
        <v>1.287550754841049E-2</v>
      </c>
    </row>
    <row r="633" spans="1:7" ht="16.95" customHeight="1">
      <c r="A633" s="11">
        <v>625</v>
      </c>
      <c r="B633" s="24">
        <v>83061604.636471897</v>
      </c>
      <c r="C633" s="24">
        <v>64921342.241702229</v>
      </c>
      <c r="D633" s="24">
        <v>76710902.85847646</v>
      </c>
      <c r="E633" s="24">
        <f>TSim[[#This Row],[ValorFinalReal]]-TSim[[#This Row],[AportesReales]]</f>
        <v>11789560.616774231</v>
      </c>
      <c r="F633" s="19">
        <f>IF(TSim[[#This Row],[ValorFinalReal]]&gt;=Meta,1,0)</f>
        <v>0</v>
      </c>
      <c r="G633" s="21">
        <v>1.315727503908715E-2</v>
      </c>
    </row>
    <row r="634" spans="1:7" ht="16.95" customHeight="1">
      <c r="A634" s="11">
        <v>626</v>
      </c>
      <c r="B634" s="24">
        <v>94408219.106394932</v>
      </c>
      <c r="C634" s="24">
        <v>64977150.298852682</v>
      </c>
      <c r="D634" s="24">
        <v>92240543.889434963</v>
      </c>
      <c r="E634" s="24">
        <f>TSim[[#This Row],[ValorFinalReal]]-TSim[[#This Row],[AportesReales]]</f>
        <v>27263393.590582281</v>
      </c>
      <c r="F634" s="19">
        <f>IF(TSim[[#This Row],[ValorFinalReal]]&gt;=Meta,1,0)</f>
        <v>1</v>
      </c>
      <c r="G634" s="21">
        <v>0</v>
      </c>
    </row>
    <row r="635" spans="1:7" ht="16.95" customHeight="1">
      <c r="A635" s="11">
        <v>627</v>
      </c>
      <c r="B635" s="24">
        <v>90602956.352957979</v>
      </c>
      <c r="C635" s="24">
        <v>64784513.642808311</v>
      </c>
      <c r="D635" s="24">
        <v>72979644.338566825</v>
      </c>
      <c r="E635" s="24">
        <f>TSim[[#This Row],[ValorFinalReal]]-TSim[[#This Row],[AportesReales]]</f>
        <v>8195130.6957585141</v>
      </c>
      <c r="F635" s="19">
        <f>IF(TSim[[#This Row],[ValorFinalReal]]&gt;=Meta,1,0)</f>
        <v>0</v>
      </c>
      <c r="G635" s="21">
        <v>1.9059150840019631E-2</v>
      </c>
    </row>
    <row r="636" spans="1:7" ht="16.95" customHeight="1">
      <c r="A636" s="11">
        <v>628</v>
      </c>
      <c r="B636" s="24">
        <v>85519141.141829297</v>
      </c>
      <c r="C636" s="24">
        <v>64941053.940473378</v>
      </c>
      <c r="D636" s="24">
        <v>80572375.349528998</v>
      </c>
      <c r="E636" s="24">
        <f>TSim[[#This Row],[ValorFinalReal]]-TSim[[#This Row],[AportesReales]]</f>
        <v>15631321.40905562</v>
      </c>
      <c r="F636" s="19">
        <f>IF(TSim[[#This Row],[ValorFinalReal]]&gt;=Meta,1,0)</f>
        <v>1</v>
      </c>
      <c r="G636" s="21">
        <v>0</v>
      </c>
    </row>
    <row r="637" spans="1:7" ht="16.95" customHeight="1">
      <c r="A637" s="11">
        <v>629</v>
      </c>
      <c r="B637" s="24">
        <v>101034796.345401</v>
      </c>
      <c r="C637" s="24">
        <v>64724344.70351775</v>
      </c>
      <c r="D637" s="24">
        <v>76612697.45870474</v>
      </c>
      <c r="E637" s="24">
        <f>TSim[[#This Row],[ValorFinalReal]]-TSim[[#This Row],[AportesReales]]</f>
        <v>11888352.75518699</v>
      </c>
      <c r="F637" s="19">
        <f>IF(TSim[[#This Row],[ValorFinalReal]]&gt;=Meta,1,0)</f>
        <v>0</v>
      </c>
      <c r="G637" s="21">
        <v>8.8193630429460601E-3</v>
      </c>
    </row>
    <row r="638" spans="1:7" ht="16.95" customHeight="1">
      <c r="A638" s="11">
        <v>630</v>
      </c>
      <c r="B638" s="24">
        <v>83944955.336301193</v>
      </c>
      <c r="C638" s="24">
        <v>64964910.82711985</v>
      </c>
      <c r="D638" s="24">
        <v>80986332.062928662</v>
      </c>
      <c r="E638" s="24">
        <f>TSim[[#This Row],[ValorFinalReal]]-TSim[[#This Row],[AportesReales]]</f>
        <v>16021421.235808812</v>
      </c>
      <c r="F638" s="19">
        <f>IF(TSim[[#This Row],[ValorFinalReal]]&gt;=Meta,1,0)</f>
        <v>1</v>
      </c>
      <c r="G638" s="21">
        <v>3.4888366417147321E-3</v>
      </c>
    </row>
    <row r="639" spans="1:7" ht="16.95" customHeight="1">
      <c r="A639" s="11">
        <v>631</v>
      </c>
      <c r="B639" s="24">
        <v>85180245.83844313</v>
      </c>
      <c r="C639" s="24">
        <v>65090483.079746857</v>
      </c>
      <c r="D639" s="24">
        <v>93206853.445882887</v>
      </c>
      <c r="E639" s="24">
        <f>TSim[[#This Row],[ValorFinalReal]]-TSim[[#This Row],[AportesReales]]</f>
        <v>28116370.366136029</v>
      </c>
      <c r="F639" s="19">
        <f>IF(TSim[[#This Row],[ValorFinalReal]]&gt;=Meta,1,0)</f>
        <v>1</v>
      </c>
      <c r="G639" s="21">
        <v>0</v>
      </c>
    </row>
    <row r="640" spans="1:7" ht="16.95" customHeight="1">
      <c r="A640" s="11">
        <v>632</v>
      </c>
      <c r="B640" s="24">
        <v>85000568.427817792</v>
      </c>
      <c r="C640" s="24">
        <v>64948193.853277951</v>
      </c>
      <c r="D640" s="24">
        <v>80645155.061868757</v>
      </c>
      <c r="E640" s="24">
        <f>TSim[[#This Row],[ValorFinalReal]]-TSim[[#This Row],[AportesReales]]</f>
        <v>15696961.208590806</v>
      </c>
      <c r="F640" s="19">
        <f>IF(TSim[[#This Row],[ValorFinalReal]]&gt;=Meta,1,0)</f>
        <v>1</v>
      </c>
      <c r="G640" s="21">
        <v>6.6300049272417514E-3</v>
      </c>
    </row>
    <row r="641" spans="1:7" ht="16.95" customHeight="1">
      <c r="A641" s="11">
        <v>633</v>
      </c>
      <c r="B641" s="24">
        <v>102603369.2552875</v>
      </c>
      <c r="C641" s="24">
        <v>64750705.69251734</v>
      </c>
      <c r="D641" s="24">
        <v>79861423.725072399</v>
      </c>
      <c r="E641" s="24">
        <f>TSim[[#This Row],[ValorFinalReal]]-TSim[[#This Row],[AportesReales]]</f>
        <v>15110718.032555059</v>
      </c>
      <c r="F641" s="19">
        <f>IF(TSim[[#This Row],[ValorFinalReal]]&gt;=Meta,1,0)</f>
        <v>0</v>
      </c>
      <c r="G641" s="21">
        <v>5.7512519717273225E-4</v>
      </c>
    </row>
    <row r="642" spans="1:7" ht="16.95" customHeight="1">
      <c r="A642" s="11">
        <v>634</v>
      </c>
      <c r="B642" s="24">
        <v>95194701.819845393</v>
      </c>
      <c r="C642" s="24">
        <v>64723235.534307688</v>
      </c>
      <c r="D642" s="24">
        <v>72088945.486678049</v>
      </c>
      <c r="E642" s="24">
        <f>TSim[[#This Row],[ValorFinalReal]]-TSim[[#This Row],[AportesReales]]</f>
        <v>7365709.9523703605</v>
      </c>
      <c r="F642" s="19">
        <f>IF(TSim[[#This Row],[ValorFinalReal]]&gt;=Meta,1,0)</f>
        <v>0</v>
      </c>
      <c r="G642" s="21">
        <v>0</v>
      </c>
    </row>
    <row r="643" spans="1:7" ht="16.95" customHeight="1">
      <c r="A643" s="11">
        <v>635</v>
      </c>
      <c r="B643" s="24">
        <v>98360609.244777799</v>
      </c>
      <c r="C643" s="24">
        <v>64832565.81300991</v>
      </c>
      <c r="D643" s="24">
        <v>83137752.468712613</v>
      </c>
      <c r="E643" s="24">
        <f>TSim[[#This Row],[ValorFinalReal]]-TSim[[#This Row],[AportesReales]]</f>
        <v>18305186.655702703</v>
      </c>
      <c r="F643" s="19">
        <f>IF(TSim[[#This Row],[ValorFinalReal]]&gt;=Meta,1,0)</f>
        <v>1</v>
      </c>
      <c r="G643" s="21">
        <v>4.0627487239088822E-3</v>
      </c>
    </row>
    <row r="644" spans="1:7" ht="16.95" customHeight="1">
      <c r="A644" s="11">
        <v>636</v>
      </c>
      <c r="B644" s="24">
        <v>107539274.93437579</v>
      </c>
      <c r="C644" s="24">
        <v>64596892.917260468</v>
      </c>
      <c r="D644" s="24">
        <v>71728136.677035674</v>
      </c>
      <c r="E644" s="24">
        <f>TSim[[#This Row],[ValorFinalReal]]-TSim[[#This Row],[AportesReales]]</f>
        <v>7131243.7597752064</v>
      </c>
      <c r="F644" s="19">
        <f>IF(TSim[[#This Row],[ValorFinalReal]]&gt;=Meta,1,0)</f>
        <v>0</v>
      </c>
      <c r="G644" s="21">
        <v>1.912634754908105E-5</v>
      </c>
    </row>
    <row r="645" spans="1:7" ht="16.95" customHeight="1">
      <c r="A645" s="11">
        <v>637</v>
      </c>
      <c r="B645" s="24">
        <v>92393321.710226536</v>
      </c>
      <c r="C645" s="24">
        <v>64829875.506916083</v>
      </c>
      <c r="D645" s="24">
        <v>77885993.044177413</v>
      </c>
      <c r="E645" s="24">
        <f>TSim[[#This Row],[ValorFinalReal]]-TSim[[#This Row],[AportesReales]]</f>
        <v>13056117.53726133</v>
      </c>
      <c r="F645" s="19">
        <f>IF(TSim[[#This Row],[ValorFinalReal]]&gt;=Meta,1,0)</f>
        <v>0</v>
      </c>
      <c r="G645" s="21">
        <v>0</v>
      </c>
    </row>
    <row r="646" spans="1:7" ht="16.95" customHeight="1">
      <c r="A646" s="11">
        <v>638</v>
      </c>
      <c r="B646" s="24">
        <v>97221550.094699025</v>
      </c>
      <c r="C646" s="24">
        <v>64791740.7160955</v>
      </c>
      <c r="D646" s="24">
        <v>78883621.463250726</v>
      </c>
      <c r="E646" s="24">
        <f>TSim[[#This Row],[ValorFinalReal]]-TSim[[#This Row],[AportesReales]]</f>
        <v>14091880.747155227</v>
      </c>
      <c r="F646" s="19">
        <f>IF(TSim[[#This Row],[ValorFinalReal]]&gt;=Meta,1,0)</f>
        <v>0</v>
      </c>
      <c r="G646" s="21">
        <v>2.65115046936315E-3</v>
      </c>
    </row>
    <row r="647" spans="1:7" ht="16.95" customHeight="1">
      <c r="A647" s="11">
        <v>639</v>
      </c>
      <c r="B647" s="24">
        <v>106579937.023094</v>
      </c>
      <c r="C647" s="24">
        <v>64721721.398305982</v>
      </c>
      <c r="D647" s="24">
        <v>80573035.506312028</v>
      </c>
      <c r="E647" s="24">
        <f>TSim[[#This Row],[ValorFinalReal]]-TSim[[#This Row],[AportesReales]]</f>
        <v>15851314.108006045</v>
      </c>
      <c r="F647" s="19">
        <f>IF(TSim[[#This Row],[ValorFinalReal]]&gt;=Meta,1,0)</f>
        <v>1</v>
      </c>
      <c r="G647" s="21">
        <v>1.1861338275897301E-2</v>
      </c>
    </row>
    <row r="648" spans="1:7" ht="16.95" customHeight="1">
      <c r="A648" s="11">
        <v>640</v>
      </c>
      <c r="B648" s="24">
        <v>84096237.480041936</v>
      </c>
      <c r="C648" s="24">
        <v>64920205.429383941</v>
      </c>
      <c r="D648" s="24">
        <v>77608293.092522517</v>
      </c>
      <c r="E648" s="24">
        <f>TSim[[#This Row],[ValorFinalReal]]-TSim[[#This Row],[AportesReales]]</f>
        <v>12688087.663138576</v>
      </c>
      <c r="F648" s="19">
        <f>IF(TSim[[#This Row],[ValorFinalReal]]&gt;=Meta,1,0)</f>
        <v>0</v>
      </c>
      <c r="G648" s="21">
        <v>1.19545547354053E-2</v>
      </c>
    </row>
    <row r="649" spans="1:7" ht="16.95" customHeight="1">
      <c r="A649" s="11">
        <v>641</v>
      </c>
      <c r="B649" s="24">
        <v>93311434.211951718</v>
      </c>
      <c r="C649" s="24">
        <v>64801187.929435872</v>
      </c>
      <c r="D649" s="24">
        <v>76432412.7137032</v>
      </c>
      <c r="E649" s="24">
        <f>TSim[[#This Row],[ValorFinalReal]]-TSim[[#This Row],[AportesReales]]</f>
        <v>11631224.784267329</v>
      </c>
      <c r="F649" s="19">
        <f>IF(TSim[[#This Row],[ValorFinalReal]]&gt;=Meta,1,0)</f>
        <v>0</v>
      </c>
      <c r="G649" s="21">
        <v>0</v>
      </c>
    </row>
    <row r="650" spans="1:7" ht="16.95" customHeight="1">
      <c r="A650" s="11">
        <v>642</v>
      </c>
      <c r="B650" s="24">
        <v>95830596.541099429</v>
      </c>
      <c r="C650" s="24">
        <v>64780569.481544152</v>
      </c>
      <c r="D650" s="24">
        <v>76884359.22970739</v>
      </c>
      <c r="E650" s="24">
        <f>TSim[[#This Row],[ValorFinalReal]]-TSim[[#This Row],[AportesReales]]</f>
        <v>12103789.748163238</v>
      </c>
      <c r="F650" s="19">
        <f>IF(TSim[[#This Row],[ValorFinalReal]]&gt;=Meta,1,0)</f>
        <v>0</v>
      </c>
      <c r="G650" s="21">
        <v>3.5165792545079899E-3</v>
      </c>
    </row>
    <row r="651" spans="1:7" ht="16.95" customHeight="1">
      <c r="A651" s="11">
        <v>643</v>
      </c>
      <c r="B651" s="24">
        <v>100791266.9487278</v>
      </c>
      <c r="C651" s="24">
        <v>64896866.353739053</v>
      </c>
      <c r="D651" s="24">
        <v>90861291.264793575</v>
      </c>
      <c r="E651" s="24">
        <f>TSim[[#This Row],[ValorFinalReal]]-TSim[[#This Row],[AportesReales]]</f>
        <v>25964424.911054522</v>
      </c>
      <c r="F651" s="19">
        <f>IF(TSim[[#This Row],[ValorFinalReal]]&gt;=Meta,1,0)</f>
        <v>1</v>
      </c>
      <c r="G651" s="21">
        <v>1.2273273772972491E-3</v>
      </c>
    </row>
    <row r="652" spans="1:7" ht="16.95" customHeight="1">
      <c r="A652" s="11">
        <v>644</v>
      </c>
      <c r="B652" s="24">
        <v>79396774.364311546</v>
      </c>
      <c r="C652" s="24">
        <v>64885413.324097313</v>
      </c>
      <c r="D652" s="24">
        <v>70757988.20955202</v>
      </c>
      <c r="E652" s="24">
        <f>TSim[[#This Row],[ValorFinalReal]]-TSim[[#This Row],[AportesReales]]</f>
        <v>5872574.8854547068</v>
      </c>
      <c r="F652" s="19">
        <f>IF(TSim[[#This Row],[ValorFinalReal]]&gt;=Meta,1,0)</f>
        <v>0</v>
      </c>
      <c r="G652" s="21">
        <v>0</v>
      </c>
    </row>
    <row r="653" spans="1:7" ht="16.95" customHeight="1">
      <c r="A653" s="11">
        <v>645</v>
      </c>
      <c r="B653" s="24">
        <v>92097033.343158498</v>
      </c>
      <c r="C653" s="24">
        <v>64852521.477023616</v>
      </c>
      <c r="D653" s="24">
        <v>79418486.393988892</v>
      </c>
      <c r="E653" s="24">
        <f>TSim[[#This Row],[ValorFinalReal]]-TSim[[#This Row],[AportesReales]]</f>
        <v>14565964.916965276</v>
      </c>
      <c r="F653" s="19">
        <f>IF(TSim[[#This Row],[ValorFinalReal]]&gt;=Meta,1,0)</f>
        <v>0</v>
      </c>
      <c r="G653" s="21">
        <v>2.6997934582512211E-3</v>
      </c>
    </row>
    <row r="654" spans="1:7" ht="16.95" customHeight="1">
      <c r="A654" s="11">
        <v>646</v>
      </c>
      <c r="B654" s="24">
        <v>84708345.952695251</v>
      </c>
      <c r="C654" s="24">
        <v>64949143.270709626</v>
      </c>
      <c r="D654" s="24">
        <v>80482580.618457392</v>
      </c>
      <c r="E654" s="24">
        <f>TSim[[#This Row],[ValorFinalReal]]-TSim[[#This Row],[AportesReales]]</f>
        <v>15533437.347747765</v>
      </c>
      <c r="F654" s="19">
        <f>IF(TSim[[#This Row],[ValorFinalReal]]&gt;=Meta,1,0)</f>
        <v>1</v>
      </c>
      <c r="G654" s="21">
        <v>4.8329872394159418E-4</v>
      </c>
    </row>
    <row r="655" spans="1:7" ht="16.95" customHeight="1">
      <c r="A655" s="11">
        <v>647</v>
      </c>
      <c r="B655" s="24">
        <v>86406619.545078203</v>
      </c>
      <c r="C655" s="24">
        <v>64852592.872875288</v>
      </c>
      <c r="D655" s="24">
        <v>74531118.987293392</v>
      </c>
      <c r="E655" s="24">
        <f>TSim[[#This Row],[ValorFinalReal]]-TSim[[#This Row],[AportesReales]]</f>
        <v>9678526.1144181043</v>
      </c>
      <c r="F655" s="19">
        <f>IF(TSim[[#This Row],[ValorFinalReal]]&gt;=Meta,1,0)</f>
        <v>0</v>
      </c>
      <c r="G655" s="21">
        <v>0</v>
      </c>
    </row>
    <row r="656" spans="1:7" ht="16.95" customHeight="1">
      <c r="A656" s="11">
        <v>648</v>
      </c>
      <c r="B656" s="24">
        <v>89863030.029267758</v>
      </c>
      <c r="C656" s="24">
        <v>64772597.811943963</v>
      </c>
      <c r="D656" s="24">
        <v>71463529.349191099</v>
      </c>
      <c r="E656" s="24">
        <f>TSim[[#This Row],[ValorFinalReal]]-TSim[[#This Row],[AportesReales]]</f>
        <v>6690931.5372471362</v>
      </c>
      <c r="F656" s="19">
        <f>IF(TSim[[#This Row],[ValorFinalReal]]&gt;=Meta,1,0)</f>
        <v>0</v>
      </c>
      <c r="G656" s="21">
        <v>0</v>
      </c>
    </row>
    <row r="657" spans="1:7" ht="16.95" customHeight="1">
      <c r="A657" s="11">
        <v>649</v>
      </c>
      <c r="B657" s="24">
        <v>73980277.948489025</v>
      </c>
      <c r="C657" s="24">
        <v>64987004.954877317</v>
      </c>
      <c r="D657" s="24">
        <v>73007454.954950571</v>
      </c>
      <c r="E657" s="24">
        <f>TSim[[#This Row],[ValorFinalReal]]-TSim[[#This Row],[AportesReales]]</f>
        <v>8020450.0000732541</v>
      </c>
      <c r="F657" s="19">
        <f>IF(TSim[[#This Row],[ValorFinalReal]]&gt;=Meta,1,0)</f>
        <v>0</v>
      </c>
      <c r="G657" s="21">
        <v>1.0665837770180711E-3</v>
      </c>
    </row>
    <row r="658" spans="1:7" ht="16.95" customHeight="1">
      <c r="A658" s="11">
        <v>650</v>
      </c>
      <c r="B658" s="24">
        <v>98271740.670886576</v>
      </c>
      <c r="C658" s="24">
        <v>64819145.329697423</v>
      </c>
      <c r="D658" s="24">
        <v>81945305.114316285</v>
      </c>
      <c r="E658" s="24">
        <f>TSim[[#This Row],[ValorFinalReal]]-TSim[[#This Row],[AportesReales]]</f>
        <v>17126159.784618862</v>
      </c>
      <c r="F658" s="19">
        <f>IF(TSim[[#This Row],[ValorFinalReal]]&gt;=Meta,1,0)</f>
        <v>1</v>
      </c>
      <c r="G658" s="21">
        <v>3.8558571907321149E-3</v>
      </c>
    </row>
    <row r="659" spans="1:7" ht="16.95" customHeight="1">
      <c r="A659" s="11">
        <v>651</v>
      </c>
      <c r="B659" s="24">
        <v>97606255.84197396</v>
      </c>
      <c r="C659" s="24">
        <v>64902296.174283698</v>
      </c>
      <c r="D659" s="24">
        <v>88461242.281064525</v>
      </c>
      <c r="E659" s="24">
        <f>TSim[[#This Row],[ValorFinalReal]]-TSim[[#This Row],[AportesReales]]</f>
        <v>23558946.106780827</v>
      </c>
      <c r="F659" s="19">
        <f>IF(TSim[[#This Row],[ValorFinalReal]]&gt;=Meta,1,0)</f>
        <v>1</v>
      </c>
      <c r="G659" s="21">
        <v>0</v>
      </c>
    </row>
    <row r="660" spans="1:7" ht="16.95" customHeight="1">
      <c r="A660" s="11">
        <v>652</v>
      </c>
      <c r="B660" s="24">
        <v>85966743.17801632</v>
      </c>
      <c r="C660" s="24">
        <v>64831339.61888551</v>
      </c>
      <c r="D660" s="24">
        <v>72583446.634648412</v>
      </c>
      <c r="E660" s="24">
        <f>TSim[[#This Row],[ValorFinalReal]]-TSim[[#This Row],[AportesReales]]</f>
        <v>7752107.0157629028</v>
      </c>
      <c r="F660" s="19">
        <f>IF(TSim[[#This Row],[ValorFinalReal]]&gt;=Meta,1,0)</f>
        <v>0</v>
      </c>
      <c r="G660" s="21">
        <v>0</v>
      </c>
    </row>
    <row r="661" spans="1:7" ht="16.95" customHeight="1">
      <c r="A661" s="11">
        <v>653</v>
      </c>
      <c r="B661" s="24">
        <v>87507762.824910969</v>
      </c>
      <c r="C661" s="24">
        <v>64913516.676185504</v>
      </c>
      <c r="D661" s="24">
        <v>80165209.120024994</v>
      </c>
      <c r="E661" s="24">
        <f>TSim[[#This Row],[ValorFinalReal]]-TSim[[#This Row],[AportesReales]]</f>
        <v>15251692.44383949</v>
      </c>
      <c r="F661" s="19">
        <f>IF(TSim[[#This Row],[ValorFinalReal]]&gt;=Meta,1,0)</f>
        <v>1</v>
      </c>
      <c r="G661" s="21">
        <v>7.1203152628066544E-3</v>
      </c>
    </row>
    <row r="662" spans="1:7" ht="16.95" customHeight="1">
      <c r="A662" s="11">
        <v>654</v>
      </c>
      <c r="B662" s="24">
        <v>94197893.235089317</v>
      </c>
      <c r="C662" s="24">
        <v>64791073.060500771</v>
      </c>
      <c r="D662" s="24">
        <v>76338771.733814999</v>
      </c>
      <c r="E662" s="24">
        <f>TSim[[#This Row],[ValorFinalReal]]-TSim[[#This Row],[AportesReales]]</f>
        <v>11547698.673314229</v>
      </c>
      <c r="F662" s="19">
        <f>IF(TSim[[#This Row],[ValorFinalReal]]&gt;=Meta,1,0)</f>
        <v>0</v>
      </c>
      <c r="G662" s="21">
        <v>0</v>
      </c>
    </row>
    <row r="663" spans="1:7" ht="16.95" customHeight="1">
      <c r="A663" s="11">
        <v>655</v>
      </c>
      <c r="B663" s="24">
        <v>79875929.536268711</v>
      </c>
      <c r="C663" s="24">
        <v>65012633.492360182</v>
      </c>
      <c r="D663" s="24">
        <v>80834333.990187109</v>
      </c>
      <c r="E663" s="24">
        <f>TSim[[#This Row],[ValorFinalReal]]-TSim[[#This Row],[AportesReales]]</f>
        <v>15821700.497826926</v>
      </c>
      <c r="F663" s="19">
        <f>IF(TSim[[#This Row],[ValorFinalReal]]&gt;=Meta,1,0)</f>
        <v>1</v>
      </c>
      <c r="G663" s="21">
        <v>1.0627143743307419E-2</v>
      </c>
    </row>
    <row r="664" spans="1:7" ht="16.95" customHeight="1">
      <c r="A664" s="11">
        <v>656</v>
      </c>
      <c r="B664" s="24">
        <v>99716943.97526367</v>
      </c>
      <c r="C664" s="24">
        <v>64660386.924461871</v>
      </c>
      <c r="D664" s="24">
        <v>70914612.311424524</v>
      </c>
      <c r="E664" s="24">
        <f>TSim[[#This Row],[ValorFinalReal]]-TSim[[#This Row],[AportesReales]]</f>
        <v>6254225.3869626522</v>
      </c>
      <c r="F664" s="19">
        <f>IF(TSim[[#This Row],[ValorFinalReal]]&gt;=Meta,1,0)</f>
        <v>0</v>
      </c>
      <c r="G664" s="21">
        <v>2.744555911054825E-3</v>
      </c>
    </row>
    <row r="665" spans="1:7" ht="16.95" customHeight="1">
      <c r="A665" s="11">
        <v>657</v>
      </c>
      <c r="B665" s="24">
        <v>85111752.014431775</v>
      </c>
      <c r="C665" s="24">
        <v>64832409.987108298</v>
      </c>
      <c r="D665" s="24">
        <v>71941656.449427024</v>
      </c>
      <c r="E665" s="24">
        <f>TSim[[#This Row],[ValorFinalReal]]-TSim[[#This Row],[AportesReales]]</f>
        <v>7109246.4623187259</v>
      </c>
      <c r="F665" s="19">
        <f>IF(TSim[[#This Row],[ValorFinalReal]]&gt;=Meta,1,0)</f>
        <v>0</v>
      </c>
      <c r="G665" s="21">
        <v>3.6452912299742568E-3</v>
      </c>
    </row>
    <row r="666" spans="1:7" ht="16.95" customHeight="1">
      <c r="A666" s="11">
        <v>658</v>
      </c>
      <c r="B666" s="24">
        <v>90172850.287904575</v>
      </c>
      <c r="C666" s="24">
        <v>64860426.666735612</v>
      </c>
      <c r="D666" s="24">
        <v>78361543.352787226</v>
      </c>
      <c r="E666" s="24">
        <f>TSim[[#This Row],[ValorFinalReal]]-TSim[[#This Row],[AportesReales]]</f>
        <v>13501116.686051615</v>
      </c>
      <c r="F666" s="19">
        <f>IF(TSim[[#This Row],[ValorFinalReal]]&gt;=Meta,1,0)</f>
        <v>0</v>
      </c>
      <c r="G666" s="21">
        <v>0</v>
      </c>
    </row>
    <row r="667" spans="1:7" ht="16.95" customHeight="1">
      <c r="A667" s="11">
        <v>659</v>
      </c>
      <c r="B667" s="24">
        <v>87294532.258797392</v>
      </c>
      <c r="C667" s="24">
        <v>64852285.595267408</v>
      </c>
      <c r="D667" s="24">
        <v>75261306.822943002</v>
      </c>
      <c r="E667" s="24">
        <f>TSim[[#This Row],[ValorFinalReal]]-TSim[[#This Row],[AportesReales]]</f>
        <v>10409021.227675594</v>
      </c>
      <c r="F667" s="19">
        <f>IF(TSim[[#This Row],[ValorFinalReal]]&gt;=Meta,1,0)</f>
        <v>0</v>
      </c>
      <c r="G667" s="21">
        <v>0</v>
      </c>
    </row>
    <row r="668" spans="1:7" ht="16.95" customHeight="1">
      <c r="A668" s="11">
        <v>660</v>
      </c>
      <c r="B668" s="24">
        <v>92707655.6699249</v>
      </c>
      <c r="C668" s="24">
        <v>64809174.579750329</v>
      </c>
      <c r="D668" s="24">
        <v>76525443.939079642</v>
      </c>
      <c r="E668" s="24">
        <f>TSim[[#This Row],[ValorFinalReal]]-TSim[[#This Row],[AportesReales]]</f>
        <v>11716269.359329313</v>
      </c>
      <c r="F668" s="19">
        <f>IF(TSim[[#This Row],[ValorFinalReal]]&gt;=Meta,1,0)</f>
        <v>0</v>
      </c>
      <c r="G668" s="21">
        <v>4.330761685804374E-3</v>
      </c>
    </row>
    <row r="669" spans="1:7" ht="16.95" customHeight="1">
      <c r="A669" s="11">
        <v>661</v>
      </c>
      <c r="B669" s="24">
        <v>116693531.0788165</v>
      </c>
      <c r="C669" s="24">
        <v>64672202.849953704</v>
      </c>
      <c r="D669" s="24">
        <v>83942314.490671217</v>
      </c>
      <c r="E669" s="24">
        <f>TSim[[#This Row],[ValorFinalReal]]-TSim[[#This Row],[AportesReales]]</f>
        <v>19270111.640717514</v>
      </c>
      <c r="F669" s="19">
        <f>IF(TSim[[#This Row],[ValorFinalReal]]&gt;=Meta,1,0)</f>
        <v>1</v>
      </c>
      <c r="G669" s="21">
        <v>6.9669669849301563E-3</v>
      </c>
    </row>
    <row r="670" spans="1:7" ht="16.95" customHeight="1">
      <c r="A670" s="11">
        <v>662</v>
      </c>
      <c r="B670" s="24">
        <v>102550005.32123441</v>
      </c>
      <c r="C670" s="24">
        <v>64681122.403264023</v>
      </c>
      <c r="D670" s="24">
        <v>74447049.598382369</v>
      </c>
      <c r="E670" s="24">
        <f>TSim[[#This Row],[ValorFinalReal]]-TSim[[#This Row],[AportesReales]]</f>
        <v>9765927.1951183453</v>
      </c>
      <c r="F670" s="19">
        <f>IF(TSim[[#This Row],[ValorFinalReal]]&gt;=Meta,1,0)</f>
        <v>0</v>
      </c>
      <c r="G670" s="21">
        <v>6.6447875955912838E-3</v>
      </c>
    </row>
    <row r="671" spans="1:7" ht="16.95" customHeight="1">
      <c r="A671" s="11">
        <v>663</v>
      </c>
      <c r="B671" s="24">
        <v>101924607.8546589</v>
      </c>
      <c r="C671" s="24">
        <v>64787368.138395473</v>
      </c>
      <c r="D671" s="24">
        <v>82305981.641404361</v>
      </c>
      <c r="E671" s="24">
        <f>TSim[[#This Row],[ValorFinalReal]]-TSim[[#This Row],[AportesReales]]</f>
        <v>17518613.503008887</v>
      </c>
      <c r="F671" s="19">
        <f>IF(TSim[[#This Row],[ValorFinalReal]]&gt;=Meta,1,0)</f>
        <v>1</v>
      </c>
      <c r="G671" s="21">
        <v>7.282133556155701E-4</v>
      </c>
    </row>
    <row r="672" spans="1:7" ht="16.95" customHeight="1">
      <c r="A672" s="11">
        <v>664</v>
      </c>
      <c r="B672" s="24">
        <v>87346987.823373705</v>
      </c>
      <c r="C672" s="24">
        <v>64812159.502803572</v>
      </c>
      <c r="D672" s="24">
        <v>72329856.211405888</v>
      </c>
      <c r="E672" s="24">
        <f>TSim[[#This Row],[ValorFinalReal]]-TSim[[#This Row],[AportesReales]]</f>
        <v>7517696.7086023167</v>
      </c>
      <c r="F672" s="19">
        <f>IF(TSim[[#This Row],[ValorFinalReal]]&gt;=Meta,1,0)</f>
        <v>0</v>
      </c>
      <c r="G672" s="21">
        <v>0</v>
      </c>
    </row>
    <row r="673" spans="1:7" ht="16.95" customHeight="1">
      <c r="A673" s="11">
        <v>665</v>
      </c>
      <c r="B673" s="24">
        <v>88450156.024258956</v>
      </c>
      <c r="C673" s="24">
        <v>64926041.85701412</v>
      </c>
      <c r="D673" s="24">
        <v>82111856.259751484</v>
      </c>
      <c r="E673" s="24">
        <f>TSim[[#This Row],[ValorFinalReal]]-TSim[[#This Row],[AportesReales]]</f>
        <v>17185814.402737364</v>
      </c>
      <c r="F673" s="19">
        <f>IF(TSim[[#This Row],[ValorFinalReal]]&gt;=Meta,1,0)</f>
        <v>1</v>
      </c>
      <c r="G673" s="21">
        <v>1.562172375585158E-2</v>
      </c>
    </row>
    <row r="674" spans="1:7" ht="16.95" customHeight="1">
      <c r="A674" s="11">
        <v>666</v>
      </c>
      <c r="B674" s="24">
        <v>98698070.275514066</v>
      </c>
      <c r="C674" s="24">
        <v>64812978.305368952</v>
      </c>
      <c r="D674" s="24">
        <v>81799911.102239221</v>
      </c>
      <c r="E674" s="24">
        <f>TSim[[#This Row],[ValorFinalReal]]-TSim[[#This Row],[AportesReales]]</f>
        <v>16986932.796870269</v>
      </c>
      <c r="F674" s="19">
        <f>IF(TSim[[#This Row],[ValorFinalReal]]&gt;=Meta,1,0)</f>
        <v>1</v>
      </c>
      <c r="G674" s="21">
        <v>1.346929900031058E-2</v>
      </c>
    </row>
    <row r="675" spans="1:7" ht="16.95" customHeight="1">
      <c r="A675" s="11">
        <v>667</v>
      </c>
      <c r="B675" s="24">
        <v>80445149.968078539</v>
      </c>
      <c r="C675" s="24">
        <v>65027232.65006388</v>
      </c>
      <c r="D675" s="24">
        <v>82608688.33889477</v>
      </c>
      <c r="E675" s="24">
        <f>TSim[[#This Row],[ValorFinalReal]]-TSim[[#This Row],[AportesReales]]</f>
        <v>17581455.68883089</v>
      </c>
      <c r="F675" s="19">
        <f>IF(TSim[[#This Row],[ValorFinalReal]]&gt;=Meta,1,0)</f>
        <v>1</v>
      </c>
      <c r="G675" s="21">
        <v>7.7958265745043942E-3</v>
      </c>
    </row>
    <row r="676" spans="1:7" ht="16.95" customHeight="1">
      <c r="A676" s="11">
        <v>668</v>
      </c>
      <c r="B676" s="24">
        <v>87774136.17549479</v>
      </c>
      <c r="C676" s="24">
        <v>64804098.323611997</v>
      </c>
      <c r="D676" s="24">
        <v>72104672.232717916</v>
      </c>
      <c r="E676" s="24">
        <f>TSim[[#This Row],[ValorFinalReal]]-TSim[[#This Row],[AportesReales]]</f>
        <v>7300573.9091059193</v>
      </c>
      <c r="F676" s="19">
        <f>IF(TSim[[#This Row],[ValorFinalReal]]&gt;=Meta,1,0)</f>
        <v>0</v>
      </c>
      <c r="G676" s="21">
        <v>4.7469913756718052E-3</v>
      </c>
    </row>
    <row r="677" spans="1:7" ht="16.95" customHeight="1">
      <c r="A677" s="11">
        <v>669</v>
      </c>
      <c r="B677" s="24">
        <v>89496150.951105028</v>
      </c>
      <c r="C677" s="24">
        <v>64854084.734008968</v>
      </c>
      <c r="D677" s="24">
        <v>77292569.037496552</v>
      </c>
      <c r="E677" s="24">
        <f>TSim[[#This Row],[ValorFinalReal]]-TSim[[#This Row],[AportesReales]]</f>
        <v>12438484.303487584</v>
      </c>
      <c r="F677" s="19">
        <f>IF(TSim[[#This Row],[ValorFinalReal]]&gt;=Meta,1,0)</f>
        <v>0</v>
      </c>
      <c r="G677" s="21">
        <v>2.236180003676314E-3</v>
      </c>
    </row>
    <row r="678" spans="1:7" ht="16.95" customHeight="1">
      <c r="A678" s="11">
        <v>670</v>
      </c>
      <c r="B678" s="24">
        <v>93148705.924911678</v>
      </c>
      <c r="C678" s="24">
        <v>64879527.123630621</v>
      </c>
      <c r="D678" s="24">
        <v>82495759.627870321</v>
      </c>
      <c r="E678" s="24">
        <f>TSim[[#This Row],[ValorFinalReal]]-TSim[[#This Row],[AportesReales]]</f>
        <v>17616232.504239701</v>
      </c>
      <c r="F678" s="19">
        <f>IF(TSim[[#This Row],[ValorFinalReal]]&gt;=Meta,1,0)</f>
        <v>1</v>
      </c>
      <c r="G678" s="21">
        <v>0</v>
      </c>
    </row>
    <row r="679" spans="1:7" ht="16.95" customHeight="1">
      <c r="A679" s="11">
        <v>671</v>
      </c>
      <c r="B679" s="24">
        <v>100094565.37311099</v>
      </c>
      <c r="C679" s="24">
        <v>64771226.552258231</v>
      </c>
      <c r="D679" s="24">
        <v>79555133.564030856</v>
      </c>
      <c r="E679" s="24">
        <f>TSim[[#This Row],[ValorFinalReal]]-TSim[[#This Row],[AportesReales]]</f>
        <v>14783907.011772625</v>
      </c>
      <c r="F679" s="19">
        <f>IF(TSim[[#This Row],[ValorFinalReal]]&gt;=Meta,1,0)</f>
        <v>0</v>
      </c>
      <c r="G679" s="21">
        <v>0</v>
      </c>
    </row>
    <row r="680" spans="1:7" ht="16.95" customHeight="1">
      <c r="A680" s="11">
        <v>672</v>
      </c>
      <c r="B680" s="24">
        <v>99082861.458877087</v>
      </c>
      <c r="C680" s="24">
        <v>64787701.740716062</v>
      </c>
      <c r="D680" s="24">
        <v>80073321.244484678</v>
      </c>
      <c r="E680" s="24">
        <f>TSim[[#This Row],[ValorFinalReal]]-TSim[[#This Row],[AportesReales]]</f>
        <v>15285619.503768615</v>
      </c>
      <c r="F680" s="19">
        <f>IF(TSim[[#This Row],[ValorFinalReal]]&gt;=Meta,1,0)</f>
        <v>1</v>
      </c>
      <c r="G680" s="21">
        <v>6.4895697433774444E-3</v>
      </c>
    </row>
    <row r="681" spans="1:7" ht="16.95" customHeight="1">
      <c r="A681" s="11">
        <v>673</v>
      </c>
      <c r="B681" s="24">
        <v>95124563.380513966</v>
      </c>
      <c r="C681" s="24">
        <v>64738112.150473617</v>
      </c>
      <c r="D681" s="24">
        <v>73128242.012803331</v>
      </c>
      <c r="E681" s="24">
        <f>TSim[[#This Row],[ValorFinalReal]]-TSim[[#This Row],[AportesReales]]</f>
        <v>8390129.862329714</v>
      </c>
      <c r="F681" s="19">
        <f>IF(TSim[[#This Row],[ValorFinalReal]]&gt;=Meta,1,0)</f>
        <v>0</v>
      </c>
      <c r="G681" s="21">
        <v>0</v>
      </c>
    </row>
    <row r="682" spans="1:7" ht="16.95" customHeight="1">
      <c r="A682" s="11">
        <v>674</v>
      </c>
      <c r="B682" s="24">
        <v>89729222.907740951</v>
      </c>
      <c r="C682" s="24">
        <v>64806519.021254599</v>
      </c>
      <c r="D682" s="24">
        <v>73864778.473025605</v>
      </c>
      <c r="E682" s="24">
        <f>TSim[[#This Row],[ValorFinalReal]]-TSim[[#This Row],[AportesReales]]</f>
        <v>9058259.451771006</v>
      </c>
      <c r="F682" s="19">
        <f>IF(TSim[[#This Row],[ValorFinalReal]]&gt;=Meta,1,0)</f>
        <v>0</v>
      </c>
      <c r="G682" s="21">
        <v>2.5030606555686008E-3</v>
      </c>
    </row>
    <row r="683" spans="1:7" ht="16.95" customHeight="1">
      <c r="A683" s="11">
        <v>675</v>
      </c>
      <c r="B683" s="24">
        <v>86257356.435392305</v>
      </c>
      <c r="C683" s="24">
        <v>64866234.096100584</v>
      </c>
      <c r="D683" s="24">
        <v>75412531.967021599</v>
      </c>
      <c r="E683" s="24">
        <f>TSim[[#This Row],[ValorFinalReal]]-TSim[[#This Row],[AportesReales]]</f>
        <v>10546297.870921016</v>
      </c>
      <c r="F683" s="19">
        <f>IF(TSim[[#This Row],[ValorFinalReal]]&gt;=Meta,1,0)</f>
        <v>0</v>
      </c>
      <c r="G683" s="21">
        <v>3.4618541656470381E-3</v>
      </c>
    </row>
    <row r="684" spans="1:7" ht="16.95" customHeight="1">
      <c r="A684" s="11">
        <v>676</v>
      </c>
      <c r="B684" s="24">
        <v>94829809.535875127</v>
      </c>
      <c r="C684" s="24">
        <v>64895044.078432977</v>
      </c>
      <c r="D684" s="24">
        <v>85343248.106630787</v>
      </c>
      <c r="E684" s="24">
        <f>TSim[[#This Row],[ValorFinalReal]]-TSim[[#This Row],[AportesReales]]</f>
        <v>20448204.02819781</v>
      </c>
      <c r="F684" s="19">
        <f>IF(TSim[[#This Row],[ValorFinalReal]]&gt;=Meta,1,0)</f>
        <v>1</v>
      </c>
      <c r="G684" s="21">
        <v>0</v>
      </c>
    </row>
    <row r="685" spans="1:7" ht="16.95" customHeight="1">
      <c r="A685" s="11">
        <v>677</v>
      </c>
      <c r="B685" s="24">
        <v>87680756.305661768</v>
      </c>
      <c r="C685" s="24">
        <v>64765436.500692748</v>
      </c>
      <c r="D685" s="24">
        <v>69286745.510151789</v>
      </c>
      <c r="E685" s="24">
        <f>TSim[[#This Row],[ValorFinalReal]]-TSim[[#This Row],[AportesReales]]</f>
        <v>4521309.0094590411</v>
      </c>
      <c r="F685" s="19">
        <f>IF(TSim[[#This Row],[ValorFinalReal]]&gt;=Meta,1,0)</f>
        <v>0</v>
      </c>
      <c r="G685" s="21">
        <v>1.293934147296727E-3</v>
      </c>
    </row>
    <row r="686" spans="1:7" ht="16.95" customHeight="1">
      <c r="A686" s="11">
        <v>678</v>
      </c>
      <c r="B686" s="24">
        <v>86876300.566644505</v>
      </c>
      <c r="C686" s="24">
        <v>64819700.418119907</v>
      </c>
      <c r="D686" s="24">
        <v>72496828.055150867</v>
      </c>
      <c r="E686" s="24">
        <f>TSim[[#This Row],[ValorFinalReal]]-TSim[[#This Row],[AportesReales]]</f>
        <v>7677127.6370309591</v>
      </c>
      <c r="F686" s="19">
        <f>IF(TSim[[#This Row],[ValorFinalReal]]&gt;=Meta,1,0)</f>
        <v>0</v>
      </c>
      <c r="G686" s="21">
        <v>0</v>
      </c>
    </row>
    <row r="687" spans="1:7" ht="16.95" customHeight="1">
      <c r="A687" s="11">
        <v>679</v>
      </c>
      <c r="B687" s="24">
        <v>87201038.885437667</v>
      </c>
      <c r="C687" s="24">
        <v>64882885.067970008</v>
      </c>
      <c r="D687" s="24">
        <v>77500280.891870946</v>
      </c>
      <c r="E687" s="24">
        <f>TSim[[#This Row],[ValorFinalReal]]-TSim[[#This Row],[AportesReales]]</f>
        <v>12617395.823900938</v>
      </c>
      <c r="F687" s="19">
        <f>IF(TSim[[#This Row],[ValorFinalReal]]&gt;=Meta,1,0)</f>
        <v>0</v>
      </c>
      <c r="G687" s="21">
        <v>4.6155645188575836E-3</v>
      </c>
    </row>
    <row r="688" spans="1:7" ht="16.95" customHeight="1">
      <c r="A688" s="11">
        <v>680</v>
      </c>
      <c r="B688" s="24">
        <v>87429959.301077336</v>
      </c>
      <c r="C688" s="24">
        <v>64915002.977229893</v>
      </c>
      <c r="D688" s="24">
        <v>80240434.507324427</v>
      </c>
      <c r="E688" s="24">
        <f>TSim[[#This Row],[ValorFinalReal]]-TSim[[#This Row],[AportesReales]]</f>
        <v>15325431.530094534</v>
      </c>
      <c r="F688" s="19">
        <f>IF(TSim[[#This Row],[ValorFinalReal]]&gt;=Meta,1,0)</f>
        <v>1</v>
      </c>
      <c r="G688" s="21">
        <v>1.3249793078019659E-2</v>
      </c>
    </row>
    <row r="689" spans="1:7" ht="16.95" customHeight="1">
      <c r="A689" s="11">
        <v>681</v>
      </c>
      <c r="B689" s="24">
        <v>91655884.821454108</v>
      </c>
      <c r="C689" s="24">
        <v>64870287.764235832</v>
      </c>
      <c r="D689" s="24">
        <v>80438300.172843948</v>
      </c>
      <c r="E689" s="24">
        <f>TSim[[#This Row],[ValorFinalReal]]-TSim[[#This Row],[AportesReales]]</f>
        <v>15568012.408608116</v>
      </c>
      <c r="F689" s="19">
        <f>IF(TSim[[#This Row],[ValorFinalReal]]&gt;=Meta,1,0)</f>
        <v>1</v>
      </c>
      <c r="G689" s="21">
        <v>1.0910932694738199E-2</v>
      </c>
    </row>
    <row r="690" spans="1:7" ht="16.95" customHeight="1">
      <c r="A690" s="11">
        <v>682</v>
      </c>
      <c r="B690" s="24">
        <v>90712180.375561357</v>
      </c>
      <c r="C690" s="24">
        <v>64926627.814622119</v>
      </c>
      <c r="D690" s="24">
        <v>84239714.200273454</v>
      </c>
      <c r="E690" s="24">
        <f>TSim[[#This Row],[ValorFinalReal]]-TSim[[#This Row],[AportesReales]]</f>
        <v>19313086.385651335</v>
      </c>
      <c r="F690" s="19">
        <f>IF(TSim[[#This Row],[ValorFinalReal]]&gt;=Meta,1,0)</f>
        <v>1</v>
      </c>
      <c r="G690" s="21">
        <v>3.6586641208193882E-3</v>
      </c>
    </row>
    <row r="691" spans="1:7" ht="16.95" customHeight="1">
      <c r="A691" s="11">
        <v>683</v>
      </c>
      <c r="B691" s="24">
        <v>104500013.93487041</v>
      </c>
      <c r="C691" s="24">
        <v>64864159.572627649</v>
      </c>
      <c r="D691" s="24">
        <v>91168674.22354652</v>
      </c>
      <c r="E691" s="24">
        <f>TSim[[#This Row],[ValorFinalReal]]-TSim[[#This Row],[AportesReales]]</f>
        <v>26304514.650918871</v>
      </c>
      <c r="F691" s="19">
        <f>IF(TSim[[#This Row],[ValorFinalReal]]&gt;=Meta,1,0)</f>
        <v>1</v>
      </c>
      <c r="G691" s="21">
        <v>0</v>
      </c>
    </row>
    <row r="692" spans="1:7" ht="16.95" customHeight="1">
      <c r="A692" s="11">
        <v>684</v>
      </c>
      <c r="B692" s="24">
        <v>89085061.923689708</v>
      </c>
      <c r="C692" s="24">
        <v>64915744.328591518</v>
      </c>
      <c r="D692" s="24">
        <v>81851167.008167341</v>
      </c>
      <c r="E692" s="24">
        <f>TSim[[#This Row],[ValorFinalReal]]-TSim[[#This Row],[AportesReales]]</f>
        <v>16935422.679575823</v>
      </c>
      <c r="F692" s="19">
        <f>IF(TSim[[#This Row],[ValorFinalReal]]&gt;=Meta,1,0)</f>
        <v>1</v>
      </c>
      <c r="G692" s="21">
        <v>1.826907539392741E-3</v>
      </c>
    </row>
    <row r="693" spans="1:7" ht="16.95" customHeight="1">
      <c r="A693" s="11">
        <v>685</v>
      </c>
      <c r="B693" s="24">
        <v>79954584.737602636</v>
      </c>
      <c r="C693" s="24">
        <v>64889412.855760537</v>
      </c>
      <c r="D693" s="24">
        <v>71553263.013451278</v>
      </c>
      <c r="E693" s="24">
        <f>TSim[[#This Row],[ValorFinalReal]]-TSim[[#This Row],[AportesReales]]</f>
        <v>6663850.1576907411</v>
      </c>
      <c r="F693" s="19">
        <f>IF(TSim[[#This Row],[ValorFinalReal]]&gt;=Meta,1,0)</f>
        <v>0</v>
      </c>
      <c r="G693" s="21">
        <v>5.9686748524978572E-4</v>
      </c>
    </row>
    <row r="694" spans="1:7" ht="16.95" customHeight="1">
      <c r="A694" s="11">
        <v>686</v>
      </c>
      <c r="B694" s="24">
        <v>85658304.455861479</v>
      </c>
      <c r="C694" s="24">
        <v>64836840.030469708</v>
      </c>
      <c r="D694" s="24">
        <v>72684425.936513066</v>
      </c>
      <c r="E694" s="24">
        <f>TSim[[#This Row],[ValorFinalReal]]-TSim[[#This Row],[AportesReales]]</f>
        <v>7847585.9060433581</v>
      </c>
      <c r="F694" s="19">
        <f>IF(TSim[[#This Row],[ValorFinalReal]]&gt;=Meta,1,0)</f>
        <v>0</v>
      </c>
      <c r="G694" s="21">
        <v>1.347443319700159E-2</v>
      </c>
    </row>
    <row r="695" spans="1:7" ht="16.95" customHeight="1">
      <c r="A695" s="11">
        <v>687</v>
      </c>
      <c r="B695" s="24">
        <v>93400668.337509856</v>
      </c>
      <c r="C695" s="24">
        <v>64803108.963362798</v>
      </c>
      <c r="D695" s="24">
        <v>76646554.931154251</v>
      </c>
      <c r="E695" s="24">
        <f>TSim[[#This Row],[ValorFinalReal]]-TSim[[#This Row],[AportesReales]]</f>
        <v>11843445.967791453</v>
      </c>
      <c r="F695" s="19">
        <f>IF(TSim[[#This Row],[ValorFinalReal]]&gt;=Meta,1,0)</f>
        <v>0</v>
      </c>
      <c r="G695" s="21">
        <v>1.876889466631404E-2</v>
      </c>
    </row>
    <row r="696" spans="1:7" ht="16.95" customHeight="1">
      <c r="A696" s="11">
        <v>688</v>
      </c>
      <c r="B696" s="24">
        <v>93949687.732630357</v>
      </c>
      <c r="C696" s="24">
        <v>64702770.828793593</v>
      </c>
      <c r="D696" s="24">
        <v>69699719.331196755</v>
      </c>
      <c r="E696" s="24">
        <f>TSim[[#This Row],[ValorFinalReal]]-TSim[[#This Row],[AportesReales]]</f>
        <v>4996948.5024031624</v>
      </c>
      <c r="F696" s="19">
        <f>IF(TSim[[#This Row],[ValorFinalReal]]&gt;=Meta,1,0)</f>
        <v>0</v>
      </c>
      <c r="G696" s="21">
        <v>7.8262616767277304E-4</v>
      </c>
    </row>
    <row r="697" spans="1:7" ht="16.95" customHeight="1">
      <c r="A697" s="11">
        <v>689</v>
      </c>
      <c r="B697" s="24">
        <v>103343331.3643183</v>
      </c>
      <c r="C697" s="24">
        <v>64746802.209379658</v>
      </c>
      <c r="D697" s="24">
        <v>80151271.303813368</v>
      </c>
      <c r="E697" s="24">
        <f>TSim[[#This Row],[ValorFinalReal]]-TSim[[#This Row],[AportesReales]]</f>
        <v>15404469.09443371</v>
      </c>
      <c r="F697" s="19">
        <f>IF(TSim[[#This Row],[ValorFinalReal]]&gt;=Meta,1,0)</f>
        <v>1</v>
      </c>
      <c r="G697" s="21">
        <v>8.3722268762616014E-3</v>
      </c>
    </row>
    <row r="698" spans="1:7" ht="16.95" customHeight="1">
      <c r="A698" s="11">
        <v>690</v>
      </c>
      <c r="B698" s="24">
        <v>89227710.002870291</v>
      </c>
      <c r="C698" s="24">
        <v>64816611.013401099</v>
      </c>
      <c r="D698" s="24">
        <v>74221574.813000858</v>
      </c>
      <c r="E698" s="24">
        <f>TSim[[#This Row],[ValorFinalReal]]-TSim[[#This Row],[AportesReales]]</f>
        <v>9404963.7995997593</v>
      </c>
      <c r="F698" s="19">
        <f>IF(TSim[[#This Row],[ValorFinalReal]]&gt;=Meta,1,0)</f>
        <v>0</v>
      </c>
      <c r="G698" s="21">
        <v>0</v>
      </c>
    </row>
    <row r="699" spans="1:7" ht="16.95" customHeight="1">
      <c r="A699" s="11">
        <v>691</v>
      </c>
      <c r="B699" s="24">
        <v>84567842.359857708</v>
      </c>
      <c r="C699" s="24">
        <v>64826138.144408546</v>
      </c>
      <c r="D699" s="24">
        <v>71021410.378290817</v>
      </c>
      <c r="E699" s="24">
        <f>TSim[[#This Row],[ValorFinalReal]]-TSim[[#This Row],[AportesReales]]</f>
        <v>6195272.2338822708</v>
      </c>
      <c r="F699" s="19">
        <f>IF(TSim[[#This Row],[ValorFinalReal]]&gt;=Meta,1,0)</f>
        <v>0</v>
      </c>
      <c r="G699" s="21">
        <v>1.504910657126435E-3</v>
      </c>
    </row>
    <row r="700" spans="1:7" ht="16.95" customHeight="1">
      <c r="A700" s="11">
        <v>692</v>
      </c>
      <c r="B700" s="24">
        <v>88873839.408483908</v>
      </c>
      <c r="C700" s="24">
        <v>64747175.22673592</v>
      </c>
      <c r="D700" s="24">
        <v>68935853.115488887</v>
      </c>
      <c r="E700" s="24">
        <f>TSim[[#This Row],[ValorFinalReal]]-TSim[[#This Row],[AportesReales]]</f>
        <v>4188677.8887529671</v>
      </c>
      <c r="F700" s="19">
        <f>IF(TSim[[#This Row],[ValorFinalReal]]&gt;=Meta,1,0)</f>
        <v>0</v>
      </c>
      <c r="G700" s="21">
        <v>0</v>
      </c>
    </row>
    <row r="701" spans="1:7" ht="16.95" customHeight="1">
      <c r="A701" s="11">
        <v>693</v>
      </c>
      <c r="B701" s="24">
        <v>100939684.0352256</v>
      </c>
      <c r="C701" s="24">
        <v>64698168.748674557</v>
      </c>
      <c r="D701" s="24">
        <v>74565704.922631964</v>
      </c>
      <c r="E701" s="24">
        <f>TSim[[#This Row],[ValorFinalReal]]-TSim[[#This Row],[AportesReales]]</f>
        <v>9867536.1739574075</v>
      </c>
      <c r="F701" s="19">
        <f>IF(TSim[[#This Row],[ValorFinalReal]]&gt;=Meta,1,0)</f>
        <v>0</v>
      </c>
      <c r="G701" s="21">
        <v>0</v>
      </c>
    </row>
    <row r="702" spans="1:7" ht="16.95" customHeight="1">
      <c r="A702" s="11">
        <v>694</v>
      </c>
      <c r="B702" s="24">
        <v>87113976.491884425</v>
      </c>
      <c r="C702" s="24">
        <v>64784356.289329574</v>
      </c>
      <c r="D702" s="24">
        <v>70152716.126417071</v>
      </c>
      <c r="E702" s="24">
        <f>TSim[[#This Row],[ValorFinalReal]]-TSim[[#This Row],[AportesReales]]</f>
        <v>5368359.8370874971</v>
      </c>
      <c r="F702" s="19">
        <f>IF(TSim[[#This Row],[ValorFinalReal]]&gt;=Meta,1,0)</f>
        <v>0</v>
      </c>
      <c r="G702" s="21">
        <v>0</v>
      </c>
    </row>
    <row r="703" spans="1:7" ht="16.95" customHeight="1">
      <c r="A703" s="11">
        <v>695</v>
      </c>
      <c r="B703" s="24">
        <v>89945021.920980722</v>
      </c>
      <c r="C703" s="24">
        <v>64857358.524326697</v>
      </c>
      <c r="D703" s="24">
        <v>77933009.027636781</v>
      </c>
      <c r="E703" s="24">
        <f>TSim[[#This Row],[ValorFinalReal]]-TSim[[#This Row],[AportesReales]]</f>
        <v>13075650.503310084</v>
      </c>
      <c r="F703" s="19">
        <f>IF(TSim[[#This Row],[ValorFinalReal]]&gt;=Meta,1,0)</f>
        <v>0</v>
      </c>
      <c r="G703" s="21">
        <v>1.923797086421319E-3</v>
      </c>
    </row>
    <row r="704" spans="1:7" ht="16.95" customHeight="1">
      <c r="A704" s="11">
        <v>696</v>
      </c>
      <c r="B704" s="24">
        <v>88798640.383987412</v>
      </c>
      <c r="C704" s="24">
        <v>64756991.449289083</v>
      </c>
      <c r="D704" s="24">
        <v>69518837.185845703</v>
      </c>
      <c r="E704" s="24">
        <f>TSim[[#This Row],[ValorFinalReal]]-TSim[[#This Row],[AportesReales]]</f>
        <v>4761845.7365566194</v>
      </c>
      <c r="F704" s="19">
        <f>IF(TSim[[#This Row],[ValorFinalReal]]&gt;=Meta,1,0)</f>
        <v>0</v>
      </c>
      <c r="G704" s="21">
        <v>1.8092706485536961E-2</v>
      </c>
    </row>
    <row r="705" spans="1:7" ht="16.95" customHeight="1">
      <c r="A705" s="11">
        <v>697</v>
      </c>
      <c r="B705" s="24">
        <v>90347760.747789472</v>
      </c>
      <c r="C705" s="24">
        <v>64900071.586105257</v>
      </c>
      <c r="D705" s="24">
        <v>81707721.317825958</v>
      </c>
      <c r="E705" s="24">
        <f>TSim[[#This Row],[ValorFinalReal]]-TSim[[#This Row],[AportesReales]]</f>
        <v>16807649.731720701</v>
      </c>
      <c r="F705" s="19">
        <f>IF(TSim[[#This Row],[ValorFinalReal]]&gt;=Meta,1,0)</f>
        <v>1</v>
      </c>
      <c r="G705" s="21">
        <v>0</v>
      </c>
    </row>
    <row r="706" spans="1:7" ht="16.95" customHeight="1">
      <c r="A706" s="11">
        <v>698</v>
      </c>
      <c r="B706" s="24">
        <v>77425382.582591504</v>
      </c>
      <c r="C706" s="24">
        <v>64947221.919621803</v>
      </c>
      <c r="D706" s="24">
        <v>73395450.768762663</v>
      </c>
      <c r="E706" s="24">
        <f>TSim[[#This Row],[ValorFinalReal]]-TSim[[#This Row],[AportesReales]]</f>
        <v>8448228.8491408601</v>
      </c>
      <c r="F706" s="19">
        <f>IF(TSim[[#This Row],[ValorFinalReal]]&gt;=Meta,1,0)</f>
        <v>0</v>
      </c>
      <c r="G706" s="21">
        <v>3.4794564673789048E-3</v>
      </c>
    </row>
    <row r="707" spans="1:7" ht="16.95" customHeight="1">
      <c r="A707" s="11">
        <v>699</v>
      </c>
      <c r="B707" s="24">
        <v>103354918.74824549</v>
      </c>
      <c r="C707" s="24">
        <v>64743536.26484514</v>
      </c>
      <c r="D707" s="24">
        <v>79892931.714979589</v>
      </c>
      <c r="E707" s="24">
        <f>TSim[[#This Row],[ValorFinalReal]]-TSim[[#This Row],[AportesReales]]</f>
        <v>15149395.450134449</v>
      </c>
      <c r="F707" s="19">
        <f>IF(TSim[[#This Row],[ValorFinalReal]]&gt;=Meta,1,0)</f>
        <v>0</v>
      </c>
      <c r="G707" s="21">
        <v>7.6848992082205747E-3</v>
      </c>
    </row>
    <row r="708" spans="1:7" ht="16.95" customHeight="1">
      <c r="A708" s="11">
        <v>700</v>
      </c>
      <c r="B708" s="24">
        <v>78601884.706522703</v>
      </c>
      <c r="C708" s="24">
        <v>64815287.620995447</v>
      </c>
      <c r="D708" s="24">
        <v>65292329.517770231</v>
      </c>
      <c r="E708" s="24">
        <f>TSim[[#This Row],[ValorFinalReal]]-TSim[[#This Row],[AportesReales]]</f>
        <v>477041.89677478373</v>
      </c>
      <c r="F708" s="19">
        <f>IF(TSim[[#This Row],[ValorFinalReal]]&gt;=Meta,1,0)</f>
        <v>0</v>
      </c>
      <c r="G708" s="21">
        <v>0</v>
      </c>
    </row>
    <row r="709" spans="1:7" ht="16.95" customHeight="1">
      <c r="A709" s="11">
        <v>701</v>
      </c>
      <c r="B709" s="24">
        <v>88137011.949674144</v>
      </c>
      <c r="C709" s="24">
        <v>64808227.248454504</v>
      </c>
      <c r="D709" s="24">
        <v>72709618.810331091</v>
      </c>
      <c r="E709" s="24">
        <f>TSim[[#This Row],[ValorFinalReal]]-TSim[[#This Row],[AportesReales]]</f>
        <v>7901391.5618765876</v>
      </c>
      <c r="F709" s="19">
        <f>IF(TSim[[#This Row],[ValorFinalReal]]&gt;=Meta,1,0)</f>
        <v>0</v>
      </c>
      <c r="G709" s="21">
        <v>1.2556917440613821E-2</v>
      </c>
    </row>
    <row r="710" spans="1:7" ht="16.95" customHeight="1">
      <c r="A710" s="11">
        <v>702</v>
      </c>
      <c r="B710" s="24">
        <v>97913405.402044713</v>
      </c>
      <c r="C710" s="24">
        <v>64761600.672913097</v>
      </c>
      <c r="D710" s="24">
        <v>77068181.362621695</v>
      </c>
      <c r="E710" s="24">
        <f>TSim[[#This Row],[ValorFinalReal]]-TSim[[#This Row],[AportesReales]]</f>
        <v>12306580.689708598</v>
      </c>
      <c r="F710" s="19">
        <f>IF(TSim[[#This Row],[ValorFinalReal]]&gt;=Meta,1,0)</f>
        <v>0</v>
      </c>
      <c r="G710" s="21">
        <v>0</v>
      </c>
    </row>
    <row r="711" spans="1:7" ht="16.95" customHeight="1">
      <c r="A711" s="11">
        <v>703</v>
      </c>
      <c r="B711" s="24">
        <v>83813728.597366467</v>
      </c>
      <c r="C711" s="24">
        <v>64799786.957134582</v>
      </c>
      <c r="D711" s="24">
        <v>68549721.425033614</v>
      </c>
      <c r="E711" s="24">
        <f>TSim[[#This Row],[ValorFinalReal]]-TSim[[#This Row],[AportesReales]]</f>
        <v>3749934.4678990319</v>
      </c>
      <c r="F711" s="19">
        <f>IF(TSim[[#This Row],[ValorFinalReal]]&gt;=Meta,1,0)</f>
        <v>0</v>
      </c>
      <c r="G711" s="21">
        <v>3.7678662817498538E-3</v>
      </c>
    </row>
    <row r="712" spans="1:7" ht="16.95" customHeight="1">
      <c r="A712" s="11">
        <v>704</v>
      </c>
      <c r="B712" s="24">
        <v>91144601.05707249</v>
      </c>
      <c r="C712" s="24">
        <v>64802780.734656423</v>
      </c>
      <c r="D712" s="24">
        <v>74766924.834366456</v>
      </c>
      <c r="E712" s="24">
        <f>TSim[[#This Row],[ValorFinalReal]]-TSim[[#This Row],[AportesReales]]</f>
        <v>9964144.0997100323</v>
      </c>
      <c r="F712" s="19">
        <f>IF(TSim[[#This Row],[ValorFinalReal]]&gt;=Meta,1,0)</f>
        <v>0</v>
      </c>
      <c r="G712" s="21">
        <v>0</v>
      </c>
    </row>
    <row r="713" spans="1:7" ht="16.95" customHeight="1">
      <c r="A713" s="11">
        <v>705</v>
      </c>
      <c r="B713" s="24">
        <v>98368660.30118005</v>
      </c>
      <c r="C713" s="24">
        <v>64781651.241693221</v>
      </c>
      <c r="D713" s="24">
        <v>79021155.659208834</v>
      </c>
      <c r="E713" s="24">
        <f>TSim[[#This Row],[ValorFinalReal]]-TSim[[#This Row],[AportesReales]]</f>
        <v>14239504.417515613</v>
      </c>
      <c r="F713" s="19">
        <f>IF(TSim[[#This Row],[ValorFinalReal]]&gt;=Meta,1,0)</f>
        <v>0</v>
      </c>
      <c r="G713" s="21">
        <v>0</v>
      </c>
    </row>
    <row r="714" spans="1:7" ht="16.95" customHeight="1">
      <c r="A714" s="11">
        <v>706</v>
      </c>
      <c r="B714" s="24">
        <v>83946567.126732469</v>
      </c>
      <c r="C714" s="24">
        <v>64949843.627067506</v>
      </c>
      <c r="D714" s="24">
        <v>79794031.893625736</v>
      </c>
      <c r="E714" s="24">
        <f>TSim[[#This Row],[ValorFinalReal]]-TSim[[#This Row],[AportesReales]]</f>
        <v>14844188.26655823</v>
      </c>
      <c r="F714" s="19">
        <f>IF(TSim[[#This Row],[ValorFinalReal]]&gt;=Meta,1,0)</f>
        <v>0</v>
      </c>
      <c r="G714" s="21">
        <v>1.2559949694986189E-2</v>
      </c>
    </row>
    <row r="715" spans="1:7" ht="16.95" customHeight="1">
      <c r="A715" s="11">
        <v>707</v>
      </c>
      <c r="B715" s="24">
        <v>95550055.649330482</v>
      </c>
      <c r="C715" s="24">
        <v>64900098.661412418</v>
      </c>
      <c r="D715" s="24">
        <v>86404537.31431146</v>
      </c>
      <c r="E715" s="24">
        <f>TSim[[#This Row],[ValorFinalReal]]-TSim[[#This Row],[AportesReales]]</f>
        <v>21504438.652899042</v>
      </c>
      <c r="F715" s="19">
        <f>IF(TSim[[#This Row],[ValorFinalReal]]&gt;=Meta,1,0)</f>
        <v>1</v>
      </c>
      <c r="G715" s="21">
        <v>5.5885468362848467E-4</v>
      </c>
    </row>
    <row r="716" spans="1:7" ht="16.95" customHeight="1">
      <c r="A716" s="11">
        <v>708</v>
      </c>
      <c r="B716" s="24">
        <v>105197501.8654567</v>
      </c>
      <c r="C716" s="24">
        <v>64761704.974235587</v>
      </c>
      <c r="D716" s="24">
        <v>82817971.984355912</v>
      </c>
      <c r="E716" s="24">
        <f>TSim[[#This Row],[ValorFinalReal]]-TSim[[#This Row],[AportesReales]]</f>
        <v>18056267.010120325</v>
      </c>
      <c r="F716" s="19">
        <f>IF(TSim[[#This Row],[ValorFinalReal]]&gt;=Meta,1,0)</f>
        <v>1</v>
      </c>
      <c r="G716" s="21">
        <v>0</v>
      </c>
    </row>
    <row r="717" spans="1:7" ht="16.95" customHeight="1">
      <c r="A717" s="11">
        <v>709</v>
      </c>
      <c r="B717" s="24">
        <v>112204328.8328305</v>
      </c>
      <c r="C717" s="24">
        <v>64681842.059068851</v>
      </c>
      <c r="D717" s="24">
        <v>81503091.805590346</v>
      </c>
      <c r="E717" s="24">
        <f>TSim[[#This Row],[ValorFinalReal]]-TSim[[#This Row],[AportesReales]]</f>
        <v>16821249.746521495</v>
      </c>
      <c r="F717" s="19">
        <f>IF(TSim[[#This Row],[ValorFinalReal]]&gt;=Meta,1,0)</f>
        <v>1</v>
      </c>
      <c r="G717" s="21">
        <v>0</v>
      </c>
    </row>
    <row r="718" spans="1:7" ht="16.95" customHeight="1">
      <c r="A718" s="11">
        <v>710</v>
      </c>
      <c r="B718" s="24">
        <v>101262240.897543</v>
      </c>
      <c r="C718" s="24">
        <v>64883922.089462213</v>
      </c>
      <c r="D718" s="24">
        <v>90138660.449557438</v>
      </c>
      <c r="E718" s="24">
        <f>TSim[[#This Row],[ValorFinalReal]]-TSim[[#This Row],[AportesReales]]</f>
        <v>25254738.360095225</v>
      </c>
      <c r="F718" s="19">
        <f>IF(TSim[[#This Row],[ValorFinalReal]]&gt;=Meta,1,0)</f>
        <v>1</v>
      </c>
      <c r="G718" s="21">
        <v>6.356563892039313E-4</v>
      </c>
    </row>
    <row r="719" spans="1:7" ht="16.95" customHeight="1">
      <c r="A719" s="11">
        <v>711</v>
      </c>
      <c r="B719" s="24">
        <v>93938289.872881994</v>
      </c>
      <c r="C719" s="24">
        <v>64877613.450573057</v>
      </c>
      <c r="D719" s="24">
        <v>83046082.143221498</v>
      </c>
      <c r="E719" s="24">
        <f>TSim[[#This Row],[ValorFinalReal]]-TSim[[#This Row],[AportesReales]]</f>
        <v>18168468.692648441</v>
      </c>
      <c r="F719" s="19">
        <f>IF(TSim[[#This Row],[ValorFinalReal]]&gt;=Meta,1,0)</f>
        <v>1</v>
      </c>
      <c r="G719" s="21">
        <v>2.1534786710557752E-2</v>
      </c>
    </row>
    <row r="720" spans="1:7" ht="16.95" customHeight="1">
      <c r="A720" s="11">
        <v>712</v>
      </c>
      <c r="B720" s="24">
        <v>93970472.92776382</v>
      </c>
      <c r="C720" s="24">
        <v>64735619.163909011</v>
      </c>
      <c r="D720" s="24">
        <v>72059584.960095674</v>
      </c>
      <c r="E720" s="24">
        <f>TSim[[#This Row],[ValorFinalReal]]-TSim[[#This Row],[AportesReales]]</f>
        <v>7323965.7961866632</v>
      </c>
      <c r="F720" s="19">
        <f>IF(TSim[[#This Row],[ValorFinalReal]]&gt;=Meta,1,0)</f>
        <v>0</v>
      </c>
      <c r="G720" s="21">
        <v>8.3854088127179871E-3</v>
      </c>
    </row>
    <row r="721" spans="1:7" ht="16.95" customHeight="1">
      <c r="A721" s="11">
        <v>713</v>
      </c>
      <c r="B721" s="24">
        <v>82911221.737579241</v>
      </c>
      <c r="C721" s="24">
        <v>64922382.954652026</v>
      </c>
      <c r="D721" s="24">
        <v>76680469.088521957</v>
      </c>
      <c r="E721" s="24">
        <f>TSim[[#This Row],[ValorFinalReal]]-TSim[[#This Row],[AportesReales]]</f>
        <v>11758086.133869931</v>
      </c>
      <c r="F721" s="19">
        <f>IF(TSim[[#This Row],[ValorFinalReal]]&gt;=Meta,1,0)</f>
        <v>0</v>
      </c>
      <c r="G721" s="21">
        <v>0</v>
      </c>
    </row>
    <row r="722" spans="1:7" ht="16.95" customHeight="1">
      <c r="A722" s="11">
        <v>714</v>
      </c>
      <c r="B722" s="24">
        <v>103742501.33505</v>
      </c>
      <c r="C722" s="24">
        <v>64827102.802213058</v>
      </c>
      <c r="D722" s="24">
        <v>87211351.476433009</v>
      </c>
      <c r="E722" s="24">
        <f>TSim[[#This Row],[ValorFinalReal]]-TSim[[#This Row],[AportesReales]]</f>
        <v>22384248.674219951</v>
      </c>
      <c r="F722" s="19">
        <f>IF(TSim[[#This Row],[ValorFinalReal]]&gt;=Meta,1,0)</f>
        <v>1</v>
      </c>
      <c r="G722" s="21">
        <v>1.632058828714877E-2</v>
      </c>
    </row>
    <row r="723" spans="1:7" ht="16.95" customHeight="1">
      <c r="A723" s="11">
        <v>715</v>
      </c>
      <c r="B723" s="24">
        <v>107546057.39254791</v>
      </c>
      <c r="C723" s="24">
        <v>64671620.711697184</v>
      </c>
      <c r="D723" s="24">
        <v>77304343.956903636</v>
      </c>
      <c r="E723" s="24">
        <f>TSim[[#This Row],[ValorFinalReal]]-TSim[[#This Row],[AportesReales]]</f>
        <v>12632723.245206453</v>
      </c>
      <c r="F723" s="19">
        <f>IF(TSim[[#This Row],[ValorFinalReal]]&gt;=Meta,1,0)</f>
        <v>0</v>
      </c>
      <c r="G723" s="21">
        <v>0</v>
      </c>
    </row>
    <row r="724" spans="1:7" ht="16.95" customHeight="1">
      <c r="A724" s="11">
        <v>716</v>
      </c>
      <c r="B724" s="24">
        <v>92227645.168641165</v>
      </c>
      <c r="C724" s="24">
        <v>64920522.133962013</v>
      </c>
      <c r="D724" s="24">
        <v>85090078.475960746</v>
      </c>
      <c r="E724" s="24">
        <f>TSim[[#This Row],[ValorFinalReal]]-TSim[[#This Row],[AportesReales]]</f>
        <v>20169556.341998734</v>
      </c>
      <c r="F724" s="19">
        <f>IF(TSim[[#This Row],[ValorFinalReal]]&gt;=Meta,1,0)</f>
        <v>1</v>
      </c>
      <c r="G724" s="21">
        <v>1.3068881869933491E-2</v>
      </c>
    </row>
    <row r="725" spans="1:7" ht="16.95" customHeight="1">
      <c r="A725" s="11">
        <v>717</v>
      </c>
      <c r="B725" s="24">
        <v>86792935.247776926</v>
      </c>
      <c r="C725" s="24">
        <v>64871170.482571557</v>
      </c>
      <c r="D725" s="24">
        <v>76253043.253506631</v>
      </c>
      <c r="E725" s="24">
        <f>TSim[[#This Row],[ValorFinalReal]]-TSim[[#This Row],[AportesReales]]</f>
        <v>11381872.770935073</v>
      </c>
      <c r="F725" s="19">
        <f>IF(TSim[[#This Row],[ValorFinalReal]]&gt;=Meta,1,0)</f>
        <v>0</v>
      </c>
      <c r="G725" s="21">
        <v>1.174752722756689E-3</v>
      </c>
    </row>
    <row r="726" spans="1:7" ht="16.95" customHeight="1">
      <c r="A726" s="11">
        <v>718</v>
      </c>
      <c r="B726" s="24">
        <v>87883391.715668172</v>
      </c>
      <c r="C726" s="24">
        <v>64768630.611327812</v>
      </c>
      <c r="D726" s="24">
        <v>69667346.105122119</v>
      </c>
      <c r="E726" s="24">
        <f>TSim[[#This Row],[ValorFinalReal]]-TSim[[#This Row],[AportesReales]]</f>
        <v>4898715.4937943071</v>
      </c>
      <c r="F726" s="19">
        <f>IF(TSim[[#This Row],[ValorFinalReal]]&gt;=Meta,1,0)</f>
        <v>0</v>
      </c>
      <c r="G726" s="21">
        <v>1.1367030309166189E-2</v>
      </c>
    </row>
    <row r="727" spans="1:7" ht="16.95" customHeight="1">
      <c r="A727" s="11">
        <v>719</v>
      </c>
      <c r="B727" s="24">
        <v>102123246.186958</v>
      </c>
      <c r="C727" s="24">
        <v>64796226.238992333</v>
      </c>
      <c r="D727" s="24">
        <v>83201502.64840728</v>
      </c>
      <c r="E727" s="24">
        <f>TSim[[#This Row],[ValorFinalReal]]-TSim[[#This Row],[AportesReales]]</f>
        <v>18405276.409414947</v>
      </c>
      <c r="F727" s="19">
        <f>IF(TSim[[#This Row],[ValorFinalReal]]&gt;=Meta,1,0)</f>
        <v>1</v>
      </c>
      <c r="G727" s="21">
        <v>2.7524315777105461E-3</v>
      </c>
    </row>
    <row r="728" spans="1:7" ht="16.95" customHeight="1">
      <c r="A728" s="11">
        <v>720</v>
      </c>
      <c r="B728" s="24">
        <v>74879707.013467342</v>
      </c>
      <c r="C728" s="24">
        <v>64968333.63800256</v>
      </c>
      <c r="D728" s="24">
        <v>72507824.133428395</v>
      </c>
      <c r="E728" s="24">
        <f>TSim[[#This Row],[ValorFinalReal]]-TSim[[#This Row],[AportesReales]]</f>
        <v>7539490.4954258353</v>
      </c>
      <c r="F728" s="19">
        <f>IF(TSim[[#This Row],[ValorFinalReal]]&gt;=Meta,1,0)</f>
        <v>0</v>
      </c>
      <c r="G728" s="21">
        <v>7.2584713775959431E-3</v>
      </c>
    </row>
    <row r="729" spans="1:7" ht="16.95" customHeight="1">
      <c r="A729" s="11">
        <v>721</v>
      </c>
      <c r="B729" s="24">
        <v>105759668.4233375</v>
      </c>
      <c r="C729" s="24">
        <v>64728284.97791627</v>
      </c>
      <c r="D729" s="24">
        <v>80517941.695720822</v>
      </c>
      <c r="E729" s="24">
        <f>TSim[[#This Row],[ValorFinalReal]]-TSim[[#This Row],[AportesReales]]</f>
        <v>15789656.717804551</v>
      </c>
      <c r="F729" s="19">
        <f>IF(TSim[[#This Row],[ValorFinalReal]]&gt;=Meta,1,0)</f>
        <v>1</v>
      </c>
      <c r="G729" s="21">
        <v>4.4261294121856753E-3</v>
      </c>
    </row>
    <row r="730" spans="1:7" ht="16.95" customHeight="1">
      <c r="A730" s="11">
        <v>722</v>
      </c>
      <c r="B730" s="24">
        <v>89154439.305929959</v>
      </c>
      <c r="C730" s="24">
        <v>64867519.563710928</v>
      </c>
      <c r="D730" s="24">
        <v>78006182.643207356</v>
      </c>
      <c r="E730" s="24">
        <f>TSim[[#This Row],[ValorFinalReal]]-TSim[[#This Row],[AportesReales]]</f>
        <v>13138663.079496428</v>
      </c>
      <c r="F730" s="19">
        <f>IF(TSim[[#This Row],[ValorFinalReal]]&gt;=Meta,1,0)</f>
        <v>0</v>
      </c>
      <c r="G730" s="21">
        <v>1.4076572191489721E-2</v>
      </c>
    </row>
    <row r="731" spans="1:7" ht="16.95" customHeight="1">
      <c r="A731" s="11">
        <v>723</v>
      </c>
      <c r="B731" s="24">
        <v>100998615.06998099</v>
      </c>
      <c r="C731" s="24">
        <v>64735988.380760632</v>
      </c>
      <c r="D731" s="24">
        <v>77478401.470522836</v>
      </c>
      <c r="E731" s="24">
        <f>TSim[[#This Row],[ValorFinalReal]]-TSim[[#This Row],[AportesReales]]</f>
        <v>12742413.089762203</v>
      </c>
      <c r="F731" s="19">
        <f>IF(TSim[[#This Row],[ValorFinalReal]]&gt;=Meta,1,0)</f>
        <v>0</v>
      </c>
      <c r="G731" s="21">
        <v>0</v>
      </c>
    </row>
    <row r="732" spans="1:7" ht="16.95" customHeight="1">
      <c r="A732" s="11">
        <v>724</v>
      </c>
      <c r="B732" s="24">
        <v>80743020.687175527</v>
      </c>
      <c r="C732" s="24">
        <v>64907619.79298275</v>
      </c>
      <c r="D732" s="24">
        <v>73579660.612580046</v>
      </c>
      <c r="E732" s="24">
        <f>TSim[[#This Row],[ValorFinalReal]]-TSim[[#This Row],[AportesReales]]</f>
        <v>8672040.8195972964</v>
      </c>
      <c r="F732" s="19">
        <f>IF(TSim[[#This Row],[ValorFinalReal]]&gt;=Meta,1,0)</f>
        <v>0</v>
      </c>
      <c r="G732" s="21">
        <v>0</v>
      </c>
    </row>
    <row r="733" spans="1:7" ht="16.95" customHeight="1">
      <c r="A733" s="11">
        <v>725</v>
      </c>
      <c r="B733" s="24">
        <v>86003694.894944936</v>
      </c>
      <c r="C733" s="24">
        <v>64919924.416261978</v>
      </c>
      <c r="D733" s="24">
        <v>79344240.829438597</v>
      </c>
      <c r="E733" s="24">
        <f>TSim[[#This Row],[ValorFinalReal]]-TSim[[#This Row],[AportesReales]]</f>
        <v>14424316.413176619</v>
      </c>
      <c r="F733" s="19">
        <f>IF(TSim[[#This Row],[ValorFinalReal]]&gt;=Meta,1,0)</f>
        <v>0</v>
      </c>
      <c r="G733" s="21">
        <v>0</v>
      </c>
    </row>
    <row r="734" spans="1:7" ht="16.95" customHeight="1">
      <c r="A734" s="11">
        <v>726</v>
      </c>
      <c r="B734" s="24">
        <v>100220842.3630922</v>
      </c>
      <c r="C734" s="24">
        <v>64831085.572232023</v>
      </c>
      <c r="D734" s="24">
        <v>84581490.010721132</v>
      </c>
      <c r="E734" s="24">
        <f>TSim[[#This Row],[ValorFinalReal]]-TSim[[#This Row],[AportesReales]]</f>
        <v>19750404.438489109</v>
      </c>
      <c r="F734" s="19">
        <f>IF(TSim[[#This Row],[ValorFinalReal]]&gt;=Meta,1,0)</f>
        <v>1</v>
      </c>
      <c r="G734" s="21">
        <v>0</v>
      </c>
    </row>
    <row r="735" spans="1:7" ht="16.95" customHeight="1">
      <c r="A735" s="11">
        <v>727</v>
      </c>
      <c r="B735" s="24">
        <v>92632386.212700769</v>
      </c>
      <c r="C735" s="24">
        <v>64899390.405134529</v>
      </c>
      <c r="D735" s="24">
        <v>83719363.477895245</v>
      </c>
      <c r="E735" s="24">
        <f>TSim[[#This Row],[ValorFinalReal]]-TSim[[#This Row],[AportesReales]]</f>
        <v>18819973.072760716</v>
      </c>
      <c r="F735" s="19">
        <f>IF(TSim[[#This Row],[ValorFinalReal]]&gt;=Meta,1,0)</f>
        <v>1</v>
      </c>
      <c r="G735" s="21">
        <v>4.59681426331493E-3</v>
      </c>
    </row>
    <row r="736" spans="1:7" ht="16.95" customHeight="1">
      <c r="A736" s="11">
        <v>728</v>
      </c>
      <c r="B736" s="24">
        <v>92241798.08615908</v>
      </c>
      <c r="C736" s="24">
        <v>64963798.977647997</v>
      </c>
      <c r="D736" s="24">
        <v>88924544.29820016</v>
      </c>
      <c r="E736" s="24">
        <f>TSim[[#This Row],[ValorFinalReal]]-TSim[[#This Row],[AportesReales]]</f>
        <v>23960745.320552163</v>
      </c>
      <c r="F736" s="19">
        <f>IF(TSim[[#This Row],[ValorFinalReal]]&gt;=Meta,1,0)</f>
        <v>1</v>
      </c>
      <c r="G736" s="21">
        <v>0</v>
      </c>
    </row>
    <row r="737" spans="1:7" ht="16.95" customHeight="1">
      <c r="A737" s="11">
        <v>729</v>
      </c>
      <c r="B737" s="24">
        <v>82532871.485256538</v>
      </c>
      <c r="C737" s="24">
        <v>64811416.852722168</v>
      </c>
      <c r="D737" s="24">
        <v>68281545.292636111</v>
      </c>
      <c r="E737" s="24">
        <f>TSim[[#This Row],[ValorFinalReal]]-TSim[[#This Row],[AportesReales]]</f>
        <v>3470128.4399139434</v>
      </c>
      <c r="F737" s="19">
        <f>IF(TSim[[#This Row],[ValorFinalReal]]&gt;=Meta,1,0)</f>
        <v>0</v>
      </c>
      <c r="G737" s="21">
        <v>3.2999856754809538E-3</v>
      </c>
    </row>
    <row r="738" spans="1:7" ht="16.95" customHeight="1">
      <c r="A738" s="11">
        <v>730</v>
      </c>
      <c r="B738" s="24">
        <v>88864841.691318646</v>
      </c>
      <c r="C738" s="24">
        <v>64915375.110725887</v>
      </c>
      <c r="D738" s="24">
        <v>81604311.790581018</v>
      </c>
      <c r="E738" s="24">
        <f>TSim[[#This Row],[ValorFinalReal]]-TSim[[#This Row],[AportesReales]]</f>
        <v>16688936.679855131</v>
      </c>
      <c r="F738" s="19">
        <f>IF(TSim[[#This Row],[ValorFinalReal]]&gt;=Meta,1,0)</f>
        <v>1</v>
      </c>
      <c r="G738" s="21">
        <v>9.5625903249838551E-3</v>
      </c>
    </row>
    <row r="739" spans="1:7" ht="16.95" customHeight="1">
      <c r="A739" s="11">
        <v>731</v>
      </c>
      <c r="B739" s="24">
        <v>92837250.844029933</v>
      </c>
      <c r="C739" s="24">
        <v>64785645.213649243</v>
      </c>
      <c r="D739" s="24">
        <v>74870581.258582145</v>
      </c>
      <c r="E739" s="24">
        <f>TSim[[#This Row],[ValorFinalReal]]-TSim[[#This Row],[AportesReales]]</f>
        <v>10084936.044932902</v>
      </c>
      <c r="F739" s="19">
        <f>IF(TSim[[#This Row],[ValorFinalReal]]&gt;=Meta,1,0)</f>
        <v>0</v>
      </c>
      <c r="G739" s="21">
        <v>0</v>
      </c>
    </row>
    <row r="740" spans="1:7" ht="16.95" customHeight="1">
      <c r="A740" s="11">
        <v>732</v>
      </c>
      <c r="B740" s="24">
        <v>91524964.485130578</v>
      </c>
      <c r="C740" s="24">
        <v>64842384.414526314</v>
      </c>
      <c r="D740" s="24">
        <v>78116944.885735154</v>
      </c>
      <c r="E740" s="24">
        <f>TSim[[#This Row],[ValorFinalReal]]-TSim[[#This Row],[AportesReales]]</f>
        <v>13274560.471208841</v>
      </c>
      <c r="F740" s="19">
        <f>IF(TSim[[#This Row],[ValorFinalReal]]&gt;=Meta,1,0)</f>
        <v>0</v>
      </c>
      <c r="G740" s="21">
        <v>1.525758061899452E-2</v>
      </c>
    </row>
    <row r="741" spans="1:7" ht="16.95" customHeight="1">
      <c r="A741" s="11">
        <v>733</v>
      </c>
      <c r="B741" s="24">
        <v>92395022.839733556</v>
      </c>
      <c r="C741" s="24">
        <v>64798949.053478651</v>
      </c>
      <c r="D741" s="24">
        <v>75490205.167971298</v>
      </c>
      <c r="E741" s="24">
        <f>TSim[[#This Row],[ValorFinalReal]]-TSim[[#This Row],[AportesReales]]</f>
        <v>10691256.114492647</v>
      </c>
      <c r="F741" s="19">
        <f>IF(TSim[[#This Row],[ValorFinalReal]]&gt;=Meta,1,0)</f>
        <v>0</v>
      </c>
      <c r="G741" s="21">
        <v>2.6873619458825941E-3</v>
      </c>
    </row>
    <row r="742" spans="1:7" ht="16.95" customHeight="1">
      <c r="A742" s="11">
        <v>734</v>
      </c>
      <c r="B742" s="24">
        <v>91987256.298558876</v>
      </c>
      <c r="C742" s="24">
        <v>64824152.887753263</v>
      </c>
      <c r="D742" s="24">
        <v>77080933.764681026</v>
      </c>
      <c r="E742" s="24">
        <f>TSim[[#This Row],[ValorFinalReal]]-TSim[[#This Row],[AportesReales]]</f>
        <v>12256780.876927763</v>
      </c>
      <c r="F742" s="19">
        <f>IF(TSim[[#This Row],[ValorFinalReal]]&gt;=Meta,1,0)</f>
        <v>0</v>
      </c>
      <c r="G742" s="21">
        <v>1.6121610817588781E-3</v>
      </c>
    </row>
    <row r="743" spans="1:7" ht="16.95" customHeight="1">
      <c r="A743" s="11">
        <v>735</v>
      </c>
      <c r="B743" s="24">
        <v>102920043.6393147</v>
      </c>
      <c r="C743" s="24">
        <v>64712445.418524116</v>
      </c>
      <c r="D743" s="24">
        <v>77108181.018742785</v>
      </c>
      <c r="E743" s="24">
        <f>TSim[[#This Row],[ValorFinalReal]]-TSim[[#This Row],[AportesReales]]</f>
        <v>12395735.600218669</v>
      </c>
      <c r="F743" s="19">
        <f>IF(TSim[[#This Row],[ValorFinalReal]]&gt;=Meta,1,0)</f>
        <v>0</v>
      </c>
      <c r="G743" s="21">
        <v>1.640203311235044E-3</v>
      </c>
    </row>
    <row r="744" spans="1:7" ht="16.95" customHeight="1">
      <c r="A744" s="11">
        <v>736</v>
      </c>
      <c r="B744" s="24">
        <v>93174348.844376862</v>
      </c>
      <c r="C744" s="24">
        <v>64647943.597436443</v>
      </c>
      <c r="D744" s="24">
        <v>65384495.614950247</v>
      </c>
      <c r="E744" s="24">
        <f>TSim[[#This Row],[ValorFinalReal]]-TSim[[#This Row],[AportesReales]]</f>
        <v>736552.01751380414</v>
      </c>
      <c r="F744" s="19">
        <f>IF(TSim[[#This Row],[ValorFinalReal]]&gt;=Meta,1,0)</f>
        <v>0</v>
      </c>
      <c r="G744" s="21">
        <v>4.4883908368222869E-3</v>
      </c>
    </row>
    <row r="745" spans="1:7" ht="16.95" customHeight="1">
      <c r="A745" s="11">
        <v>737</v>
      </c>
      <c r="B745" s="24">
        <v>97276508.815338001</v>
      </c>
      <c r="C745" s="24">
        <v>64684970.443027698</v>
      </c>
      <c r="D745" s="24">
        <v>70892933.340731084</v>
      </c>
      <c r="E745" s="24">
        <f>TSim[[#This Row],[ValorFinalReal]]-TSim[[#This Row],[AportesReales]]</f>
        <v>6207962.8977033868</v>
      </c>
      <c r="F745" s="19">
        <f>IF(TSim[[#This Row],[ValorFinalReal]]&gt;=Meta,1,0)</f>
        <v>0</v>
      </c>
      <c r="G745" s="21">
        <v>3.1210753220892729E-3</v>
      </c>
    </row>
    <row r="746" spans="1:7" ht="16.95" customHeight="1">
      <c r="A746" s="11">
        <v>738</v>
      </c>
      <c r="B746" s="24">
        <v>99352705.862522364</v>
      </c>
      <c r="C746" s="24">
        <v>64825302.277545601</v>
      </c>
      <c r="D746" s="24">
        <v>83376623.438150749</v>
      </c>
      <c r="E746" s="24">
        <f>TSim[[#This Row],[ValorFinalReal]]-TSim[[#This Row],[AportesReales]]</f>
        <v>18551321.160605147</v>
      </c>
      <c r="F746" s="19">
        <f>IF(TSim[[#This Row],[ValorFinalReal]]&gt;=Meta,1,0)</f>
        <v>1</v>
      </c>
      <c r="G746" s="21">
        <v>1.378663600699048E-3</v>
      </c>
    </row>
    <row r="747" spans="1:7" ht="16.95" customHeight="1">
      <c r="A747" s="11">
        <v>739</v>
      </c>
      <c r="B747" s="24">
        <v>96428237.054504022</v>
      </c>
      <c r="C747" s="24">
        <v>64752458.671920568</v>
      </c>
      <c r="D747" s="24">
        <v>75198783.107948646</v>
      </c>
      <c r="E747" s="24">
        <f>TSim[[#This Row],[ValorFinalReal]]-TSim[[#This Row],[AportesReales]]</f>
        <v>10446324.436028078</v>
      </c>
      <c r="F747" s="19">
        <f>IF(TSim[[#This Row],[ValorFinalReal]]&gt;=Meta,1,0)</f>
        <v>0</v>
      </c>
      <c r="G747" s="21">
        <v>3.9500820378747248E-3</v>
      </c>
    </row>
    <row r="748" spans="1:7" ht="16.95" customHeight="1">
      <c r="A748" s="11">
        <v>740</v>
      </c>
      <c r="B748" s="24">
        <v>103639536.3811224</v>
      </c>
      <c r="C748" s="24">
        <v>64715977.049704127</v>
      </c>
      <c r="D748" s="24">
        <v>77915841.691237286</v>
      </c>
      <c r="E748" s="24">
        <f>TSim[[#This Row],[ValorFinalReal]]-TSim[[#This Row],[AportesReales]]</f>
        <v>13199864.641533159</v>
      </c>
      <c r="F748" s="19">
        <f>IF(TSim[[#This Row],[ValorFinalReal]]&gt;=Meta,1,0)</f>
        <v>0</v>
      </c>
      <c r="G748" s="21">
        <v>9.2221388769154755E-3</v>
      </c>
    </row>
    <row r="749" spans="1:7" ht="16.95" customHeight="1">
      <c r="A749" s="11">
        <v>741</v>
      </c>
      <c r="B749" s="24">
        <v>99501384.694891497</v>
      </c>
      <c r="C749" s="24">
        <v>64752995.830309346</v>
      </c>
      <c r="D749" s="24">
        <v>77649464.630050629</v>
      </c>
      <c r="E749" s="24">
        <f>TSim[[#This Row],[ValorFinalReal]]-TSim[[#This Row],[AportesReales]]</f>
        <v>12896468.799741283</v>
      </c>
      <c r="F749" s="19">
        <f>IF(TSim[[#This Row],[ValorFinalReal]]&gt;=Meta,1,0)</f>
        <v>0</v>
      </c>
      <c r="G749" s="21">
        <v>1.6283912560240981E-3</v>
      </c>
    </row>
    <row r="750" spans="1:7" ht="16.95" customHeight="1">
      <c r="A750" s="11">
        <v>742</v>
      </c>
      <c r="B750" s="24">
        <v>95959852.560584977</v>
      </c>
      <c r="C750" s="24">
        <v>64792246.67042587</v>
      </c>
      <c r="D750" s="24">
        <v>77903721.665537596</v>
      </c>
      <c r="E750" s="24">
        <f>TSim[[#This Row],[ValorFinalReal]]-TSim[[#This Row],[AportesReales]]</f>
        <v>13111474.995111726</v>
      </c>
      <c r="F750" s="19">
        <f>IF(TSim[[#This Row],[ValorFinalReal]]&gt;=Meta,1,0)</f>
        <v>0</v>
      </c>
      <c r="G750" s="21">
        <v>1.0400494307377659E-3</v>
      </c>
    </row>
    <row r="751" spans="1:7" ht="16.95" customHeight="1">
      <c r="A751" s="11">
        <v>743</v>
      </c>
      <c r="B751" s="24">
        <v>86697836.069339246</v>
      </c>
      <c r="C751" s="24">
        <v>64858908.370429873</v>
      </c>
      <c r="D751" s="24">
        <v>75220213.186018333</v>
      </c>
      <c r="E751" s="24">
        <f>TSim[[#This Row],[ValorFinalReal]]-TSim[[#This Row],[AportesReales]]</f>
        <v>10361304.815588459</v>
      </c>
      <c r="F751" s="19">
        <f>IF(TSim[[#This Row],[ValorFinalReal]]&gt;=Meta,1,0)</f>
        <v>0</v>
      </c>
      <c r="G751" s="21">
        <v>7.3249380334087233E-3</v>
      </c>
    </row>
    <row r="752" spans="1:7" ht="16.95" customHeight="1">
      <c r="A752" s="11">
        <v>744</v>
      </c>
      <c r="B752" s="24">
        <v>82683804.051092088</v>
      </c>
      <c r="C752" s="24">
        <v>64824814.520016253</v>
      </c>
      <c r="D752" s="24">
        <v>69346413.275404781</v>
      </c>
      <c r="E752" s="24">
        <f>TSim[[#This Row],[ValorFinalReal]]-TSim[[#This Row],[AportesReales]]</f>
        <v>4521598.7553885281</v>
      </c>
      <c r="F752" s="19">
        <f>IF(TSim[[#This Row],[ValorFinalReal]]&gt;=Meta,1,0)</f>
        <v>0</v>
      </c>
      <c r="G752" s="21">
        <v>8.1529950762555536E-3</v>
      </c>
    </row>
    <row r="753" spans="1:7" ht="16.95" customHeight="1">
      <c r="A753" s="11">
        <v>745</v>
      </c>
      <c r="B753" s="24">
        <v>106796009.4480498</v>
      </c>
      <c r="C753" s="24">
        <v>64824676.596003473</v>
      </c>
      <c r="D753" s="24">
        <v>89543578.471411586</v>
      </c>
      <c r="E753" s="24">
        <f>TSim[[#This Row],[ValorFinalReal]]-TSim[[#This Row],[AportesReales]]</f>
        <v>24718901.875408113</v>
      </c>
      <c r="F753" s="19">
        <f>IF(TSim[[#This Row],[ValorFinalReal]]&gt;=Meta,1,0)</f>
        <v>1</v>
      </c>
      <c r="G753" s="21">
        <v>0</v>
      </c>
    </row>
    <row r="754" spans="1:7" ht="16.95" customHeight="1">
      <c r="A754" s="11">
        <v>746</v>
      </c>
      <c r="B754" s="24">
        <v>104766297.96599209</v>
      </c>
      <c r="C754" s="24">
        <v>64700332.698951408</v>
      </c>
      <c r="D754" s="24">
        <v>77504655.26968126</v>
      </c>
      <c r="E754" s="24">
        <f>TSim[[#This Row],[ValorFinalReal]]-TSim[[#This Row],[AportesReales]]</f>
        <v>12804322.570729852</v>
      </c>
      <c r="F754" s="19">
        <f>IF(TSim[[#This Row],[ValorFinalReal]]&gt;=Meta,1,0)</f>
        <v>0</v>
      </c>
      <c r="G754" s="21">
        <v>1.266235712164121E-2</v>
      </c>
    </row>
    <row r="755" spans="1:7" ht="16.95" customHeight="1">
      <c r="A755" s="11">
        <v>747</v>
      </c>
      <c r="B755" s="24">
        <v>83384651.967371091</v>
      </c>
      <c r="C755" s="24">
        <v>64897927.234981529</v>
      </c>
      <c r="D755" s="24">
        <v>75222425.43570219</v>
      </c>
      <c r="E755" s="24">
        <f>TSim[[#This Row],[ValorFinalReal]]-TSim[[#This Row],[AportesReales]]</f>
        <v>10324498.20072066</v>
      </c>
      <c r="F755" s="19">
        <f>IF(TSim[[#This Row],[ValorFinalReal]]&gt;=Meta,1,0)</f>
        <v>0</v>
      </c>
      <c r="G755" s="21">
        <v>6.5456527035137047E-3</v>
      </c>
    </row>
    <row r="756" spans="1:7" ht="16.95" customHeight="1">
      <c r="A756" s="11">
        <v>748</v>
      </c>
      <c r="B756" s="24">
        <v>103947891.2564787</v>
      </c>
      <c r="C756" s="24">
        <v>64709824.879226618</v>
      </c>
      <c r="D756" s="24">
        <v>77676921.397777155</v>
      </c>
      <c r="E756" s="24">
        <f>TSim[[#This Row],[ValorFinalReal]]-TSim[[#This Row],[AportesReales]]</f>
        <v>12967096.518550538</v>
      </c>
      <c r="F756" s="19">
        <f>IF(TSim[[#This Row],[ValorFinalReal]]&gt;=Meta,1,0)</f>
        <v>0</v>
      </c>
      <c r="G756" s="21">
        <v>0</v>
      </c>
    </row>
    <row r="757" spans="1:7" ht="16.95" customHeight="1">
      <c r="A757" s="11">
        <v>749</v>
      </c>
      <c r="B757" s="24">
        <v>86605975.29394643</v>
      </c>
      <c r="C757" s="24">
        <v>64819313.320630752</v>
      </c>
      <c r="D757" s="24">
        <v>72242490.916574687</v>
      </c>
      <c r="E757" s="24">
        <f>TSim[[#This Row],[ValorFinalReal]]-TSim[[#This Row],[AportesReales]]</f>
        <v>7423177.5959439352</v>
      </c>
      <c r="F757" s="19">
        <f>IF(TSim[[#This Row],[ValorFinalReal]]&gt;=Meta,1,0)</f>
        <v>0</v>
      </c>
      <c r="G757" s="21">
        <v>5.7047769647481372E-3</v>
      </c>
    </row>
    <row r="758" spans="1:7" ht="16.95" customHeight="1">
      <c r="A758" s="11">
        <v>750</v>
      </c>
      <c r="B758" s="24">
        <v>89361772.430037662</v>
      </c>
      <c r="C758" s="24">
        <v>64975810.608154044</v>
      </c>
      <c r="D758" s="24">
        <v>87178161.310896471</v>
      </c>
      <c r="E758" s="24">
        <f>TSim[[#This Row],[ValorFinalReal]]-TSim[[#This Row],[AportesReales]]</f>
        <v>22202350.702742428</v>
      </c>
      <c r="F758" s="19">
        <f>IF(TSim[[#This Row],[ValorFinalReal]]&gt;=Meta,1,0)</f>
        <v>1</v>
      </c>
      <c r="G758" s="21">
        <v>0</v>
      </c>
    </row>
    <row r="759" spans="1:7" ht="16.95" customHeight="1">
      <c r="A759" s="11">
        <v>751</v>
      </c>
      <c r="B759" s="24">
        <v>89749405.782388568</v>
      </c>
      <c r="C759" s="24">
        <v>64884335.527418107</v>
      </c>
      <c r="D759" s="24">
        <v>79879015.324073911</v>
      </c>
      <c r="E759" s="24">
        <f>TSim[[#This Row],[ValorFinalReal]]-TSim[[#This Row],[AportesReales]]</f>
        <v>14994679.796655804</v>
      </c>
      <c r="F759" s="19">
        <f>IF(TSim[[#This Row],[ValorFinalReal]]&gt;=Meta,1,0)</f>
        <v>0</v>
      </c>
      <c r="G759" s="21">
        <v>5.8945729112626077E-3</v>
      </c>
    </row>
    <row r="760" spans="1:7" ht="16.95" customHeight="1">
      <c r="A760" s="11">
        <v>752</v>
      </c>
      <c r="B760" s="24">
        <v>94403786.972900897</v>
      </c>
      <c r="C760" s="24">
        <v>64725161.480821893</v>
      </c>
      <c r="D760" s="24">
        <v>71633276.36190021</v>
      </c>
      <c r="E760" s="24">
        <f>TSim[[#This Row],[ValorFinalReal]]-TSim[[#This Row],[AportesReales]]</f>
        <v>6908114.8810783178</v>
      </c>
      <c r="F760" s="19">
        <f>IF(TSim[[#This Row],[ValorFinalReal]]&gt;=Meta,1,0)</f>
        <v>0</v>
      </c>
      <c r="G760" s="21">
        <v>0</v>
      </c>
    </row>
    <row r="761" spans="1:7" ht="16.95" customHeight="1">
      <c r="A761" s="11">
        <v>753</v>
      </c>
      <c r="B761" s="24">
        <v>104125132.3894897</v>
      </c>
      <c r="C761" s="24">
        <v>64762217.246120162</v>
      </c>
      <c r="D761" s="24">
        <v>82000718.996139884</v>
      </c>
      <c r="E761" s="24">
        <f>TSim[[#This Row],[ValorFinalReal]]-TSim[[#This Row],[AportesReales]]</f>
        <v>17238501.750019722</v>
      </c>
      <c r="F761" s="19">
        <f>IF(TSim[[#This Row],[ValorFinalReal]]&gt;=Meta,1,0)</f>
        <v>1</v>
      </c>
      <c r="G761" s="21">
        <v>0</v>
      </c>
    </row>
    <row r="762" spans="1:7" ht="16.95" customHeight="1">
      <c r="A762" s="11">
        <v>754</v>
      </c>
      <c r="B762" s="24">
        <v>99524964.966879308</v>
      </c>
      <c r="C762" s="24">
        <v>64762593.412778243</v>
      </c>
      <c r="D762" s="24">
        <v>78404869.900793552</v>
      </c>
      <c r="E762" s="24">
        <f>TSim[[#This Row],[ValorFinalReal]]-TSim[[#This Row],[AportesReales]]</f>
        <v>13642276.488015309</v>
      </c>
      <c r="F762" s="19">
        <f>IF(TSim[[#This Row],[ValorFinalReal]]&gt;=Meta,1,0)</f>
        <v>0</v>
      </c>
      <c r="G762" s="21">
        <v>5.3610743964382923E-4</v>
      </c>
    </row>
    <row r="763" spans="1:7" ht="16.95" customHeight="1">
      <c r="A763" s="11">
        <v>755</v>
      </c>
      <c r="B763" s="24">
        <v>92223216.382165685</v>
      </c>
      <c r="C763" s="24">
        <v>64739216.091072038</v>
      </c>
      <c r="D763" s="24">
        <v>70963039.126115009</v>
      </c>
      <c r="E763" s="24">
        <f>TSim[[#This Row],[ValorFinalReal]]-TSim[[#This Row],[AportesReales]]</f>
        <v>6223823.0350429714</v>
      </c>
      <c r="F763" s="19">
        <f>IF(TSim[[#This Row],[ValorFinalReal]]&gt;=Meta,1,0)</f>
        <v>0</v>
      </c>
      <c r="G763" s="21">
        <v>2.770475223432356E-2</v>
      </c>
    </row>
    <row r="764" spans="1:7" ht="16.95" customHeight="1">
      <c r="A764" s="11">
        <v>756</v>
      </c>
      <c r="B764" s="24">
        <v>79136991.558481723</v>
      </c>
      <c r="C764" s="24">
        <v>64852929.61482887</v>
      </c>
      <c r="D764" s="24">
        <v>68264804.508616656</v>
      </c>
      <c r="E764" s="24">
        <f>TSim[[#This Row],[ValorFinalReal]]-TSim[[#This Row],[AportesReales]]</f>
        <v>3411874.8937877864</v>
      </c>
      <c r="F764" s="19">
        <f>IF(TSim[[#This Row],[ValorFinalReal]]&gt;=Meta,1,0)</f>
        <v>0</v>
      </c>
      <c r="G764" s="21">
        <v>6.6650880175675997E-3</v>
      </c>
    </row>
    <row r="765" spans="1:7" ht="16.95" customHeight="1">
      <c r="A765" s="11">
        <v>757</v>
      </c>
      <c r="B765" s="24">
        <v>95588614.279550642</v>
      </c>
      <c r="C765" s="24">
        <v>64795845.768613078</v>
      </c>
      <c r="D765" s="24">
        <v>77851146.730470538</v>
      </c>
      <c r="E765" s="24">
        <f>TSim[[#This Row],[ValorFinalReal]]-TSim[[#This Row],[AportesReales]]</f>
        <v>13055300.96185746</v>
      </c>
      <c r="F765" s="19">
        <f>IF(TSim[[#This Row],[ValorFinalReal]]&gt;=Meta,1,0)</f>
        <v>0</v>
      </c>
      <c r="G765" s="21">
        <v>0</v>
      </c>
    </row>
    <row r="766" spans="1:7" ht="16.95" customHeight="1">
      <c r="A766" s="11">
        <v>758</v>
      </c>
      <c r="B766" s="24">
        <v>79975227.074212626</v>
      </c>
      <c r="C766" s="24">
        <v>64850910.010494113</v>
      </c>
      <c r="D766" s="24">
        <v>68813245.993638381</v>
      </c>
      <c r="E766" s="24">
        <f>TSim[[#This Row],[ValorFinalReal]]-TSim[[#This Row],[AportesReales]]</f>
        <v>3962335.9831442684</v>
      </c>
      <c r="F766" s="19">
        <f>IF(TSim[[#This Row],[ValorFinalReal]]&gt;=Meta,1,0)</f>
        <v>0</v>
      </c>
      <c r="G766" s="21">
        <v>8.8875017281191404E-3</v>
      </c>
    </row>
    <row r="767" spans="1:7" ht="16.95" customHeight="1">
      <c r="A767" s="11">
        <v>759</v>
      </c>
      <c r="B767" s="24">
        <v>106272608.7074144</v>
      </c>
      <c r="C767" s="24">
        <v>64797543.679598369</v>
      </c>
      <c r="D767" s="24">
        <v>86720548.584822744</v>
      </c>
      <c r="E767" s="24">
        <f>TSim[[#This Row],[ValorFinalReal]]-TSim[[#This Row],[AportesReales]]</f>
        <v>21923004.905224375</v>
      </c>
      <c r="F767" s="19">
        <f>IF(TSim[[#This Row],[ValorFinalReal]]&gt;=Meta,1,0)</f>
        <v>1</v>
      </c>
      <c r="G767" s="21">
        <v>1.136209765380791E-2</v>
      </c>
    </row>
    <row r="768" spans="1:7" ht="16.95" customHeight="1">
      <c r="A768" s="11">
        <v>760</v>
      </c>
      <c r="B768" s="24">
        <v>72125782.439130425</v>
      </c>
      <c r="C768" s="24">
        <v>64836910.223072581</v>
      </c>
      <c r="D768" s="24">
        <v>61219129.080658138</v>
      </c>
      <c r="E768" s="24">
        <f>TSim[[#This Row],[ValorFinalReal]]-TSim[[#This Row],[AportesReales]]</f>
        <v>-3617781.1424144432</v>
      </c>
      <c r="F768" s="19">
        <f>IF(TSim[[#This Row],[ValorFinalReal]]&gt;=Meta,1,0)</f>
        <v>0</v>
      </c>
      <c r="G768" s="21">
        <v>8.6464220798768698E-3</v>
      </c>
    </row>
    <row r="769" spans="1:7" ht="16.95" customHeight="1">
      <c r="A769" s="11">
        <v>761</v>
      </c>
      <c r="B769" s="24">
        <v>79684843.071334243</v>
      </c>
      <c r="C769" s="24">
        <v>64893080.375308663</v>
      </c>
      <c r="D769" s="24">
        <v>71558995.219888255</v>
      </c>
      <c r="E769" s="24">
        <f>TSim[[#This Row],[ValorFinalReal]]-TSim[[#This Row],[AportesReales]]</f>
        <v>6665914.8445795923</v>
      </c>
      <c r="F769" s="19">
        <f>IF(TSim[[#This Row],[ValorFinalReal]]&gt;=Meta,1,0)</f>
        <v>0</v>
      </c>
      <c r="G769" s="21">
        <v>0</v>
      </c>
    </row>
    <row r="770" spans="1:7" ht="16.95" customHeight="1">
      <c r="A770" s="11">
        <v>762</v>
      </c>
      <c r="B770" s="24">
        <v>95072812.976764753</v>
      </c>
      <c r="C770" s="24">
        <v>64759781.134176269</v>
      </c>
      <c r="D770" s="24">
        <v>74705463.376233637</v>
      </c>
      <c r="E770" s="24">
        <f>TSim[[#This Row],[ValorFinalReal]]-TSim[[#This Row],[AportesReales]]</f>
        <v>9945682.2420573682</v>
      </c>
      <c r="F770" s="19">
        <f>IF(TSim[[#This Row],[ValorFinalReal]]&gt;=Meta,1,0)</f>
        <v>0</v>
      </c>
      <c r="G770" s="21">
        <v>0</v>
      </c>
    </row>
    <row r="771" spans="1:7" ht="16.95" customHeight="1">
      <c r="A771" s="11">
        <v>763</v>
      </c>
      <c r="B771" s="24">
        <v>92028918.405498877</v>
      </c>
      <c r="C771" s="24">
        <v>64978613.858188897</v>
      </c>
      <c r="D771" s="24">
        <v>90034713.117816955</v>
      </c>
      <c r="E771" s="24">
        <f>TSim[[#This Row],[ValorFinalReal]]-TSim[[#This Row],[AportesReales]]</f>
        <v>25056099.259628057</v>
      </c>
      <c r="F771" s="19">
        <f>IF(TSim[[#This Row],[ValorFinalReal]]&gt;=Meta,1,0)</f>
        <v>1</v>
      </c>
      <c r="G771" s="21">
        <v>2.3253797172469999E-3</v>
      </c>
    </row>
    <row r="772" spans="1:7" ht="16.95" customHeight="1">
      <c r="A772" s="11">
        <v>764</v>
      </c>
      <c r="B772" s="24">
        <v>95903642.009746477</v>
      </c>
      <c r="C772" s="24">
        <v>64815757.037207842</v>
      </c>
      <c r="D772" s="24">
        <v>79704361.595507056</v>
      </c>
      <c r="E772" s="24">
        <f>TSim[[#This Row],[ValorFinalReal]]-TSim[[#This Row],[AportesReales]]</f>
        <v>14888604.558299214</v>
      </c>
      <c r="F772" s="19">
        <f>IF(TSim[[#This Row],[ValorFinalReal]]&gt;=Meta,1,0)</f>
        <v>0</v>
      </c>
      <c r="G772" s="21">
        <v>0</v>
      </c>
    </row>
    <row r="773" spans="1:7" ht="16.95" customHeight="1">
      <c r="A773" s="11">
        <v>765</v>
      </c>
      <c r="B773" s="24">
        <v>93487360.792266995</v>
      </c>
      <c r="C773" s="24">
        <v>64760383.622068547</v>
      </c>
      <c r="D773" s="24">
        <v>73502123.227604404</v>
      </c>
      <c r="E773" s="24">
        <f>TSim[[#This Row],[ValorFinalReal]]-TSim[[#This Row],[AportesReales]]</f>
        <v>8741739.6055358574</v>
      </c>
      <c r="F773" s="19">
        <f>IF(TSim[[#This Row],[ValorFinalReal]]&gt;=Meta,1,0)</f>
        <v>0</v>
      </c>
      <c r="G773" s="21">
        <v>0</v>
      </c>
    </row>
    <row r="774" spans="1:7" ht="16.95" customHeight="1">
      <c r="A774" s="11">
        <v>766</v>
      </c>
      <c r="B774" s="24">
        <v>80700849.400556058</v>
      </c>
      <c r="C774" s="24">
        <v>64804330.179993391</v>
      </c>
      <c r="D774" s="24">
        <v>66317326.253553256</v>
      </c>
      <c r="E774" s="24">
        <f>TSim[[#This Row],[ValorFinalReal]]-TSim[[#This Row],[AportesReales]]</f>
        <v>1512996.0735598654</v>
      </c>
      <c r="F774" s="19">
        <f>IF(TSim[[#This Row],[ValorFinalReal]]&gt;=Meta,1,0)</f>
        <v>0</v>
      </c>
      <c r="G774" s="21">
        <v>1.195419774536355E-2</v>
      </c>
    </row>
    <row r="775" spans="1:7" ht="16.95" customHeight="1">
      <c r="A775" s="11">
        <v>767</v>
      </c>
      <c r="B775" s="24">
        <v>78792821.955551684</v>
      </c>
      <c r="C775" s="24">
        <v>64859018.466324337</v>
      </c>
      <c r="D775" s="24">
        <v>68391635.28814967</v>
      </c>
      <c r="E775" s="24">
        <f>TSim[[#This Row],[ValorFinalReal]]-TSim[[#This Row],[AportesReales]]</f>
        <v>3532616.8218253329</v>
      </c>
      <c r="F775" s="19">
        <f>IF(TSim[[#This Row],[ValorFinalReal]]&gt;=Meta,1,0)</f>
        <v>0</v>
      </c>
      <c r="G775" s="21">
        <v>1.5454591699081369E-2</v>
      </c>
    </row>
    <row r="776" spans="1:7" ht="16.95" customHeight="1">
      <c r="A776" s="11">
        <v>768</v>
      </c>
      <c r="B776" s="24">
        <v>76488380.418054089</v>
      </c>
      <c r="C776" s="24">
        <v>64838626.750606619</v>
      </c>
      <c r="D776" s="24">
        <v>65051362.486924842</v>
      </c>
      <c r="E776" s="24">
        <f>TSim[[#This Row],[ValorFinalReal]]-TSim[[#This Row],[AportesReales]]</f>
        <v>212735.73631822318</v>
      </c>
      <c r="F776" s="19">
        <f>IF(TSim[[#This Row],[ValorFinalReal]]&gt;=Meta,1,0)</f>
        <v>0</v>
      </c>
      <c r="G776" s="21">
        <v>4.674524779383793E-3</v>
      </c>
    </row>
    <row r="777" spans="1:7" ht="16.95" customHeight="1">
      <c r="A777" s="11">
        <v>769</v>
      </c>
      <c r="B777" s="24">
        <v>89146697.39504616</v>
      </c>
      <c r="C777" s="24">
        <v>64904448.075313978</v>
      </c>
      <c r="D777" s="24">
        <v>80968579.682817653</v>
      </c>
      <c r="E777" s="24">
        <f>TSim[[#This Row],[ValorFinalReal]]-TSim[[#This Row],[AportesReales]]</f>
        <v>16064131.607503675</v>
      </c>
      <c r="F777" s="19">
        <f>IF(TSim[[#This Row],[ValorFinalReal]]&gt;=Meta,1,0)</f>
        <v>1</v>
      </c>
      <c r="G777" s="21">
        <v>2.8154247143871158E-3</v>
      </c>
    </row>
    <row r="778" spans="1:7" ht="16.95" customHeight="1">
      <c r="A778" s="11">
        <v>770</v>
      </c>
      <c r="B778" s="24">
        <v>90962471.990592584</v>
      </c>
      <c r="C778" s="24">
        <v>64867810.193962947</v>
      </c>
      <c r="D778" s="24">
        <v>79652127.055333778</v>
      </c>
      <c r="E778" s="24">
        <f>TSim[[#This Row],[ValorFinalReal]]-TSim[[#This Row],[AportesReales]]</f>
        <v>14784316.861370832</v>
      </c>
      <c r="F778" s="19">
        <f>IF(TSim[[#This Row],[ValorFinalReal]]&gt;=Meta,1,0)</f>
        <v>0</v>
      </c>
      <c r="G778" s="21">
        <v>0</v>
      </c>
    </row>
    <row r="779" spans="1:7" ht="16.95" customHeight="1">
      <c r="A779" s="11">
        <v>771</v>
      </c>
      <c r="B779" s="24">
        <v>89385491.947833419</v>
      </c>
      <c r="C779" s="24">
        <v>64885764.453121632</v>
      </c>
      <c r="D779" s="24">
        <v>79682135.54664965</v>
      </c>
      <c r="E779" s="24">
        <f>TSim[[#This Row],[ValorFinalReal]]-TSim[[#This Row],[AportesReales]]</f>
        <v>14796371.093528017</v>
      </c>
      <c r="F779" s="19">
        <f>IF(TSim[[#This Row],[ValorFinalReal]]&gt;=Meta,1,0)</f>
        <v>0</v>
      </c>
      <c r="G779" s="21">
        <v>0</v>
      </c>
    </row>
    <row r="780" spans="1:7" ht="16.95" customHeight="1">
      <c r="A780" s="11">
        <v>772</v>
      </c>
      <c r="B780" s="24">
        <v>87522169.367746875</v>
      </c>
      <c r="C780" s="24">
        <v>64817465.766693734</v>
      </c>
      <c r="D780" s="24">
        <v>72867955.57341364</v>
      </c>
      <c r="E780" s="24">
        <f>TSim[[#This Row],[ValorFinalReal]]-TSim[[#This Row],[AportesReales]]</f>
        <v>8050489.8067199066</v>
      </c>
      <c r="F780" s="19">
        <f>IF(TSim[[#This Row],[ValorFinalReal]]&gt;=Meta,1,0)</f>
        <v>0</v>
      </c>
      <c r="G780" s="21">
        <v>2.3178297757930899E-4</v>
      </c>
    </row>
    <row r="781" spans="1:7" ht="16.95" customHeight="1">
      <c r="A781" s="11">
        <v>773</v>
      </c>
      <c r="B781" s="24">
        <v>95416143.809690624</v>
      </c>
      <c r="C781" s="24">
        <v>64772340.401404977</v>
      </c>
      <c r="D781" s="24">
        <v>75896633.750446007</v>
      </c>
      <c r="E781" s="24">
        <f>TSim[[#This Row],[ValorFinalReal]]-TSim[[#This Row],[AportesReales]]</f>
        <v>11124293.34904103</v>
      </c>
      <c r="F781" s="19">
        <f>IF(TSim[[#This Row],[ValorFinalReal]]&gt;=Meta,1,0)</f>
        <v>0</v>
      </c>
      <c r="G781" s="21">
        <v>7.7149576840809253E-3</v>
      </c>
    </row>
    <row r="782" spans="1:7" ht="16.95" customHeight="1">
      <c r="A782" s="11">
        <v>774</v>
      </c>
      <c r="B782" s="24">
        <v>84712362.195959076</v>
      </c>
      <c r="C782" s="24">
        <v>64768220.603643723</v>
      </c>
      <c r="D782" s="24">
        <v>67136916.507127136</v>
      </c>
      <c r="E782" s="24">
        <f>TSim[[#This Row],[ValorFinalReal]]-TSim[[#This Row],[AportesReales]]</f>
        <v>2368695.9034834132</v>
      </c>
      <c r="F782" s="19">
        <f>IF(TSim[[#This Row],[ValorFinalReal]]&gt;=Meta,1,0)</f>
        <v>0</v>
      </c>
      <c r="G782" s="21">
        <v>8.3767176934728127E-3</v>
      </c>
    </row>
    <row r="783" spans="1:7" ht="16.95" customHeight="1">
      <c r="A783" s="11">
        <v>775</v>
      </c>
      <c r="B783" s="24">
        <v>93961886.376947165</v>
      </c>
      <c r="C783" s="24">
        <v>64826228.684322663</v>
      </c>
      <c r="D783" s="24">
        <v>78901204.314233765</v>
      </c>
      <c r="E783" s="24">
        <f>TSim[[#This Row],[ValorFinalReal]]-TSim[[#This Row],[AportesReales]]</f>
        <v>14074975.629911102</v>
      </c>
      <c r="F783" s="19">
        <f>IF(TSim[[#This Row],[ValorFinalReal]]&gt;=Meta,1,0)</f>
        <v>0</v>
      </c>
      <c r="G783" s="21">
        <v>1.314181816502558E-3</v>
      </c>
    </row>
    <row r="784" spans="1:7" ht="16.95" customHeight="1">
      <c r="A784" s="11">
        <v>776</v>
      </c>
      <c r="B784" s="24">
        <v>81086018.262681007</v>
      </c>
      <c r="C784" s="24">
        <v>64924113.488698311</v>
      </c>
      <c r="D784" s="24">
        <v>75114287.854160443</v>
      </c>
      <c r="E784" s="24">
        <f>TSim[[#This Row],[ValorFinalReal]]-TSim[[#This Row],[AportesReales]]</f>
        <v>10190174.365462132</v>
      </c>
      <c r="F784" s="19">
        <f>IF(TSim[[#This Row],[ValorFinalReal]]&gt;=Meta,1,0)</f>
        <v>0</v>
      </c>
      <c r="G784" s="21">
        <v>1.0112364827389531E-2</v>
      </c>
    </row>
    <row r="785" spans="1:7" ht="16.95" customHeight="1">
      <c r="A785" s="11">
        <v>777</v>
      </c>
      <c r="B785" s="24">
        <v>96014017.390866444</v>
      </c>
      <c r="C785" s="24">
        <v>64773089.120062687</v>
      </c>
      <c r="D785" s="24">
        <v>76466599.9971295</v>
      </c>
      <c r="E785" s="24">
        <f>TSim[[#This Row],[ValorFinalReal]]-TSim[[#This Row],[AportesReales]]</f>
        <v>11693510.877066813</v>
      </c>
      <c r="F785" s="19">
        <f>IF(TSim[[#This Row],[ValorFinalReal]]&gt;=Meta,1,0)</f>
        <v>0</v>
      </c>
      <c r="G785" s="21">
        <v>5.9811818901084326E-3</v>
      </c>
    </row>
    <row r="786" spans="1:7" ht="16.95" customHeight="1">
      <c r="A786" s="11">
        <v>778</v>
      </c>
      <c r="B786" s="24">
        <v>81207365.566047326</v>
      </c>
      <c r="C786" s="24">
        <v>64795049.548117571</v>
      </c>
      <c r="D786" s="24">
        <v>66078385.719635412</v>
      </c>
      <c r="E786" s="24">
        <f>TSim[[#This Row],[ValorFinalReal]]-TSim[[#This Row],[AportesReales]]</f>
        <v>1283336.1715178415</v>
      </c>
      <c r="F786" s="19">
        <f>IF(TSim[[#This Row],[ValorFinalReal]]&gt;=Meta,1,0)</f>
        <v>0</v>
      </c>
      <c r="G786" s="21">
        <v>3.6964390173074291E-3</v>
      </c>
    </row>
    <row r="787" spans="1:7" ht="16.95" customHeight="1">
      <c r="A787" s="11">
        <v>779</v>
      </c>
      <c r="B787" s="24">
        <v>104811838.8605185</v>
      </c>
      <c r="C787" s="24">
        <v>64775980.240717597</v>
      </c>
      <c r="D787" s="24">
        <v>83686262.772760585</v>
      </c>
      <c r="E787" s="24">
        <f>TSim[[#This Row],[ValorFinalReal]]-TSim[[#This Row],[AportesReales]]</f>
        <v>18910282.532042988</v>
      </c>
      <c r="F787" s="19">
        <f>IF(TSim[[#This Row],[ValorFinalReal]]&gt;=Meta,1,0)</f>
        <v>1</v>
      </c>
      <c r="G787" s="21">
        <v>0</v>
      </c>
    </row>
    <row r="788" spans="1:7" ht="16.95" customHeight="1">
      <c r="A788" s="11">
        <v>780</v>
      </c>
      <c r="B788" s="24">
        <v>96355477.935520247</v>
      </c>
      <c r="C788" s="24">
        <v>64722404.446578532</v>
      </c>
      <c r="D788" s="24">
        <v>72904386.478772014</v>
      </c>
      <c r="E788" s="24">
        <f>TSim[[#This Row],[ValorFinalReal]]-TSim[[#This Row],[AportesReales]]</f>
        <v>8181982.0321934819</v>
      </c>
      <c r="F788" s="19">
        <f>IF(TSim[[#This Row],[ValorFinalReal]]&gt;=Meta,1,0)</f>
        <v>0</v>
      </c>
      <c r="G788" s="21">
        <v>4.7238060753631572E-3</v>
      </c>
    </row>
    <row r="789" spans="1:7" ht="16.95" customHeight="1">
      <c r="A789" s="11">
        <v>781</v>
      </c>
      <c r="B789" s="24">
        <v>79226085.870818347</v>
      </c>
      <c r="C789" s="24">
        <v>64697696.00167308</v>
      </c>
      <c r="D789" s="24">
        <v>58484931.460996903</v>
      </c>
      <c r="E789" s="24">
        <f>TSim[[#This Row],[ValorFinalReal]]-TSim[[#This Row],[AportesReales]]</f>
        <v>-6212764.5406761765</v>
      </c>
      <c r="F789" s="19">
        <f>IF(TSim[[#This Row],[ValorFinalReal]]&gt;=Meta,1,0)</f>
        <v>0</v>
      </c>
      <c r="G789" s="21">
        <v>1.5054416614839861E-2</v>
      </c>
    </row>
    <row r="790" spans="1:7" ht="16.95" customHeight="1">
      <c r="A790" s="11">
        <v>782</v>
      </c>
      <c r="B790" s="24">
        <v>98067133.385366738</v>
      </c>
      <c r="C790" s="24">
        <v>64731020.638007067</v>
      </c>
      <c r="D790" s="24">
        <v>74828722.103655189</v>
      </c>
      <c r="E790" s="24">
        <f>TSim[[#This Row],[ValorFinalReal]]-TSim[[#This Row],[AportesReales]]</f>
        <v>10097701.465648122</v>
      </c>
      <c r="F790" s="19">
        <f>IF(TSim[[#This Row],[ValorFinalReal]]&gt;=Meta,1,0)</f>
        <v>0</v>
      </c>
      <c r="G790" s="21">
        <v>1.004134912949795E-2</v>
      </c>
    </row>
    <row r="791" spans="1:7" ht="16.95" customHeight="1">
      <c r="A791" s="11">
        <v>783</v>
      </c>
      <c r="B791" s="24">
        <v>93018664.798039794</v>
      </c>
      <c r="C791" s="24">
        <v>64806879.790158167</v>
      </c>
      <c r="D791" s="24">
        <v>76628453.167766154</v>
      </c>
      <c r="E791" s="24">
        <f>TSim[[#This Row],[ValorFinalReal]]-TSim[[#This Row],[AportesReales]]</f>
        <v>11821573.377607986</v>
      </c>
      <c r="F791" s="19">
        <f>IF(TSim[[#This Row],[ValorFinalReal]]&gt;=Meta,1,0)</f>
        <v>0</v>
      </c>
      <c r="G791" s="21">
        <v>3.367394747000207E-3</v>
      </c>
    </row>
    <row r="792" spans="1:7" ht="16.95" customHeight="1">
      <c r="A792" s="11">
        <v>784</v>
      </c>
      <c r="B792" s="24">
        <v>70185956.879039764</v>
      </c>
      <c r="C792" s="24">
        <v>65032669.558347531</v>
      </c>
      <c r="D792" s="24">
        <v>72463481.905959055</v>
      </c>
      <c r="E792" s="24">
        <f>TSim[[#This Row],[ValorFinalReal]]-TSim[[#This Row],[AportesReales]]</f>
        <v>7430812.3476115242</v>
      </c>
      <c r="F792" s="19">
        <f>IF(TSim[[#This Row],[ValorFinalReal]]&gt;=Meta,1,0)</f>
        <v>0</v>
      </c>
      <c r="G792" s="21">
        <v>5.6648693850575027E-3</v>
      </c>
    </row>
    <row r="793" spans="1:7" ht="16.95" customHeight="1">
      <c r="A793" s="11">
        <v>785</v>
      </c>
      <c r="B793" s="24">
        <v>94960522.949811414</v>
      </c>
      <c r="C793" s="24">
        <v>64823760.850242347</v>
      </c>
      <c r="D793" s="24">
        <v>79564801.685368389</v>
      </c>
      <c r="E793" s="24">
        <f>TSim[[#This Row],[ValorFinalReal]]-TSim[[#This Row],[AportesReales]]</f>
        <v>14741040.835126042</v>
      </c>
      <c r="F793" s="19">
        <f>IF(TSim[[#This Row],[ValorFinalReal]]&gt;=Meta,1,0)</f>
        <v>0</v>
      </c>
      <c r="G793" s="21">
        <v>7.7639457893453612E-3</v>
      </c>
    </row>
    <row r="794" spans="1:7" ht="16.95" customHeight="1">
      <c r="A794" s="11">
        <v>786</v>
      </c>
      <c r="B794" s="24">
        <v>85933661.978403986</v>
      </c>
      <c r="C794" s="24">
        <v>64915080.641811237</v>
      </c>
      <c r="D794" s="24">
        <v>78913898.485704362</v>
      </c>
      <c r="E794" s="24">
        <f>TSim[[#This Row],[ValorFinalReal]]-TSim[[#This Row],[AportesReales]]</f>
        <v>13998817.843893126</v>
      </c>
      <c r="F794" s="19">
        <f>IF(TSim[[#This Row],[ValorFinalReal]]&gt;=Meta,1,0)</f>
        <v>0</v>
      </c>
      <c r="G794" s="21">
        <v>1.107544151243367E-3</v>
      </c>
    </row>
    <row r="795" spans="1:7" ht="16.95" customHeight="1">
      <c r="A795" s="11">
        <v>787</v>
      </c>
      <c r="B795" s="24">
        <v>93693414.342089012</v>
      </c>
      <c r="C795" s="24">
        <v>64775442.97176642</v>
      </c>
      <c r="D795" s="24">
        <v>74783258.699001402</v>
      </c>
      <c r="E795" s="24">
        <f>TSim[[#This Row],[ValorFinalReal]]-TSim[[#This Row],[AportesReales]]</f>
        <v>10007815.727234982</v>
      </c>
      <c r="F795" s="19">
        <f>IF(TSim[[#This Row],[ValorFinalReal]]&gt;=Meta,1,0)</f>
        <v>0</v>
      </c>
      <c r="G795" s="21">
        <v>8.1648477577722645E-4</v>
      </c>
    </row>
    <row r="796" spans="1:7" ht="16.95" customHeight="1">
      <c r="A796" s="11">
        <v>788</v>
      </c>
      <c r="B796" s="24">
        <v>87193404.571517214</v>
      </c>
      <c r="C796" s="24">
        <v>64743577.735840313</v>
      </c>
      <c r="D796" s="24">
        <v>67358442.687072366</v>
      </c>
      <c r="E796" s="24">
        <f>TSim[[#This Row],[ValorFinalReal]]-TSim[[#This Row],[AportesReales]]</f>
        <v>2614864.9512320533</v>
      </c>
      <c r="F796" s="19">
        <f>IF(TSim[[#This Row],[ValorFinalReal]]&gt;=Meta,1,0)</f>
        <v>0</v>
      </c>
      <c r="G796" s="21">
        <v>7.6641149306850842E-3</v>
      </c>
    </row>
    <row r="797" spans="1:7" ht="16.95" customHeight="1">
      <c r="A797" s="11">
        <v>789</v>
      </c>
      <c r="B797" s="24">
        <v>88903537.619382933</v>
      </c>
      <c r="C797" s="24">
        <v>64863008.239106491</v>
      </c>
      <c r="D797" s="24">
        <v>77433969.774881467</v>
      </c>
      <c r="E797" s="24">
        <f>TSim[[#This Row],[ValorFinalReal]]-TSim[[#This Row],[AportesReales]]</f>
        <v>12570961.535774976</v>
      </c>
      <c r="F797" s="19">
        <f>IF(TSim[[#This Row],[ValorFinalReal]]&gt;=Meta,1,0)</f>
        <v>0</v>
      </c>
      <c r="G797" s="21">
        <v>5.5509936505122592E-3</v>
      </c>
    </row>
    <row r="798" spans="1:7" ht="16.95" customHeight="1">
      <c r="A798" s="11">
        <v>790</v>
      </c>
      <c r="B798" s="24">
        <v>89384804.883166417</v>
      </c>
      <c r="C798" s="24">
        <v>64813481.672026977</v>
      </c>
      <c r="D798" s="24">
        <v>74123430.41542691</v>
      </c>
      <c r="E798" s="24">
        <f>TSim[[#This Row],[ValorFinalReal]]-TSim[[#This Row],[AportesReales]]</f>
        <v>9309948.743399933</v>
      </c>
      <c r="F798" s="19">
        <f>IF(TSim[[#This Row],[ValorFinalReal]]&gt;=Meta,1,0)</f>
        <v>0</v>
      </c>
      <c r="G798" s="21">
        <v>1.103110926526274E-2</v>
      </c>
    </row>
    <row r="799" spans="1:7" ht="16.95" customHeight="1">
      <c r="A799" s="11">
        <v>791</v>
      </c>
      <c r="B799" s="24">
        <v>92312414.064834312</v>
      </c>
      <c r="C799" s="24">
        <v>64847333.184864402</v>
      </c>
      <c r="D799" s="24">
        <v>79186854.487325117</v>
      </c>
      <c r="E799" s="24">
        <f>TSim[[#This Row],[ValorFinalReal]]-TSim[[#This Row],[AportesReales]]</f>
        <v>14339521.302460715</v>
      </c>
      <c r="F799" s="19">
        <f>IF(TSim[[#This Row],[ValorFinalReal]]&gt;=Meta,1,0)</f>
        <v>0</v>
      </c>
      <c r="G799" s="21">
        <v>2.00028335408442E-4</v>
      </c>
    </row>
    <row r="800" spans="1:7" ht="16.95" customHeight="1">
      <c r="A800" s="11">
        <v>792</v>
      </c>
      <c r="B800" s="24">
        <v>84464401.485073417</v>
      </c>
      <c r="C800" s="24">
        <v>64840369.776601069</v>
      </c>
      <c r="D800" s="24">
        <v>71949792.230798826</v>
      </c>
      <c r="E800" s="24">
        <f>TSim[[#This Row],[ValorFinalReal]]-TSim[[#This Row],[AportesReales]]</f>
        <v>7109422.4541977569</v>
      </c>
      <c r="F800" s="19">
        <f>IF(TSim[[#This Row],[ValorFinalReal]]&gt;=Meta,1,0)</f>
        <v>0</v>
      </c>
      <c r="G800" s="21">
        <v>0</v>
      </c>
    </row>
    <row r="801" spans="1:7" ht="16.95" customHeight="1">
      <c r="A801" s="11">
        <v>793</v>
      </c>
      <c r="B801" s="24">
        <v>92243626.788355738</v>
      </c>
      <c r="C801" s="24">
        <v>64799457.772022396</v>
      </c>
      <c r="D801" s="24">
        <v>75431467.499172509</v>
      </c>
      <c r="E801" s="24">
        <f>TSim[[#This Row],[ValorFinalReal]]-TSim[[#This Row],[AportesReales]]</f>
        <v>10632009.727150112</v>
      </c>
      <c r="F801" s="19">
        <f>IF(TSim[[#This Row],[ValorFinalReal]]&gt;=Meta,1,0)</f>
        <v>0</v>
      </c>
      <c r="G801" s="21">
        <v>0</v>
      </c>
    </row>
    <row r="802" spans="1:7" ht="16.95" customHeight="1">
      <c r="A802" s="11">
        <v>794</v>
      </c>
      <c r="B802" s="24">
        <v>83421121.02153945</v>
      </c>
      <c r="C802" s="24">
        <v>64846158.170228019</v>
      </c>
      <c r="D802" s="24">
        <v>71473799.673488796</v>
      </c>
      <c r="E802" s="24">
        <f>TSim[[#This Row],[ValorFinalReal]]-TSim[[#This Row],[AportesReales]]</f>
        <v>6627641.5032607764</v>
      </c>
      <c r="F802" s="19">
        <f>IF(TSim[[#This Row],[ValorFinalReal]]&gt;=Meta,1,0)</f>
        <v>0</v>
      </c>
      <c r="G802" s="21">
        <v>1.1491170257521549E-2</v>
      </c>
    </row>
    <row r="803" spans="1:7" ht="16.95" customHeight="1">
      <c r="A803" s="11">
        <v>795</v>
      </c>
      <c r="B803" s="24">
        <v>83351101.418216869</v>
      </c>
      <c r="C803" s="24">
        <v>64793873.518968977</v>
      </c>
      <c r="D803" s="24">
        <v>67752502.518355608</v>
      </c>
      <c r="E803" s="24">
        <f>TSim[[#This Row],[ValorFinalReal]]-TSim[[#This Row],[AportesReales]]</f>
        <v>2958628.999386631</v>
      </c>
      <c r="F803" s="19">
        <f>IF(TSim[[#This Row],[ValorFinalReal]]&gt;=Meta,1,0)</f>
        <v>0</v>
      </c>
      <c r="G803" s="21">
        <v>3.5547233445917259E-3</v>
      </c>
    </row>
    <row r="804" spans="1:7" ht="16.95" customHeight="1">
      <c r="A804" s="11">
        <v>796</v>
      </c>
      <c r="B804" s="24">
        <v>82334256.172340006</v>
      </c>
      <c r="C804" s="24">
        <v>64924594.885911427</v>
      </c>
      <c r="D804" s="24">
        <v>76315064.133537725</v>
      </c>
      <c r="E804" s="24">
        <f>TSim[[#This Row],[ValorFinalReal]]-TSim[[#This Row],[AportesReales]]</f>
        <v>11390469.247626297</v>
      </c>
      <c r="F804" s="19">
        <f>IF(TSim[[#This Row],[ValorFinalReal]]&gt;=Meta,1,0)</f>
        <v>0</v>
      </c>
      <c r="G804" s="21">
        <v>1.7626295956381991E-2</v>
      </c>
    </row>
    <row r="805" spans="1:7" ht="16.95" customHeight="1">
      <c r="A805" s="11">
        <v>797</v>
      </c>
      <c r="B805" s="24">
        <v>94364453.333276361</v>
      </c>
      <c r="C805" s="24">
        <v>64809042.443884604</v>
      </c>
      <c r="D805" s="24">
        <v>77892959.355037302</v>
      </c>
      <c r="E805" s="24">
        <f>TSim[[#This Row],[ValorFinalReal]]-TSim[[#This Row],[AportesReales]]</f>
        <v>13083916.911152698</v>
      </c>
      <c r="F805" s="19">
        <f>IF(TSim[[#This Row],[ValorFinalReal]]&gt;=Meta,1,0)</f>
        <v>0</v>
      </c>
      <c r="G805" s="21">
        <v>0</v>
      </c>
    </row>
    <row r="806" spans="1:7" ht="16.95" customHeight="1">
      <c r="A806" s="11">
        <v>798</v>
      </c>
      <c r="B806" s="24">
        <v>87071360.780125484</v>
      </c>
      <c r="C806" s="24">
        <v>64813370.44087664</v>
      </c>
      <c r="D806" s="24">
        <v>72204728.390181869</v>
      </c>
      <c r="E806" s="24">
        <f>TSim[[#This Row],[ValorFinalReal]]-TSim[[#This Row],[AportesReales]]</f>
        <v>7391357.9493052289</v>
      </c>
      <c r="F806" s="19">
        <f>IF(TSim[[#This Row],[ValorFinalReal]]&gt;=Meta,1,0)</f>
        <v>0</v>
      </c>
      <c r="G806" s="21">
        <v>2.1983453088653131E-3</v>
      </c>
    </row>
    <row r="807" spans="1:7" ht="16.95" customHeight="1">
      <c r="A807" s="11">
        <v>799</v>
      </c>
      <c r="B807" s="24">
        <v>88126683.595798478</v>
      </c>
      <c r="C807" s="24">
        <v>65028984.6704349</v>
      </c>
      <c r="D807" s="24">
        <v>90688905.285436034</v>
      </c>
      <c r="E807" s="24">
        <f>TSim[[#This Row],[ValorFinalReal]]-TSim[[#This Row],[AportesReales]]</f>
        <v>25659920.615001135</v>
      </c>
      <c r="F807" s="19">
        <f>IF(TSim[[#This Row],[ValorFinalReal]]&gt;=Meta,1,0)</f>
        <v>1</v>
      </c>
      <c r="G807" s="21">
        <v>0</v>
      </c>
    </row>
    <row r="808" spans="1:7" ht="16.95" customHeight="1">
      <c r="A808" s="11">
        <v>800</v>
      </c>
      <c r="B808" s="24">
        <v>79282403.357571706</v>
      </c>
      <c r="C808" s="24">
        <v>64899223.663851567</v>
      </c>
      <c r="D808" s="24">
        <v>71634498.28977865</v>
      </c>
      <c r="E808" s="24">
        <f>TSim[[#This Row],[ValorFinalReal]]-TSim[[#This Row],[AportesReales]]</f>
        <v>6735274.6259270832</v>
      </c>
      <c r="F808" s="19">
        <f>IF(TSim[[#This Row],[ValorFinalReal]]&gt;=Meta,1,0)</f>
        <v>0</v>
      </c>
      <c r="G808" s="21">
        <v>6.3265509907720618E-3</v>
      </c>
    </row>
    <row r="809" spans="1:7" ht="16.95" customHeight="1">
      <c r="A809" s="11">
        <v>801</v>
      </c>
      <c r="B809" s="24">
        <v>80057398.029462725</v>
      </c>
      <c r="C809" s="24">
        <v>64813441.741285823</v>
      </c>
      <c r="D809" s="24">
        <v>66372326.073984742</v>
      </c>
      <c r="E809" s="24">
        <f>TSim[[#This Row],[ValorFinalReal]]-TSim[[#This Row],[AportesReales]]</f>
        <v>1558884.3326989189</v>
      </c>
      <c r="F809" s="19">
        <f>IF(TSim[[#This Row],[ValorFinalReal]]&gt;=Meta,1,0)</f>
        <v>0</v>
      </c>
      <c r="G809" s="21">
        <v>9.4793416597964697E-3</v>
      </c>
    </row>
    <row r="810" spans="1:7" ht="16.95" customHeight="1">
      <c r="A810" s="11">
        <v>802</v>
      </c>
      <c r="B810" s="24">
        <v>89366922.56778495</v>
      </c>
      <c r="C810" s="24">
        <v>64746980.332408018</v>
      </c>
      <c r="D810" s="24">
        <v>69304252.508834749</v>
      </c>
      <c r="E810" s="24">
        <f>TSim[[#This Row],[ValorFinalReal]]-TSim[[#This Row],[AportesReales]]</f>
        <v>4557272.1764267311</v>
      </c>
      <c r="F810" s="19">
        <f>IF(TSim[[#This Row],[ValorFinalReal]]&gt;=Meta,1,0)</f>
        <v>0</v>
      </c>
      <c r="G810" s="21">
        <v>6.9700933692720124E-3</v>
      </c>
    </row>
    <row r="811" spans="1:7" ht="16.95" customHeight="1">
      <c r="A811" s="11">
        <v>803</v>
      </c>
      <c r="B811" s="24">
        <v>99852699.082307443</v>
      </c>
      <c r="C811" s="24">
        <v>64590331.110800959</v>
      </c>
      <c r="D811" s="24">
        <v>66169976.221350968</v>
      </c>
      <c r="E811" s="24">
        <f>TSim[[#This Row],[ValorFinalReal]]-TSim[[#This Row],[AportesReales]]</f>
        <v>1579645.1105500087</v>
      </c>
      <c r="F811" s="19">
        <f>IF(TSim[[#This Row],[ValorFinalReal]]&gt;=Meta,1,0)</f>
        <v>0</v>
      </c>
      <c r="G811" s="21">
        <v>1.899468458186782E-3</v>
      </c>
    </row>
    <row r="812" spans="1:7" ht="16.95" customHeight="1">
      <c r="A812" s="11">
        <v>804</v>
      </c>
      <c r="B812" s="24">
        <v>87078019.362873226</v>
      </c>
      <c r="C812" s="24">
        <v>64894588.520866171</v>
      </c>
      <c r="D812" s="24">
        <v>78324502.579563811</v>
      </c>
      <c r="E812" s="24">
        <f>TSim[[#This Row],[ValorFinalReal]]-TSim[[#This Row],[AportesReales]]</f>
        <v>13429914.058697641</v>
      </c>
      <c r="F812" s="19">
        <f>IF(TSim[[#This Row],[ValorFinalReal]]&gt;=Meta,1,0)</f>
        <v>0</v>
      </c>
      <c r="G812" s="21">
        <v>3.3161590984139839E-3</v>
      </c>
    </row>
    <row r="813" spans="1:7" ht="16.95" customHeight="1">
      <c r="A813" s="11">
        <v>805</v>
      </c>
      <c r="B813" s="24">
        <v>91859899.677355766</v>
      </c>
      <c r="C813" s="24">
        <v>64775054.261976473</v>
      </c>
      <c r="D813" s="24">
        <v>73298549.708305493</v>
      </c>
      <c r="E813" s="24">
        <f>TSim[[#This Row],[ValorFinalReal]]-TSim[[#This Row],[AportesReales]]</f>
        <v>8523495.44632902</v>
      </c>
      <c r="F813" s="19">
        <f>IF(TSim[[#This Row],[ValorFinalReal]]&gt;=Meta,1,0)</f>
        <v>0</v>
      </c>
      <c r="G813" s="21">
        <v>7.9698016295854934E-3</v>
      </c>
    </row>
    <row r="814" spans="1:7" ht="16.95" customHeight="1">
      <c r="A814" s="11">
        <v>806</v>
      </c>
      <c r="B814" s="24">
        <v>96422219.137181848</v>
      </c>
      <c r="C814" s="24">
        <v>64853113.819578484</v>
      </c>
      <c r="D814" s="24">
        <v>83213383.83927539</v>
      </c>
      <c r="E814" s="24">
        <f>TSim[[#This Row],[ValorFinalReal]]-TSim[[#This Row],[AportesReales]]</f>
        <v>18360270.019696906</v>
      </c>
      <c r="F814" s="19">
        <f>IF(TSim[[#This Row],[ValorFinalReal]]&gt;=Meta,1,0)</f>
        <v>1</v>
      </c>
      <c r="G814" s="21">
        <v>0</v>
      </c>
    </row>
    <row r="815" spans="1:7" ht="16.95" customHeight="1">
      <c r="A815" s="11">
        <v>807</v>
      </c>
      <c r="B815" s="24">
        <v>97489765.260181651</v>
      </c>
      <c r="C815" s="24">
        <v>64732675.151186369</v>
      </c>
      <c r="D815" s="24">
        <v>74544722.419347703</v>
      </c>
      <c r="E815" s="24">
        <f>TSim[[#This Row],[ValorFinalReal]]-TSim[[#This Row],[AportesReales]]</f>
        <v>9812047.2681613341</v>
      </c>
      <c r="F815" s="19">
        <f>IF(TSim[[#This Row],[ValorFinalReal]]&gt;=Meta,1,0)</f>
        <v>0</v>
      </c>
      <c r="G815" s="21">
        <v>1.041627142133406E-3</v>
      </c>
    </row>
    <row r="816" spans="1:7" ht="16.95" customHeight="1">
      <c r="A816" s="11">
        <v>808</v>
      </c>
      <c r="B816" s="24">
        <v>81567964.838178337</v>
      </c>
      <c r="C816" s="24">
        <v>64872549.775482409</v>
      </c>
      <c r="D816" s="24">
        <v>71750311.01281637</v>
      </c>
      <c r="E816" s="24">
        <f>TSim[[#This Row],[ValorFinalReal]]-TSim[[#This Row],[AportesReales]]</f>
        <v>6877761.2373339608</v>
      </c>
      <c r="F816" s="19">
        <f>IF(TSim[[#This Row],[ValorFinalReal]]&gt;=Meta,1,0)</f>
        <v>0</v>
      </c>
      <c r="G816" s="21">
        <v>2.2760194957752722E-3</v>
      </c>
    </row>
    <row r="817" spans="1:7" ht="16.95" customHeight="1">
      <c r="A817" s="11">
        <v>809</v>
      </c>
      <c r="B817" s="24">
        <v>80514618.32813473</v>
      </c>
      <c r="C817" s="24">
        <v>64957391.362826914</v>
      </c>
      <c r="D817" s="24">
        <v>77129033.660133779</v>
      </c>
      <c r="E817" s="24">
        <f>TSim[[#This Row],[ValorFinalReal]]-TSim[[#This Row],[AportesReales]]</f>
        <v>12171642.297306865</v>
      </c>
      <c r="F817" s="19">
        <f>IF(TSim[[#This Row],[ValorFinalReal]]&gt;=Meta,1,0)</f>
        <v>0</v>
      </c>
      <c r="G817" s="21">
        <v>3.6469704390577058E-3</v>
      </c>
    </row>
    <row r="818" spans="1:7" ht="16.95" customHeight="1">
      <c r="A818" s="11">
        <v>810</v>
      </c>
      <c r="B818" s="24">
        <v>76681516.679812372</v>
      </c>
      <c r="C818" s="24">
        <v>64900822.489329733</v>
      </c>
      <c r="D818" s="24">
        <v>69383827.13508521</v>
      </c>
      <c r="E818" s="24">
        <f>TSim[[#This Row],[ValorFinalReal]]-TSim[[#This Row],[AportesReales]]</f>
        <v>4483004.6457554772</v>
      </c>
      <c r="F818" s="19">
        <f>IF(TSim[[#This Row],[ValorFinalReal]]&gt;=Meta,1,0)</f>
        <v>0</v>
      </c>
      <c r="G818" s="21">
        <v>1.326154355703235E-2</v>
      </c>
    </row>
    <row r="819" spans="1:7" ht="16.95" customHeight="1">
      <c r="A819" s="11">
        <v>811</v>
      </c>
      <c r="B819" s="24">
        <v>94380044.959711671</v>
      </c>
      <c r="C819" s="24">
        <v>64852805.336026557</v>
      </c>
      <c r="D819" s="24">
        <v>81365176.897209063</v>
      </c>
      <c r="E819" s="24">
        <f>TSim[[#This Row],[ValorFinalReal]]-TSim[[#This Row],[AportesReales]]</f>
        <v>16512371.561182506</v>
      </c>
      <c r="F819" s="19">
        <f>IF(TSim[[#This Row],[ValorFinalReal]]&gt;=Meta,1,0)</f>
        <v>1</v>
      </c>
      <c r="G819" s="21">
        <v>3.8053296704224642E-3</v>
      </c>
    </row>
    <row r="820" spans="1:7" ht="16.95" customHeight="1">
      <c r="A820" s="11">
        <v>812</v>
      </c>
      <c r="B820" s="24">
        <v>94603618.665615335</v>
      </c>
      <c r="C820" s="24">
        <v>64763687.900053963</v>
      </c>
      <c r="D820" s="24">
        <v>74635332.194213778</v>
      </c>
      <c r="E820" s="24">
        <f>TSim[[#This Row],[ValorFinalReal]]-TSim[[#This Row],[AportesReales]]</f>
        <v>9871644.2941598147</v>
      </c>
      <c r="F820" s="19">
        <f>IF(TSim[[#This Row],[ValorFinalReal]]&gt;=Meta,1,0)</f>
        <v>0</v>
      </c>
      <c r="G820" s="21">
        <v>6.9455274212348872E-4</v>
      </c>
    </row>
    <row r="821" spans="1:7" ht="16.95" customHeight="1">
      <c r="A821" s="11">
        <v>813</v>
      </c>
      <c r="B821" s="24">
        <v>80861684.120804936</v>
      </c>
      <c r="C821" s="24">
        <v>64956977.263063811</v>
      </c>
      <c r="D821" s="24">
        <v>77421834.846418217</v>
      </c>
      <c r="E821" s="24">
        <f>TSim[[#This Row],[ValorFinalReal]]-TSim[[#This Row],[AportesReales]]</f>
        <v>12464857.583354406</v>
      </c>
      <c r="F821" s="19">
        <f>IF(TSim[[#This Row],[ValorFinalReal]]&gt;=Meta,1,0)</f>
        <v>0</v>
      </c>
      <c r="G821" s="21">
        <v>1.6940077691374181E-4</v>
      </c>
    </row>
    <row r="822" spans="1:7" ht="16.95" customHeight="1">
      <c r="A822" s="11">
        <v>814</v>
      </c>
      <c r="B822" s="24">
        <v>92858950.621376589</v>
      </c>
      <c r="C822" s="24">
        <v>64751595.104823492</v>
      </c>
      <c r="D822" s="24">
        <v>72364747.960785761</v>
      </c>
      <c r="E822" s="24">
        <f>TSim[[#This Row],[ValorFinalReal]]-TSim[[#This Row],[AportesReales]]</f>
        <v>7613152.855962269</v>
      </c>
      <c r="F822" s="19">
        <f>IF(TSim[[#This Row],[ValorFinalReal]]&gt;=Meta,1,0)</f>
        <v>0</v>
      </c>
      <c r="G822" s="21">
        <v>0</v>
      </c>
    </row>
    <row r="823" spans="1:7" ht="16.95" customHeight="1">
      <c r="A823" s="11">
        <v>815</v>
      </c>
      <c r="B823" s="24">
        <v>97584301.283802778</v>
      </c>
      <c r="C823" s="24">
        <v>64659046.800947711</v>
      </c>
      <c r="D823" s="24">
        <v>69284564.661941543</v>
      </c>
      <c r="E823" s="24">
        <f>TSim[[#This Row],[ValorFinalReal]]-TSim[[#This Row],[AportesReales]]</f>
        <v>4625517.8609938323</v>
      </c>
      <c r="F823" s="19">
        <f>IF(TSim[[#This Row],[ValorFinalReal]]&gt;=Meta,1,0)</f>
        <v>0</v>
      </c>
      <c r="G823" s="21">
        <v>0</v>
      </c>
    </row>
    <row r="824" spans="1:7" ht="16.95" customHeight="1">
      <c r="A824" s="11">
        <v>816</v>
      </c>
      <c r="B824" s="24">
        <v>85503039.909854501</v>
      </c>
      <c r="C824" s="24">
        <v>64851682.469720177</v>
      </c>
      <c r="D824" s="24">
        <v>73669101.755885169</v>
      </c>
      <c r="E824" s="24">
        <f>TSim[[#This Row],[ValorFinalReal]]-TSim[[#This Row],[AportesReales]]</f>
        <v>8817419.2861649916</v>
      </c>
      <c r="F824" s="19">
        <f>IF(TSim[[#This Row],[ValorFinalReal]]&gt;=Meta,1,0)</f>
        <v>0</v>
      </c>
      <c r="G824" s="21">
        <v>7.2880951707263719E-3</v>
      </c>
    </row>
    <row r="825" spans="1:7" ht="16.95" customHeight="1">
      <c r="A825" s="11">
        <v>817</v>
      </c>
      <c r="B825" s="24">
        <v>84769910.162067339</v>
      </c>
      <c r="C825" s="24">
        <v>64820892.521981962</v>
      </c>
      <c r="D825" s="24">
        <v>70791609.88320905</v>
      </c>
      <c r="E825" s="24">
        <f>TSim[[#This Row],[ValorFinalReal]]-TSim[[#This Row],[AportesReales]]</f>
        <v>5970717.3612270877</v>
      </c>
      <c r="F825" s="19">
        <f>IF(TSim[[#This Row],[ValorFinalReal]]&gt;=Meta,1,0)</f>
        <v>0</v>
      </c>
      <c r="G825" s="21">
        <v>8.6103836343777163E-3</v>
      </c>
    </row>
    <row r="826" spans="1:7" ht="16.95" customHeight="1">
      <c r="A826" s="11">
        <v>818</v>
      </c>
      <c r="B826" s="24">
        <v>81318061.84958306</v>
      </c>
      <c r="C826" s="24">
        <v>64889471.422811091</v>
      </c>
      <c r="D826" s="24">
        <v>72772817.012739897</v>
      </c>
      <c r="E826" s="24">
        <f>TSim[[#This Row],[ValorFinalReal]]-TSim[[#This Row],[AportesReales]]</f>
        <v>7883345.5899288058</v>
      </c>
      <c r="F826" s="19">
        <f>IF(TSim[[#This Row],[ValorFinalReal]]&gt;=Meta,1,0)</f>
        <v>0</v>
      </c>
      <c r="G826" s="21">
        <v>5.4024076372605201E-4</v>
      </c>
    </row>
    <row r="827" spans="1:7" ht="16.95" customHeight="1">
      <c r="A827" s="11">
        <v>819</v>
      </c>
      <c r="B827" s="24">
        <v>90075039.130312279</v>
      </c>
      <c r="C827" s="24">
        <v>64851858.913715437</v>
      </c>
      <c r="D827" s="24">
        <v>77609002.278501943</v>
      </c>
      <c r="E827" s="24">
        <f>TSim[[#This Row],[ValorFinalReal]]-TSim[[#This Row],[AportesReales]]</f>
        <v>12757143.364786506</v>
      </c>
      <c r="F827" s="19">
        <f>IF(TSim[[#This Row],[ValorFinalReal]]&gt;=Meta,1,0)</f>
        <v>0</v>
      </c>
      <c r="G827" s="21">
        <v>8.5592236106857289E-4</v>
      </c>
    </row>
    <row r="828" spans="1:7" ht="16.95" customHeight="1">
      <c r="A828" s="11">
        <v>820</v>
      </c>
      <c r="B828" s="24">
        <v>92075522.272202879</v>
      </c>
      <c r="C828" s="24">
        <v>64799417.959192872</v>
      </c>
      <c r="D828" s="24">
        <v>75249517.285866454</v>
      </c>
      <c r="E828" s="24">
        <f>TSim[[#This Row],[ValorFinalReal]]-TSim[[#This Row],[AportesReales]]</f>
        <v>10450099.326673582</v>
      </c>
      <c r="F828" s="19">
        <f>IF(TSim[[#This Row],[ValorFinalReal]]&gt;=Meta,1,0)</f>
        <v>0</v>
      </c>
      <c r="G828" s="21">
        <v>1.633753353992573E-2</v>
      </c>
    </row>
    <row r="829" spans="1:7" ht="16.95" customHeight="1">
      <c r="A829" s="11">
        <v>821</v>
      </c>
      <c r="B829" s="24">
        <v>89069966.496523768</v>
      </c>
      <c r="C829" s="24">
        <v>64814166.386379488</v>
      </c>
      <c r="D829" s="24">
        <v>73903478.337398276</v>
      </c>
      <c r="E829" s="24">
        <f>TSim[[#This Row],[ValorFinalReal]]-TSim[[#This Row],[AportesReales]]</f>
        <v>9089311.9510187879</v>
      </c>
      <c r="F829" s="19">
        <f>IF(TSim[[#This Row],[ValorFinalReal]]&gt;=Meta,1,0)</f>
        <v>0</v>
      </c>
      <c r="G829" s="21">
        <v>3.6898111959887681E-3</v>
      </c>
    </row>
    <row r="830" spans="1:7" ht="16.95" customHeight="1">
      <c r="A830" s="11">
        <v>822</v>
      </c>
      <c r="B830" s="24">
        <v>92712007.024859235</v>
      </c>
      <c r="C830" s="24">
        <v>64909324.588550173</v>
      </c>
      <c r="D830" s="24">
        <v>84612851.637032375</v>
      </c>
      <c r="E830" s="24">
        <f>TSim[[#This Row],[ValorFinalReal]]-TSim[[#This Row],[AportesReales]]</f>
        <v>19703527.048482202</v>
      </c>
      <c r="F830" s="19">
        <f>IF(TSim[[#This Row],[ValorFinalReal]]&gt;=Meta,1,0)</f>
        <v>1</v>
      </c>
      <c r="G830" s="21">
        <v>1.7386270652852701E-4</v>
      </c>
    </row>
    <row r="831" spans="1:7" ht="16.95" customHeight="1">
      <c r="A831" s="11">
        <v>823</v>
      </c>
      <c r="B831" s="24">
        <v>93501464.794544265</v>
      </c>
      <c r="C831" s="24">
        <v>64790139.704455659</v>
      </c>
      <c r="D831" s="24">
        <v>75720760.030307293</v>
      </c>
      <c r="E831" s="24">
        <f>TSim[[#This Row],[ValorFinalReal]]-TSim[[#This Row],[AportesReales]]</f>
        <v>10930620.325851634</v>
      </c>
      <c r="F831" s="19">
        <f>IF(TSim[[#This Row],[ValorFinalReal]]&gt;=Meta,1,0)</f>
        <v>0</v>
      </c>
      <c r="G831" s="21">
        <v>9.3543559066593396E-3</v>
      </c>
    </row>
    <row r="832" spans="1:7" ht="16.95" customHeight="1">
      <c r="A832" s="11">
        <v>824</v>
      </c>
      <c r="B832" s="24">
        <v>83559419.995623603</v>
      </c>
      <c r="C832" s="24">
        <v>64869709.063067541</v>
      </c>
      <c r="D832" s="24">
        <v>73300329.120534554</v>
      </c>
      <c r="E832" s="24">
        <f>TSim[[#This Row],[ValorFinalReal]]-TSim[[#This Row],[AportesReales]]</f>
        <v>8430620.0574670136</v>
      </c>
      <c r="F832" s="19">
        <f>IF(TSim[[#This Row],[ValorFinalReal]]&gt;=Meta,1,0)</f>
        <v>0</v>
      </c>
      <c r="G832" s="21">
        <v>9.2897140034808867E-4</v>
      </c>
    </row>
    <row r="833" spans="1:7" ht="16.95" customHeight="1">
      <c r="A833" s="11">
        <v>825</v>
      </c>
      <c r="B833" s="24">
        <v>85827902.99007763</v>
      </c>
      <c r="C833" s="24">
        <v>64830094.825862229</v>
      </c>
      <c r="D833" s="24">
        <v>72359218.810748696</v>
      </c>
      <c r="E833" s="24">
        <f>TSim[[#This Row],[ValorFinalReal]]-TSim[[#This Row],[AportesReales]]</f>
        <v>7529123.9848864675</v>
      </c>
      <c r="F833" s="19">
        <f>IF(TSim[[#This Row],[ValorFinalReal]]&gt;=Meta,1,0)</f>
        <v>0</v>
      </c>
      <c r="G833" s="21">
        <v>8.021567718756728E-3</v>
      </c>
    </row>
    <row r="834" spans="1:7" ht="16.95" customHeight="1">
      <c r="A834" s="11">
        <v>826</v>
      </c>
      <c r="B834" s="24">
        <v>97485512.105206236</v>
      </c>
      <c r="C834" s="24">
        <v>64788990.41142612</v>
      </c>
      <c r="D834" s="24">
        <v>78864196.600222871</v>
      </c>
      <c r="E834" s="24">
        <f>TSim[[#This Row],[ValorFinalReal]]-TSim[[#This Row],[AportesReales]]</f>
        <v>14075206.188796751</v>
      </c>
      <c r="F834" s="19">
        <f>IF(TSim[[#This Row],[ValorFinalReal]]&gt;=Meta,1,0)</f>
        <v>0</v>
      </c>
      <c r="G834" s="21">
        <v>1.2638645279702709E-2</v>
      </c>
    </row>
    <row r="835" spans="1:7" ht="16.95" customHeight="1">
      <c r="A835" s="11">
        <v>827</v>
      </c>
      <c r="B835" s="24">
        <v>85662709.098906875</v>
      </c>
      <c r="C835" s="24">
        <v>64833089.62121921</v>
      </c>
      <c r="D835" s="24">
        <v>72449317.7659612</v>
      </c>
      <c r="E835" s="24">
        <f>TSim[[#This Row],[ValorFinalReal]]-TSim[[#This Row],[AportesReales]]</f>
        <v>7616228.1447419897</v>
      </c>
      <c r="F835" s="19">
        <f>IF(TSim[[#This Row],[ValorFinalReal]]&gt;=Meta,1,0)</f>
        <v>0</v>
      </c>
      <c r="G835" s="21">
        <v>0</v>
      </c>
    </row>
    <row r="836" spans="1:7" ht="16.95" customHeight="1">
      <c r="A836" s="11">
        <v>828</v>
      </c>
      <c r="B836" s="24">
        <v>74224062.881052822</v>
      </c>
      <c r="C836" s="24">
        <v>65005538.608936504</v>
      </c>
      <c r="D836" s="24">
        <v>74584832.92874296</v>
      </c>
      <c r="E836" s="24">
        <f>TSim[[#This Row],[ValorFinalReal]]-TSim[[#This Row],[AportesReales]]</f>
        <v>9579294.3198064566</v>
      </c>
      <c r="F836" s="19">
        <f>IF(TSim[[#This Row],[ValorFinalReal]]&gt;=Meta,1,0)</f>
        <v>0</v>
      </c>
      <c r="G836" s="21">
        <v>0</v>
      </c>
    </row>
    <row r="837" spans="1:7" ht="16.95" customHeight="1">
      <c r="A837" s="11">
        <v>829</v>
      </c>
      <c r="B837" s="24">
        <v>91544042.252444014</v>
      </c>
      <c r="C837" s="24">
        <v>64881751.369350843</v>
      </c>
      <c r="D837" s="24">
        <v>81291823.978740469</v>
      </c>
      <c r="E837" s="24">
        <f>TSim[[#This Row],[ValorFinalReal]]-TSim[[#This Row],[AportesReales]]</f>
        <v>16410072.609389625</v>
      </c>
      <c r="F837" s="19">
        <f>IF(TSim[[#This Row],[ValorFinalReal]]&gt;=Meta,1,0)</f>
        <v>1</v>
      </c>
      <c r="G837" s="21">
        <v>4.5830835008782156E-3</v>
      </c>
    </row>
    <row r="838" spans="1:7" ht="16.95" customHeight="1">
      <c r="A838" s="11">
        <v>830</v>
      </c>
      <c r="B838" s="24">
        <v>86767905.649127647</v>
      </c>
      <c r="C838" s="24">
        <v>64814755.628072709</v>
      </c>
      <c r="D838" s="24">
        <v>72041030.271862894</v>
      </c>
      <c r="E838" s="24">
        <f>TSim[[#This Row],[ValorFinalReal]]-TSim[[#This Row],[AportesReales]]</f>
        <v>7226274.6437901855</v>
      </c>
      <c r="F838" s="19">
        <f>IF(TSim[[#This Row],[ValorFinalReal]]&gt;=Meta,1,0)</f>
        <v>0</v>
      </c>
      <c r="G838" s="21">
        <v>1.1587378827659919E-4</v>
      </c>
    </row>
    <row r="839" spans="1:7" ht="16.95" customHeight="1">
      <c r="A839" s="11">
        <v>831</v>
      </c>
      <c r="B839" s="24">
        <v>91812406.98978141</v>
      </c>
      <c r="C839" s="24">
        <v>64846356.716517434</v>
      </c>
      <c r="D839" s="24">
        <v>78687823.795914024</v>
      </c>
      <c r="E839" s="24">
        <f>TSim[[#This Row],[ValorFinalReal]]-TSim[[#This Row],[AportesReales]]</f>
        <v>13841467.079396591</v>
      </c>
      <c r="F839" s="19">
        <f>IF(TSim[[#This Row],[ValorFinalReal]]&gt;=Meta,1,0)</f>
        <v>0</v>
      </c>
      <c r="G839" s="21">
        <v>6.3493349804443211E-3</v>
      </c>
    </row>
    <row r="840" spans="1:7" ht="16.95" customHeight="1">
      <c r="A840" s="11">
        <v>832</v>
      </c>
      <c r="B840" s="24">
        <v>83953070.564936906</v>
      </c>
      <c r="C840" s="24">
        <v>64871730.198603682</v>
      </c>
      <c r="D840" s="24">
        <v>73803464.105843604</v>
      </c>
      <c r="E840" s="24">
        <f>TSim[[#This Row],[ValorFinalReal]]-TSim[[#This Row],[AportesReales]]</f>
        <v>8931733.9072399214</v>
      </c>
      <c r="F840" s="19">
        <f>IF(TSim[[#This Row],[ValorFinalReal]]&gt;=Meta,1,0)</f>
        <v>0</v>
      </c>
      <c r="G840" s="21">
        <v>1.2983911419210961E-3</v>
      </c>
    </row>
    <row r="841" spans="1:7" ht="16.95" customHeight="1">
      <c r="A841" s="11">
        <v>833</v>
      </c>
      <c r="B841" s="24">
        <v>90588246.998673588</v>
      </c>
      <c r="C841" s="24">
        <v>64836275.964917317</v>
      </c>
      <c r="D841" s="24">
        <v>76845009.913545921</v>
      </c>
      <c r="E841" s="24">
        <f>TSim[[#This Row],[ValorFinalReal]]-TSim[[#This Row],[AportesReales]]</f>
        <v>12008733.948628604</v>
      </c>
      <c r="F841" s="19">
        <f>IF(TSim[[#This Row],[ValorFinalReal]]&gt;=Meta,1,0)</f>
        <v>0</v>
      </c>
      <c r="G841" s="21">
        <v>0</v>
      </c>
    </row>
    <row r="842" spans="1:7" ht="16.95" customHeight="1">
      <c r="A842" s="11">
        <v>834</v>
      </c>
      <c r="B842" s="24">
        <v>84525388.501304463</v>
      </c>
      <c r="C842" s="24">
        <v>64863389.92615027</v>
      </c>
      <c r="D842" s="24">
        <v>73689814.178566173</v>
      </c>
      <c r="E842" s="24">
        <f>TSim[[#This Row],[ValorFinalReal]]-TSim[[#This Row],[AportesReales]]</f>
        <v>8826424.2524159029</v>
      </c>
      <c r="F842" s="19">
        <f>IF(TSim[[#This Row],[ValorFinalReal]]&gt;=Meta,1,0)</f>
        <v>0</v>
      </c>
      <c r="G842" s="21">
        <v>0</v>
      </c>
    </row>
    <row r="843" spans="1:7" ht="16.95" customHeight="1">
      <c r="A843" s="11">
        <v>835</v>
      </c>
      <c r="B843" s="24">
        <v>94392914.09668602</v>
      </c>
      <c r="C843" s="24">
        <v>64853090.201604158</v>
      </c>
      <c r="D843" s="24">
        <v>81422789.577129096</v>
      </c>
      <c r="E843" s="24">
        <f>TSim[[#This Row],[ValorFinalReal]]-TSim[[#This Row],[AportesReales]]</f>
        <v>16569699.375524938</v>
      </c>
      <c r="F843" s="19">
        <f>IF(TSim[[#This Row],[ValorFinalReal]]&gt;=Meta,1,0)</f>
        <v>1</v>
      </c>
      <c r="G843" s="21">
        <v>2.8539594769834138E-3</v>
      </c>
    </row>
    <row r="844" spans="1:7" ht="16.95" customHeight="1">
      <c r="A844" s="11">
        <v>836</v>
      </c>
      <c r="B844" s="24">
        <v>94564773.807494789</v>
      </c>
      <c r="C844" s="24">
        <v>64934312.888983943</v>
      </c>
      <c r="D844" s="24">
        <v>88487713.71298638</v>
      </c>
      <c r="E844" s="24">
        <f>TSim[[#This Row],[ValorFinalReal]]-TSim[[#This Row],[AportesReales]]</f>
        <v>23553400.824002437</v>
      </c>
      <c r="F844" s="19">
        <f>IF(TSim[[#This Row],[ValorFinalReal]]&gt;=Meta,1,0)</f>
        <v>1</v>
      </c>
      <c r="G844" s="21">
        <v>0</v>
      </c>
    </row>
    <row r="845" spans="1:7" ht="16.95" customHeight="1">
      <c r="A845" s="11">
        <v>837</v>
      </c>
      <c r="B845" s="24">
        <v>88482031.173415795</v>
      </c>
      <c r="C845" s="24">
        <v>64869481.325608432</v>
      </c>
      <c r="D845" s="24">
        <v>77622292.769870803</v>
      </c>
      <c r="E845" s="24">
        <f>TSim[[#This Row],[ValorFinalReal]]-TSim[[#This Row],[AportesReales]]</f>
        <v>12752811.44426237</v>
      </c>
      <c r="F845" s="19">
        <f>IF(TSim[[#This Row],[ValorFinalReal]]&gt;=Meta,1,0)</f>
        <v>0</v>
      </c>
      <c r="G845" s="21">
        <v>0</v>
      </c>
    </row>
    <row r="846" spans="1:7" ht="16.95" customHeight="1">
      <c r="A846" s="11">
        <v>838</v>
      </c>
      <c r="B846" s="24">
        <v>81183144.121610001</v>
      </c>
      <c r="C846" s="24">
        <v>64887170.883489244</v>
      </c>
      <c r="D846" s="24">
        <v>72480066.934577033</v>
      </c>
      <c r="E846" s="24">
        <f>TSim[[#This Row],[ValorFinalReal]]-TSim[[#This Row],[AportesReales]]</f>
        <v>7592896.0510877892</v>
      </c>
      <c r="F846" s="19">
        <f>IF(TSim[[#This Row],[ValorFinalReal]]&gt;=Meta,1,0)</f>
        <v>0</v>
      </c>
      <c r="G846" s="21">
        <v>8.6191989225505861E-3</v>
      </c>
    </row>
    <row r="847" spans="1:7" ht="16.95" customHeight="1">
      <c r="A847" s="11">
        <v>839</v>
      </c>
      <c r="B847" s="24">
        <v>80174875.13654007</v>
      </c>
      <c r="C847" s="24">
        <v>64895637.454262443</v>
      </c>
      <c r="D847" s="24">
        <v>72189710.367336184</v>
      </c>
      <c r="E847" s="24">
        <f>TSim[[#This Row],[ValorFinalReal]]-TSim[[#This Row],[AportesReales]]</f>
        <v>7294072.9130737409</v>
      </c>
      <c r="F847" s="19">
        <f>IF(TSim[[#This Row],[ValorFinalReal]]&gt;=Meta,1,0)</f>
        <v>0</v>
      </c>
      <c r="G847" s="21">
        <v>0</v>
      </c>
    </row>
    <row r="848" spans="1:7" ht="16.95" customHeight="1">
      <c r="A848" s="11">
        <v>840</v>
      </c>
      <c r="B848" s="24">
        <v>102190396.4446601</v>
      </c>
      <c r="C848" s="24">
        <v>64788541.13413959</v>
      </c>
      <c r="D848" s="24">
        <v>82645749.821221724</v>
      </c>
      <c r="E848" s="24">
        <f>TSim[[#This Row],[ValorFinalReal]]-TSim[[#This Row],[AportesReales]]</f>
        <v>17857208.687082134</v>
      </c>
      <c r="F848" s="19">
        <f>IF(TSim[[#This Row],[ValorFinalReal]]&gt;=Meta,1,0)</f>
        <v>1</v>
      </c>
      <c r="G848" s="21">
        <v>0</v>
      </c>
    </row>
    <row r="849" spans="1:7" ht="16.95" customHeight="1">
      <c r="A849" s="11">
        <v>841</v>
      </c>
      <c r="B849" s="24">
        <v>81552577.555755898</v>
      </c>
      <c r="C849" s="24">
        <v>64733135.589712404</v>
      </c>
      <c r="D849" s="24">
        <v>62390557.91334115</v>
      </c>
      <c r="E849" s="24">
        <f>TSim[[#This Row],[ValorFinalReal]]-TSim[[#This Row],[AportesReales]]</f>
        <v>-2342577.676371254</v>
      </c>
      <c r="F849" s="19">
        <f>IF(TSim[[#This Row],[ValorFinalReal]]&gt;=Meta,1,0)</f>
        <v>0</v>
      </c>
      <c r="G849" s="21">
        <v>9.3332577915821169E-3</v>
      </c>
    </row>
    <row r="850" spans="1:7" ht="16.95" customHeight="1">
      <c r="A850" s="11">
        <v>842</v>
      </c>
      <c r="B850" s="24">
        <v>90922853.647678301</v>
      </c>
      <c r="C850" s="24">
        <v>64714366.306199007</v>
      </c>
      <c r="D850" s="24">
        <v>68261592.55844903</v>
      </c>
      <c r="E850" s="24">
        <f>TSim[[#This Row],[ValorFinalReal]]-TSim[[#This Row],[AportesReales]]</f>
        <v>3547226.2522500232</v>
      </c>
      <c r="F850" s="19">
        <f>IF(TSim[[#This Row],[ValorFinalReal]]&gt;=Meta,1,0)</f>
        <v>0</v>
      </c>
      <c r="G850" s="21">
        <v>1.235223326724322E-3</v>
      </c>
    </row>
    <row r="851" spans="1:7" ht="16.95" customHeight="1">
      <c r="A851" s="11">
        <v>843</v>
      </c>
      <c r="B851" s="24">
        <v>106688275.28481179</v>
      </c>
      <c r="C851" s="24">
        <v>64672446.687250622</v>
      </c>
      <c r="D851" s="24">
        <v>76782517.416779965</v>
      </c>
      <c r="E851" s="24">
        <f>TSim[[#This Row],[ValorFinalReal]]-TSim[[#This Row],[AportesReales]]</f>
        <v>12110070.729529344</v>
      </c>
      <c r="F851" s="19">
        <f>IF(TSim[[#This Row],[ValorFinalReal]]&gt;=Meta,1,0)</f>
        <v>0</v>
      </c>
      <c r="G851" s="21">
        <v>1.0409666252216071E-2</v>
      </c>
    </row>
    <row r="852" spans="1:7" ht="16.95" customHeight="1">
      <c r="A852" s="11">
        <v>844</v>
      </c>
      <c r="B852" s="24">
        <v>84756876.621620864</v>
      </c>
      <c r="C852" s="24">
        <v>64867526.311716951</v>
      </c>
      <c r="D852" s="24">
        <v>74196464.172143206</v>
      </c>
      <c r="E852" s="24">
        <f>TSim[[#This Row],[ValorFinalReal]]-TSim[[#This Row],[AportesReales]]</f>
        <v>9328937.8604262546</v>
      </c>
      <c r="F852" s="19">
        <f>IF(TSim[[#This Row],[ValorFinalReal]]&gt;=Meta,1,0)</f>
        <v>0</v>
      </c>
      <c r="G852" s="21">
        <v>2.6784232263665769E-4</v>
      </c>
    </row>
    <row r="853" spans="1:7" ht="16.95" customHeight="1">
      <c r="A853" s="11">
        <v>845</v>
      </c>
      <c r="B853" s="24">
        <v>85896793.693657428</v>
      </c>
      <c r="C853" s="24">
        <v>64977597.658729777</v>
      </c>
      <c r="D853" s="24">
        <v>83946858.108743548</v>
      </c>
      <c r="E853" s="24">
        <f>TSim[[#This Row],[ValorFinalReal]]-TSim[[#This Row],[AportesReales]]</f>
        <v>18969260.450013772</v>
      </c>
      <c r="F853" s="19">
        <f>IF(TSim[[#This Row],[ValorFinalReal]]&gt;=Meta,1,0)</f>
        <v>1</v>
      </c>
      <c r="G853" s="21">
        <v>0</v>
      </c>
    </row>
    <row r="854" spans="1:7" ht="16.95" customHeight="1">
      <c r="A854" s="11">
        <v>846</v>
      </c>
      <c r="B854" s="24">
        <v>100915793.71053571</v>
      </c>
      <c r="C854" s="24">
        <v>64884642.119147137</v>
      </c>
      <c r="D854" s="24">
        <v>89822033.599964395</v>
      </c>
      <c r="E854" s="24">
        <f>TSim[[#This Row],[ValorFinalReal]]-TSim[[#This Row],[AportesReales]]</f>
        <v>24937391.480817258</v>
      </c>
      <c r="F854" s="19">
        <f>IF(TSim[[#This Row],[ValorFinalReal]]&gt;=Meta,1,0)</f>
        <v>1</v>
      </c>
      <c r="G854" s="21">
        <v>0</v>
      </c>
    </row>
    <row r="855" spans="1:7" ht="16.95" customHeight="1">
      <c r="A855" s="11">
        <v>847</v>
      </c>
      <c r="B855" s="24">
        <v>95533066.155115694</v>
      </c>
      <c r="C855" s="24">
        <v>64884417.339467809</v>
      </c>
      <c r="D855" s="24">
        <v>85059060.731911704</v>
      </c>
      <c r="E855" s="24">
        <f>TSim[[#This Row],[ValorFinalReal]]-TSim[[#This Row],[AportesReales]]</f>
        <v>20174643.392443895</v>
      </c>
      <c r="F855" s="19">
        <f>IF(TSim[[#This Row],[ValorFinalReal]]&gt;=Meta,1,0)</f>
        <v>1</v>
      </c>
      <c r="G855" s="21">
        <v>1.5183213689927141E-2</v>
      </c>
    </row>
    <row r="856" spans="1:7" ht="16.95" customHeight="1">
      <c r="A856" s="11">
        <v>848</v>
      </c>
      <c r="B856" s="24">
        <v>80970288.736756369</v>
      </c>
      <c r="C856" s="24">
        <v>65017856.22276032</v>
      </c>
      <c r="D856" s="24">
        <v>82406439.106346086</v>
      </c>
      <c r="E856" s="24">
        <f>TSim[[#This Row],[ValorFinalReal]]-TSim[[#This Row],[AportesReales]]</f>
        <v>17388582.883585766</v>
      </c>
      <c r="F856" s="19">
        <f>IF(TSim[[#This Row],[ValorFinalReal]]&gt;=Meta,1,0)</f>
        <v>1</v>
      </c>
      <c r="G856" s="21">
        <v>2.113645811464004E-3</v>
      </c>
    </row>
    <row r="857" spans="1:7" ht="16.95" customHeight="1">
      <c r="A857" s="11">
        <v>849</v>
      </c>
      <c r="B857" s="24">
        <v>93449462.14722383</v>
      </c>
      <c r="C857" s="24">
        <v>64913378.07877785</v>
      </c>
      <c r="D857" s="24">
        <v>85621360.826916903</v>
      </c>
      <c r="E857" s="24">
        <f>TSim[[#This Row],[ValorFinalReal]]-TSim[[#This Row],[AportesReales]]</f>
        <v>20707982.748139054</v>
      </c>
      <c r="F857" s="19">
        <f>IF(TSim[[#This Row],[ValorFinalReal]]&gt;=Meta,1,0)</f>
        <v>1</v>
      </c>
      <c r="G857" s="21">
        <v>1.1302939171655041E-2</v>
      </c>
    </row>
    <row r="858" spans="1:7" ht="16.95" customHeight="1">
      <c r="A858" s="11">
        <v>850</v>
      </c>
      <c r="B858" s="24">
        <v>81022243.052542284</v>
      </c>
      <c r="C858" s="24">
        <v>64837273.54606735</v>
      </c>
      <c r="D858" s="24">
        <v>68818329.58828713</v>
      </c>
      <c r="E858" s="24">
        <f>TSim[[#This Row],[ValorFinalReal]]-TSim[[#This Row],[AportesReales]]</f>
        <v>3981056.0422197804</v>
      </c>
      <c r="F858" s="19">
        <f>IF(TSim[[#This Row],[ValorFinalReal]]&gt;=Meta,1,0)</f>
        <v>0</v>
      </c>
      <c r="G858" s="21">
        <v>0</v>
      </c>
    </row>
    <row r="859" spans="1:7" ht="16.95" customHeight="1">
      <c r="A859" s="11">
        <v>851</v>
      </c>
      <c r="B859" s="24">
        <v>95231185.343134075</v>
      </c>
      <c r="C859" s="24">
        <v>64852882.097117312</v>
      </c>
      <c r="D859" s="24">
        <v>82160661.22282064</v>
      </c>
      <c r="E859" s="24">
        <f>TSim[[#This Row],[ValorFinalReal]]-TSim[[#This Row],[AportesReales]]</f>
        <v>17307779.125703327</v>
      </c>
      <c r="F859" s="19">
        <f>IF(TSim[[#This Row],[ValorFinalReal]]&gt;=Meta,1,0)</f>
        <v>1</v>
      </c>
      <c r="G859" s="21">
        <v>8.4185202309084994E-3</v>
      </c>
    </row>
    <row r="860" spans="1:7" ht="16.95" customHeight="1">
      <c r="A860" s="11">
        <v>852</v>
      </c>
      <c r="B860" s="24">
        <v>89570183.582682192</v>
      </c>
      <c r="C860" s="24">
        <v>64827799.425431028</v>
      </c>
      <c r="D860" s="24">
        <v>75342566.267723203</v>
      </c>
      <c r="E860" s="24">
        <f>TSim[[#This Row],[ValorFinalReal]]-TSim[[#This Row],[AportesReales]]</f>
        <v>10514766.842292175</v>
      </c>
      <c r="F860" s="19">
        <f>IF(TSim[[#This Row],[ValorFinalReal]]&gt;=Meta,1,0)</f>
        <v>0</v>
      </c>
      <c r="G860" s="21">
        <v>3.0270693542895351E-3</v>
      </c>
    </row>
    <row r="861" spans="1:7" ht="16.95" customHeight="1">
      <c r="A861" s="11">
        <v>853</v>
      </c>
      <c r="B861" s="24">
        <v>105902955.0789226</v>
      </c>
      <c r="C861" s="24">
        <v>64791138.405975737</v>
      </c>
      <c r="D861" s="24">
        <v>85849610.38967447</v>
      </c>
      <c r="E861" s="24">
        <f>TSim[[#This Row],[ValorFinalReal]]-TSim[[#This Row],[AportesReales]]</f>
        <v>21058471.983698733</v>
      </c>
      <c r="F861" s="19">
        <f>IF(TSim[[#This Row],[ValorFinalReal]]&gt;=Meta,1,0)</f>
        <v>1</v>
      </c>
      <c r="G861" s="21">
        <v>2.7117174444777352E-3</v>
      </c>
    </row>
    <row r="862" spans="1:7" ht="16.95" customHeight="1">
      <c r="A862" s="11">
        <v>854</v>
      </c>
      <c r="B862" s="24">
        <v>95654064.237867266</v>
      </c>
      <c r="C862" s="24">
        <v>64851266.667815223</v>
      </c>
      <c r="D862" s="24">
        <v>82337446.450598344</v>
      </c>
      <c r="E862" s="24">
        <f>TSim[[#This Row],[ValorFinalReal]]-TSim[[#This Row],[AportesReales]]</f>
        <v>17486179.782783121</v>
      </c>
      <c r="F862" s="19">
        <f>IF(TSim[[#This Row],[ValorFinalReal]]&gt;=Meta,1,0)</f>
        <v>1</v>
      </c>
      <c r="G862" s="21">
        <v>0</v>
      </c>
    </row>
    <row r="863" spans="1:7" ht="16.95" customHeight="1">
      <c r="A863" s="11">
        <v>855</v>
      </c>
      <c r="B863" s="24">
        <v>93252758.352389008</v>
      </c>
      <c r="C863" s="24">
        <v>64833907.653822832</v>
      </c>
      <c r="D863" s="24">
        <v>78926648.990620106</v>
      </c>
      <c r="E863" s="24">
        <f>TSim[[#This Row],[ValorFinalReal]]-TSim[[#This Row],[AportesReales]]</f>
        <v>14092741.336797275</v>
      </c>
      <c r="F863" s="19">
        <f>IF(TSim[[#This Row],[ValorFinalReal]]&gt;=Meta,1,0)</f>
        <v>0</v>
      </c>
      <c r="G863" s="21">
        <v>0</v>
      </c>
    </row>
    <row r="864" spans="1:7" ht="16.95" customHeight="1">
      <c r="A864" s="11">
        <v>856</v>
      </c>
      <c r="B864" s="24">
        <v>103802147.9161616</v>
      </c>
      <c r="C864" s="24">
        <v>64810378.128144518</v>
      </c>
      <c r="D864" s="24">
        <v>85779697.249854401</v>
      </c>
      <c r="E864" s="24">
        <f>TSim[[#This Row],[ValorFinalReal]]-TSim[[#This Row],[AportesReales]]</f>
        <v>20969319.121709883</v>
      </c>
      <c r="F864" s="19">
        <f>IF(TSim[[#This Row],[ValorFinalReal]]&gt;=Meta,1,0)</f>
        <v>1</v>
      </c>
      <c r="G864" s="21">
        <v>0</v>
      </c>
    </row>
    <row r="865" spans="1:7" ht="16.95" customHeight="1">
      <c r="A865" s="11">
        <v>857</v>
      </c>
      <c r="B865" s="24">
        <v>103209747.58735541</v>
      </c>
      <c r="C865" s="24">
        <v>64762321.369547799</v>
      </c>
      <c r="D865" s="24">
        <v>81286239.735463202</v>
      </c>
      <c r="E865" s="24">
        <f>TSim[[#This Row],[ValorFinalReal]]-TSim[[#This Row],[AportesReales]]</f>
        <v>16523918.365915403</v>
      </c>
      <c r="F865" s="19">
        <f>IF(TSim[[#This Row],[ValorFinalReal]]&gt;=Meta,1,0)</f>
        <v>1</v>
      </c>
      <c r="G865" s="21">
        <v>1.191120691650394E-3</v>
      </c>
    </row>
    <row r="866" spans="1:7" ht="16.95" customHeight="1">
      <c r="A866" s="11">
        <v>858</v>
      </c>
      <c r="B866" s="24">
        <v>102704556.4630098</v>
      </c>
      <c r="C866" s="24">
        <v>64682408.829171583</v>
      </c>
      <c r="D866" s="24">
        <v>74665812.311564907</v>
      </c>
      <c r="E866" s="24">
        <f>TSim[[#This Row],[ValorFinalReal]]-TSim[[#This Row],[AportesReales]]</f>
        <v>9983403.4823933244</v>
      </c>
      <c r="F866" s="19">
        <f>IF(TSim[[#This Row],[ValorFinalReal]]&gt;=Meta,1,0)</f>
        <v>0</v>
      </c>
      <c r="G866" s="21">
        <v>5.7423671345807614E-3</v>
      </c>
    </row>
    <row r="867" spans="1:7" ht="16.95" customHeight="1">
      <c r="A867" s="11">
        <v>859</v>
      </c>
      <c r="B867" s="24">
        <v>92190704.933586225</v>
      </c>
      <c r="C867" s="24">
        <v>64714554.635421969</v>
      </c>
      <c r="D867" s="24">
        <v>69231544.554575145</v>
      </c>
      <c r="E867" s="24">
        <f>TSim[[#This Row],[ValorFinalReal]]-TSim[[#This Row],[AportesReales]]</f>
        <v>4516989.9191531762</v>
      </c>
      <c r="F867" s="19">
        <f>IF(TSim[[#This Row],[ValorFinalReal]]&gt;=Meta,1,0)</f>
        <v>0</v>
      </c>
      <c r="G867" s="21">
        <v>7.9446555539974817E-3</v>
      </c>
    </row>
    <row r="868" spans="1:7" ht="16.95" customHeight="1">
      <c r="A868" s="11">
        <v>860</v>
      </c>
      <c r="B868" s="24">
        <v>85380481.829025716</v>
      </c>
      <c r="C868" s="24">
        <v>64810882.757506147</v>
      </c>
      <c r="D868" s="24">
        <v>70612778.008360147</v>
      </c>
      <c r="E868" s="24">
        <f>TSim[[#This Row],[ValorFinalReal]]-TSim[[#This Row],[AportesReales]]</f>
        <v>5801895.2508540004</v>
      </c>
      <c r="F868" s="19">
        <f>IF(TSim[[#This Row],[ValorFinalReal]]&gt;=Meta,1,0)</f>
        <v>0</v>
      </c>
      <c r="G868" s="21">
        <v>4.7377381253885797E-3</v>
      </c>
    </row>
    <row r="869" spans="1:7" ht="16.95" customHeight="1">
      <c r="A869" s="11">
        <v>861</v>
      </c>
      <c r="B869" s="24">
        <v>70092709.951685175</v>
      </c>
      <c r="C869" s="24">
        <v>64909336.789388113</v>
      </c>
      <c r="D869" s="24">
        <v>63977364.83745876</v>
      </c>
      <c r="E869" s="24">
        <f>TSim[[#This Row],[ValorFinalReal]]-TSim[[#This Row],[AportesReales]]</f>
        <v>-931971.95192935318</v>
      </c>
      <c r="F869" s="19">
        <f>IF(TSim[[#This Row],[ValorFinalReal]]&gt;=Meta,1,0)</f>
        <v>0</v>
      </c>
      <c r="G869" s="21">
        <v>9.9779132725230646E-4</v>
      </c>
    </row>
    <row r="870" spans="1:7" ht="16.95" customHeight="1">
      <c r="A870" s="11">
        <v>862</v>
      </c>
      <c r="B870" s="24">
        <v>89597953.125241384</v>
      </c>
      <c r="C870" s="24">
        <v>64844431.034885637</v>
      </c>
      <c r="D870" s="24">
        <v>76633169.172970802</v>
      </c>
      <c r="E870" s="24">
        <f>TSim[[#This Row],[ValorFinalReal]]-TSim[[#This Row],[AportesReales]]</f>
        <v>11788738.138085164</v>
      </c>
      <c r="F870" s="19">
        <f>IF(TSim[[#This Row],[ValorFinalReal]]&gt;=Meta,1,0)</f>
        <v>0</v>
      </c>
      <c r="G870" s="21">
        <v>1.1044433787538719E-2</v>
      </c>
    </row>
    <row r="871" spans="1:7" ht="16.95" customHeight="1">
      <c r="A871" s="11">
        <v>863</v>
      </c>
      <c r="B871" s="24">
        <v>85555507.972674757</v>
      </c>
      <c r="C871" s="24">
        <v>64837423.253696121</v>
      </c>
      <c r="D871" s="24">
        <v>72644450.845671445</v>
      </c>
      <c r="E871" s="24">
        <f>TSim[[#This Row],[ValorFinalReal]]-TSim[[#This Row],[AportesReales]]</f>
        <v>7807027.5919753239</v>
      </c>
      <c r="F871" s="19">
        <f>IF(TSim[[#This Row],[ValorFinalReal]]&gt;=Meta,1,0)</f>
        <v>0</v>
      </c>
      <c r="G871" s="21">
        <v>3.5202273661699701E-3</v>
      </c>
    </row>
    <row r="872" spans="1:7" ht="16.95" customHeight="1">
      <c r="A872" s="11">
        <v>864</v>
      </c>
      <c r="B872" s="24">
        <v>87805705.665143192</v>
      </c>
      <c r="C872" s="24">
        <v>64928422.500483617</v>
      </c>
      <c r="D872" s="24">
        <v>81709307.635032892</v>
      </c>
      <c r="E872" s="24">
        <f>TSim[[#This Row],[ValorFinalReal]]-TSim[[#This Row],[AportesReales]]</f>
        <v>16780885.134549275</v>
      </c>
      <c r="F872" s="19">
        <f>IF(TSim[[#This Row],[ValorFinalReal]]&gt;=Meta,1,0)</f>
        <v>1</v>
      </c>
      <c r="G872" s="21">
        <v>0</v>
      </c>
    </row>
    <row r="873" spans="1:7" ht="16.95" customHeight="1">
      <c r="A873" s="11">
        <v>865</v>
      </c>
      <c r="B873" s="24">
        <v>82075700.401224166</v>
      </c>
      <c r="C873" s="24">
        <v>64854164.266454257</v>
      </c>
      <c r="D873" s="24">
        <v>70879432.843742296</v>
      </c>
      <c r="E873" s="24">
        <f>TSim[[#This Row],[ValorFinalReal]]-TSim[[#This Row],[AportesReales]]</f>
        <v>6025268.577288039</v>
      </c>
      <c r="F873" s="19">
        <f>IF(TSim[[#This Row],[ValorFinalReal]]&gt;=Meta,1,0)</f>
        <v>0</v>
      </c>
      <c r="G873" s="21">
        <v>8.6916106627750178E-3</v>
      </c>
    </row>
    <row r="874" spans="1:7" ht="16.95" customHeight="1">
      <c r="A874" s="11">
        <v>866</v>
      </c>
      <c r="B874" s="24">
        <v>80246391.725782782</v>
      </c>
      <c r="C874" s="24">
        <v>64874203.485121891</v>
      </c>
      <c r="D874" s="24">
        <v>70733672.475229949</v>
      </c>
      <c r="E874" s="24">
        <f>TSim[[#This Row],[ValorFinalReal]]-TSim[[#This Row],[AportesReales]]</f>
        <v>5859468.9901080579</v>
      </c>
      <c r="F874" s="19">
        <f>IF(TSim[[#This Row],[ValorFinalReal]]&gt;=Meta,1,0)</f>
        <v>0</v>
      </c>
      <c r="G874" s="21">
        <v>1.349685229713982E-2</v>
      </c>
    </row>
    <row r="875" spans="1:7" ht="16.95" customHeight="1">
      <c r="A875" s="11">
        <v>867</v>
      </c>
      <c r="B875" s="24">
        <v>89822368.987216264</v>
      </c>
      <c r="C875" s="24">
        <v>64721689.70607803</v>
      </c>
      <c r="D875" s="24">
        <v>67928147.235372603</v>
      </c>
      <c r="E875" s="24">
        <f>TSim[[#This Row],[ValorFinalReal]]-TSim[[#This Row],[AportesReales]]</f>
        <v>3206457.5292945728</v>
      </c>
      <c r="F875" s="19">
        <f>IF(TSim[[#This Row],[ValorFinalReal]]&gt;=Meta,1,0)</f>
        <v>0</v>
      </c>
      <c r="G875" s="21">
        <v>1.7745491118273171E-2</v>
      </c>
    </row>
    <row r="876" spans="1:7" ht="16.95" customHeight="1">
      <c r="A876" s="11">
        <v>868</v>
      </c>
      <c r="B876" s="24">
        <v>87572311.033006996</v>
      </c>
      <c r="C876" s="24">
        <v>64783524.168820292</v>
      </c>
      <c r="D876" s="24">
        <v>70450447.711337</v>
      </c>
      <c r="E876" s="24">
        <f>TSim[[#This Row],[ValorFinalReal]]-TSim[[#This Row],[AportesReales]]</f>
        <v>5666923.5425167084</v>
      </c>
      <c r="F876" s="19">
        <f>IF(TSim[[#This Row],[ValorFinalReal]]&gt;=Meta,1,0)</f>
        <v>0</v>
      </c>
      <c r="G876" s="21">
        <v>3.0849149009959391E-3</v>
      </c>
    </row>
    <row r="877" spans="1:7" ht="16.95" customHeight="1">
      <c r="A877" s="11">
        <v>869</v>
      </c>
      <c r="B877" s="24">
        <v>82906209.670311555</v>
      </c>
      <c r="C877" s="24">
        <v>64822022.326823033</v>
      </c>
      <c r="D877" s="24">
        <v>69331644.956655845</v>
      </c>
      <c r="E877" s="24">
        <f>TSim[[#This Row],[ValorFinalReal]]-TSim[[#This Row],[AportesReales]]</f>
        <v>4509622.6298328117</v>
      </c>
      <c r="F877" s="19">
        <f>IF(TSim[[#This Row],[ValorFinalReal]]&gt;=Meta,1,0)</f>
        <v>0</v>
      </c>
      <c r="G877" s="21">
        <v>2.3183791611823601E-2</v>
      </c>
    </row>
    <row r="878" spans="1:7" ht="16.95" customHeight="1">
      <c r="A878" s="11">
        <v>870</v>
      </c>
      <c r="B878" s="24">
        <v>104956930.03758711</v>
      </c>
      <c r="C878" s="24">
        <v>64891014.396390222</v>
      </c>
      <c r="D878" s="24">
        <v>94063190.739859</v>
      </c>
      <c r="E878" s="24">
        <f>TSim[[#This Row],[ValorFinalReal]]-TSim[[#This Row],[AportesReales]]</f>
        <v>29172176.343468778</v>
      </c>
      <c r="F878" s="19">
        <f>IF(TSim[[#This Row],[ValorFinalReal]]&gt;=Meta,1,0)</f>
        <v>1</v>
      </c>
      <c r="G878" s="21">
        <v>0</v>
      </c>
    </row>
    <row r="879" spans="1:7" ht="16.95" customHeight="1">
      <c r="A879" s="11">
        <v>871</v>
      </c>
      <c r="B879" s="24">
        <v>91652251.146525607</v>
      </c>
      <c r="C879" s="24">
        <v>64687350.473472036</v>
      </c>
      <c r="D879" s="24">
        <v>66949563.546439134</v>
      </c>
      <c r="E879" s="24">
        <f>TSim[[#This Row],[ValorFinalReal]]-TSim[[#This Row],[AportesReales]]</f>
        <v>2262213.0729670972</v>
      </c>
      <c r="F879" s="19">
        <f>IF(TSim[[#This Row],[ValorFinalReal]]&gt;=Meta,1,0)</f>
        <v>0</v>
      </c>
      <c r="G879" s="21">
        <v>1.2049664284059509E-3</v>
      </c>
    </row>
    <row r="880" spans="1:7" ht="16.95" customHeight="1">
      <c r="A880" s="11">
        <v>872</v>
      </c>
      <c r="B880" s="24">
        <v>70839156.868211508</v>
      </c>
      <c r="C880" s="24">
        <v>65090335.278695703</v>
      </c>
      <c r="D880" s="24">
        <v>77484769.583073527</v>
      </c>
      <c r="E880" s="24">
        <f>TSim[[#This Row],[ValorFinalReal]]-TSim[[#This Row],[AportesReales]]</f>
        <v>12394434.304377824</v>
      </c>
      <c r="F880" s="19">
        <f>IF(TSim[[#This Row],[ValorFinalReal]]&gt;=Meta,1,0)</f>
        <v>0</v>
      </c>
      <c r="G880" s="21">
        <v>1.1190180501947641E-2</v>
      </c>
    </row>
    <row r="881" spans="1:7" ht="16.95" customHeight="1">
      <c r="A881" s="11">
        <v>873</v>
      </c>
      <c r="B881" s="24">
        <v>91101517.51887235</v>
      </c>
      <c r="C881" s="24">
        <v>64819339.589276031</v>
      </c>
      <c r="D881" s="24">
        <v>75953154.358219773</v>
      </c>
      <c r="E881" s="24">
        <f>TSim[[#This Row],[ValorFinalReal]]-TSim[[#This Row],[AportesReales]]</f>
        <v>11133814.768943742</v>
      </c>
      <c r="F881" s="19">
        <f>IF(TSim[[#This Row],[ValorFinalReal]]&gt;=Meta,1,0)</f>
        <v>0</v>
      </c>
      <c r="G881" s="21">
        <v>2.0864712017683029E-3</v>
      </c>
    </row>
    <row r="882" spans="1:7" ht="16.95" customHeight="1">
      <c r="A882" s="11">
        <v>874</v>
      </c>
      <c r="B882" s="24">
        <v>73743131.705664217</v>
      </c>
      <c r="C882" s="24">
        <v>64987705.422597773</v>
      </c>
      <c r="D882" s="24">
        <v>72820186.186879724</v>
      </c>
      <c r="E882" s="24">
        <f>TSim[[#This Row],[ValorFinalReal]]-TSim[[#This Row],[AportesReales]]</f>
        <v>7832480.7642819509</v>
      </c>
      <c r="F882" s="19">
        <f>IF(TSim[[#This Row],[ValorFinalReal]]&gt;=Meta,1,0)</f>
        <v>0</v>
      </c>
      <c r="G882" s="21">
        <v>1.051302036037538E-3</v>
      </c>
    </row>
    <row r="883" spans="1:7" ht="16.95" customHeight="1">
      <c r="A883" s="11">
        <v>875</v>
      </c>
      <c r="B883" s="24">
        <v>104697994.0529151</v>
      </c>
      <c r="C883" s="24">
        <v>64770920.491774961</v>
      </c>
      <c r="D883" s="24">
        <v>83207037.728455499</v>
      </c>
      <c r="E883" s="24">
        <f>TSim[[#This Row],[ValorFinalReal]]-TSim[[#This Row],[AportesReales]]</f>
        <v>18436117.236680537</v>
      </c>
      <c r="F883" s="19">
        <f>IF(TSim[[#This Row],[ValorFinalReal]]&gt;=Meta,1,0)</f>
        <v>1</v>
      </c>
      <c r="G883" s="21">
        <v>0</v>
      </c>
    </row>
    <row r="884" spans="1:7" ht="16.95" customHeight="1">
      <c r="A884" s="11">
        <v>876</v>
      </c>
      <c r="B884" s="24">
        <v>83177486.168063864</v>
      </c>
      <c r="C884" s="24">
        <v>64718665.552856714</v>
      </c>
      <c r="D884" s="24">
        <v>62714846.16185452</v>
      </c>
      <c r="E884" s="24">
        <f>TSim[[#This Row],[ValorFinalReal]]-TSim[[#This Row],[AportesReales]]</f>
        <v>-2003819.3910021931</v>
      </c>
      <c r="F884" s="19">
        <f>IF(TSim[[#This Row],[ValorFinalReal]]&gt;=Meta,1,0)</f>
        <v>0</v>
      </c>
      <c r="G884" s="21">
        <v>1.0137769607211579E-2</v>
      </c>
    </row>
    <row r="885" spans="1:7" ht="16.95" customHeight="1">
      <c r="A885" s="11">
        <v>877</v>
      </c>
      <c r="B885" s="24">
        <v>103300336.6644251</v>
      </c>
      <c r="C885" s="24">
        <v>64762794.417764403</v>
      </c>
      <c r="D885" s="24">
        <v>81420781.160905361</v>
      </c>
      <c r="E885" s="24">
        <f>TSim[[#This Row],[ValorFinalReal]]-TSim[[#This Row],[AportesReales]]</f>
        <v>16657986.743140958</v>
      </c>
      <c r="F885" s="19">
        <f>IF(TSim[[#This Row],[ValorFinalReal]]&gt;=Meta,1,0)</f>
        <v>1</v>
      </c>
      <c r="G885" s="21">
        <v>0</v>
      </c>
    </row>
    <row r="886" spans="1:7" ht="16.95" customHeight="1">
      <c r="A886" s="11">
        <v>878</v>
      </c>
      <c r="B886" s="24">
        <v>79700880.498720333</v>
      </c>
      <c r="C886" s="24">
        <v>65088017.866313741</v>
      </c>
      <c r="D886" s="24">
        <v>86973061.198324949</v>
      </c>
      <c r="E886" s="24">
        <f>TSim[[#This Row],[ValorFinalReal]]-TSim[[#This Row],[AportesReales]]</f>
        <v>21885043.332011208</v>
      </c>
      <c r="F886" s="19">
        <f>IF(TSim[[#This Row],[ValorFinalReal]]&gt;=Meta,1,0)</f>
        <v>1</v>
      </c>
      <c r="G886" s="21">
        <v>7.2497531411701566E-3</v>
      </c>
    </row>
    <row r="887" spans="1:7" ht="16.95" customHeight="1">
      <c r="A887" s="11">
        <v>879</v>
      </c>
      <c r="B887" s="24">
        <v>89104078.630014807</v>
      </c>
      <c r="C887" s="24">
        <v>64875753.78983704</v>
      </c>
      <c r="D887" s="24">
        <v>78652847.659246638</v>
      </c>
      <c r="E887" s="24">
        <f>TSim[[#This Row],[ValorFinalReal]]-TSim[[#This Row],[AportesReales]]</f>
        <v>13777093.869409598</v>
      </c>
      <c r="F887" s="19">
        <f>IF(TSim[[#This Row],[ValorFinalReal]]&gt;=Meta,1,0)</f>
        <v>0</v>
      </c>
      <c r="G887" s="21">
        <v>0</v>
      </c>
    </row>
    <row r="888" spans="1:7" ht="16.95" customHeight="1">
      <c r="A888" s="11">
        <v>880</v>
      </c>
      <c r="B888" s="24">
        <v>94826521.668528154</v>
      </c>
      <c r="C888" s="24">
        <v>64720167.631627619</v>
      </c>
      <c r="D888" s="24">
        <v>71592711.874266356</v>
      </c>
      <c r="E888" s="24">
        <f>TSim[[#This Row],[ValorFinalReal]]-TSim[[#This Row],[AportesReales]]</f>
        <v>6872544.242638737</v>
      </c>
      <c r="F888" s="19">
        <f>IF(TSim[[#This Row],[ValorFinalReal]]&gt;=Meta,1,0)</f>
        <v>0</v>
      </c>
      <c r="G888" s="21">
        <v>1.0117239787761131E-2</v>
      </c>
    </row>
    <row r="889" spans="1:7" ht="16.95" customHeight="1">
      <c r="A889" s="11">
        <v>881</v>
      </c>
      <c r="B889" s="24">
        <v>93730110.10459365</v>
      </c>
      <c r="C889" s="24">
        <v>64819901.573179111</v>
      </c>
      <c r="D889" s="24">
        <v>78217690.421886161</v>
      </c>
      <c r="E889" s="24">
        <f>TSim[[#This Row],[ValorFinalReal]]-TSim[[#This Row],[AportesReales]]</f>
        <v>13397788.84870705</v>
      </c>
      <c r="F889" s="19">
        <f>IF(TSim[[#This Row],[ValorFinalReal]]&gt;=Meta,1,0)</f>
        <v>0</v>
      </c>
      <c r="G889" s="21">
        <v>0</v>
      </c>
    </row>
    <row r="890" spans="1:7" ht="16.95" customHeight="1">
      <c r="A890" s="11">
        <v>882</v>
      </c>
      <c r="B890" s="24">
        <v>98781737.909089699</v>
      </c>
      <c r="C890" s="24">
        <v>64636699.383515231</v>
      </c>
      <c r="D890" s="24">
        <v>68589213.368170962</v>
      </c>
      <c r="E890" s="24">
        <f>TSim[[#This Row],[ValorFinalReal]]-TSim[[#This Row],[AportesReales]]</f>
        <v>3952513.9846557304</v>
      </c>
      <c r="F890" s="19">
        <f>IF(TSim[[#This Row],[ValorFinalReal]]&gt;=Meta,1,0)</f>
        <v>0</v>
      </c>
      <c r="G890" s="21">
        <v>0</v>
      </c>
    </row>
    <row r="891" spans="1:7" ht="16.95" customHeight="1">
      <c r="A891" s="11">
        <v>883</v>
      </c>
      <c r="B891" s="24">
        <v>108725457.2471198</v>
      </c>
      <c r="C891" s="24">
        <v>64653131.265554853</v>
      </c>
      <c r="D891" s="24">
        <v>76747529.451999843</v>
      </c>
      <c r="E891" s="24">
        <f>TSim[[#This Row],[ValorFinalReal]]-TSim[[#This Row],[AportesReales]]</f>
        <v>12094398.18644499</v>
      </c>
      <c r="F891" s="19">
        <f>IF(TSim[[#This Row],[ValorFinalReal]]&gt;=Meta,1,0)</f>
        <v>0</v>
      </c>
      <c r="G891" s="21">
        <v>6.6999588187575121E-3</v>
      </c>
    </row>
    <row r="892" spans="1:7" ht="16.95" customHeight="1">
      <c r="A892" s="11">
        <v>884</v>
      </c>
      <c r="B892" s="24">
        <v>90708864.416034251</v>
      </c>
      <c r="C892" s="24">
        <v>64741003.989795297</v>
      </c>
      <c r="D892" s="24">
        <v>69945607.853619114</v>
      </c>
      <c r="E892" s="24">
        <f>TSim[[#This Row],[ValorFinalReal]]-TSim[[#This Row],[AportesReales]]</f>
        <v>5204603.8638238162</v>
      </c>
      <c r="F892" s="19">
        <f>IF(TSim[[#This Row],[ValorFinalReal]]&gt;=Meta,1,0)</f>
        <v>0</v>
      </c>
      <c r="G892" s="21">
        <v>6.3141756011269026E-3</v>
      </c>
    </row>
    <row r="893" spans="1:7" ht="16.95" customHeight="1">
      <c r="A893" s="11">
        <v>885</v>
      </c>
      <c r="B893" s="24">
        <v>99245488.778790772</v>
      </c>
      <c r="C893" s="24">
        <v>64824136.988176301</v>
      </c>
      <c r="D893" s="24">
        <v>83183121.066750586</v>
      </c>
      <c r="E893" s="24">
        <f>TSim[[#This Row],[ValorFinalReal]]-TSim[[#This Row],[AportesReales]]</f>
        <v>18358984.078574285</v>
      </c>
      <c r="F893" s="19">
        <f>IF(TSim[[#This Row],[ValorFinalReal]]&gt;=Meta,1,0)</f>
        <v>1</v>
      </c>
      <c r="G893" s="21">
        <v>0</v>
      </c>
    </row>
    <row r="894" spans="1:7" ht="16.95" customHeight="1">
      <c r="A894" s="11">
        <v>886</v>
      </c>
      <c r="B894" s="24">
        <v>106272003.0748951</v>
      </c>
      <c r="C894" s="24">
        <v>64695533.98132024</v>
      </c>
      <c r="D894" s="24">
        <v>78272278.534389988</v>
      </c>
      <c r="E894" s="24">
        <f>TSim[[#This Row],[ValorFinalReal]]-TSim[[#This Row],[AportesReales]]</f>
        <v>13576744.553069748</v>
      </c>
      <c r="F894" s="19">
        <f>IF(TSim[[#This Row],[ValorFinalReal]]&gt;=Meta,1,0)</f>
        <v>0</v>
      </c>
      <c r="G894" s="21">
        <v>0</v>
      </c>
    </row>
    <row r="895" spans="1:7" ht="16.95" customHeight="1">
      <c r="A895" s="11">
        <v>887</v>
      </c>
      <c r="B895" s="24">
        <v>78948972.814522117</v>
      </c>
      <c r="C895" s="24">
        <v>64909800.795471802</v>
      </c>
      <c r="D895" s="24">
        <v>72113430.222419977</v>
      </c>
      <c r="E895" s="24">
        <f>TSim[[#This Row],[ValorFinalReal]]-TSim[[#This Row],[AportesReales]]</f>
        <v>7203629.4269481748</v>
      </c>
      <c r="F895" s="19">
        <f>IF(TSim[[#This Row],[ValorFinalReal]]&gt;=Meta,1,0)</f>
        <v>0</v>
      </c>
      <c r="G895" s="21">
        <v>1.2701655024144329E-3</v>
      </c>
    </row>
    <row r="896" spans="1:7" ht="16.95" customHeight="1">
      <c r="A896" s="11">
        <v>888</v>
      </c>
      <c r="B896" s="24">
        <v>86324696.071815267</v>
      </c>
      <c r="C896" s="24">
        <v>64916927.937941574</v>
      </c>
      <c r="D896" s="24">
        <v>79393866.28062208</v>
      </c>
      <c r="E896" s="24">
        <f>TSim[[#This Row],[ValorFinalReal]]-TSim[[#This Row],[AportesReales]]</f>
        <v>14476938.342680506</v>
      </c>
      <c r="F896" s="19">
        <f>IF(TSim[[#This Row],[ValorFinalReal]]&gt;=Meta,1,0)</f>
        <v>0</v>
      </c>
      <c r="G896" s="21">
        <v>5.0444521497039485E-4</v>
      </c>
    </row>
    <row r="897" spans="1:7" ht="16.95" customHeight="1">
      <c r="A897" s="11">
        <v>889</v>
      </c>
      <c r="B897" s="24">
        <v>87876183.911121503</v>
      </c>
      <c r="C897" s="24">
        <v>64813414.376792848</v>
      </c>
      <c r="D897" s="24">
        <v>72881795.412758812</v>
      </c>
      <c r="E897" s="24">
        <f>TSim[[#This Row],[ValorFinalReal]]-TSim[[#This Row],[AportesReales]]</f>
        <v>8068381.0359659642</v>
      </c>
      <c r="F897" s="19">
        <f>IF(TSim[[#This Row],[ValorFinalReal]]&gt;=Meta,1,0)</f>
        <v>0</v>
      </c>
      <c r="G897" s="21">
        <v>0</v>
      </c>
    </row>
    <row r="898" spans="1:7" ht="16.95" customHeight="1">
      <c r="A898" s="11">
        <v>890</v>
      </c>
      <c r="B898" s="24">
        <v>96463108.523560941</v>
      </c>
      <c r="C898" s="24">
        <v>64797972.280312948</v>
      </c>
      <c r="D898" s="24">
        <v>78762299.213970944</v>
      </c>
      <c r="E898" s="24">
        <f>TSim[[#This Row],[ValorFinalReal]]-TSim[[#This Row],[AportesReales]]</f>
        <v>13964326.933657996</v>
      </c>
      <c r="F898" s="19">
        <f>IF(TSim[[#This Row],[ValorFinalReal]]&gt;=Meta,1,0)</f>
        <v>0</v>
      </c>
      <c r="G898" s="21">
        <v>0</v>
      </c>
    </row>
    <row r="899" spans="1:7" ht="16.95" customHeight="1">
      <c r="A899" s="11">
        <v>891</v>
      </c>
      <c r="B899" s="24">
        <v>92802935.273452505</v>
      </c>
      <c r="C899" s="24">
        <v>64832185.919652201</v>
      </c>
      <c r="D899" s="24">
        <v>78409475.858393148</v>
      </c>
      <c r="E899" s="24">
        <f>TSim[[#This Row],[ValorFinalReal]]-TSim[[#This Row],[AportesReales]]</f>
        <v>13577289.938740946</v>
      </c>
      <c r="F899" s="19">
        <f>IF(TSim[[#This Row],[ValorFinalReal]]&gt;=Meta,1,0)</f>
        <v>0</v>
      </c>
      <c r="G899" s="21">
        <v>0</v>
      </c>
    </row>
    <row r="900" spans="1:7" ht="16.95" customHeight="1">
      <c r="A900" s="11">
        <v>892</v>
      </c>
      <c r="B900" s="24">
        <v>90502810.559203699</v>
      </c>
      <c r="C900" s="24">
        <v>64975904.512519859</v>
      </c>
      <c r="D900" s="24">
        <v>88313072.873981893</v>
      </c>
      <c r="E900" s="24">
        <f>TSim[[#This Row],[ValorFinalReal]]-TSim[[#This Row],[AportesReales]]</f>
        <v>23337168.361462034</v>
      </c>
      <c r="F900" s="19">
        <f>IF(TSim[[#This Row],[ValorFinalReal]]&gt;=Meta,1,0)</f>
        <v>1</v>
      </c>
      <c r="G900" s="21">
        <v>6.6126748792783019E-3</v>
      </c>
    </row>
    <row r="901" spans="1:7" ht="16.95" customHeight="1">
      <c r="A901" s="11">
        <v>893</v>
      </c>
      <c r="B901" s="24">
        <v>92290278.800930306</v>
      </c>
      <c r="C901" s="24">
        <v>64859001.441473387</v>
      </c>
      <c r="D901" s="24">
        <v>80116491.852290064</v>
      </c>
      <c r="E901" s="24">
        <f>TSim[[#This Row],[ValorFinalReal]]-TSim[[#This Row],[AportesReales]]</f>
        <v>15257490.410816677</v>
      </c>
      <c r="F901" s="19">
        <f>IF(TSim[[#This Row],[ValorFinalReal]]&gt;=Meta,1,0)</f>
        <v>1</v>
      </c>
      <c r="G901" s="21">
        <v>1.9721137195255371E-2</v>
      </c>
    </row>
    <row r="902" spans="1:7" ht="16.95" customHeight="1">
      <c r="A902" s="11">
        <v>894</v>
      </c>
      <c r="B902" s="24">
        <v>86566363.09305194</v>
      </c>
      <c r="C902" s="24">
        <v>65024861.505374439</v>
      </c>
      <c r="D902" s="24">
        <v>88688071.01778765</v>
      </c>
      <c r="E902" s="24">
        <f>TSim[[#This Row],[ValorFinalReal]]-TSim[[#This Row],[AportesReales]]</f>
        <v>23663209.512413211</v>
      </c>
      <c r="F902" s="19">
        <f>IF(TSim[[#This Row],[ValorFinalReal]]&gt;=Meta,1,0)</f>
        <v>1</v>
      </c>
      <c r="G902" s="21">
        <v>4.3223574631926498E-3</v>
      </c>
    </row>
    <row r="903" spans="1:7" ht="16.95" customHeight="1">
      <c r="A903" s="11">
        <v>895</v>
      </c>
      <c r="B903" s="24">
        <v>81309856.472578302</v>
      </c>
      <c r="C903" s="24">
        <v>64720214.30301065</v>
      </c>
      <c r="D903" s="24">
        <v>61383285.989419527</v>
      </c>
      <c r="E903" s="24">
        <f>TSim[[#This Row],[ValorFinalReal]]-TSim[[#This Row],[AportesReales]]</f>
        <v>-3336928.3135911226</v>
      </c>
      <c r="F903" s="19">
        <f>IF(TSim[[#This Row],[ValorFinalReal]]&gt;=Meta,1,0)</f>
        <v>0</v>
      </c>
      <c r="G903" s="21">
        <v>1.0893857221777379E-2</v>
      </c>
    </row>
    <row r="904" spans="1:7" ht="16.95" customHeight="1">
      <c r="A904" s="11">
        <v>896</v>
      </c>
      <c r="B904" s="24">
        <v>90156873.192322463</v>
      </c>
      <c r="C904" s="24">
        <v>64861079.708928652</v>
      </c>
      <c r="D904" s="24">
        <v>78419395.472031951</v>
      </c>
      <c r="E904" s="24">
        <f>TSim[[#This Row],[ValorFinalReal]]-TSim[[#This Row],[AportesReales]]</f>
        <v>13558315.763103299</v>
      </c>
      <c r="F904" s="19">
        <f>IF(TSim[[#This Row],[ValorFinalReal]]&gt;=Meta,1,0)</f>
        <v>0</v>
      </c>
      <c r="G904" s="21">
        <v>0</v>
      </c>
    </row>
    <row r="905" spans="1:7" ht="16.95" customHeight="1">
      <c r="A905" s="11">
        <v>897</v>
      </c>
      <c r="B905" s="24">
        <v>91553677.532148927</v>
      </c>
      <c r="C905" s="24">
        <v>64826822.182928398</v>
      </c>
      <c r="D905" s="24">
        <v>76940742.281614468</v>
      </c>
      <c r="E905" s="24">
        <f>TSim[[#This Row],[ValorFinalReal]]-TSim[[#This Row],[AportesReales]]</f>
        <v>12113920.098686069</v>
      </c>
      <c r="F905" s="19">
        <f>IF(TSim[[#This Row],[ValorFinalReal]]&gt;=Meta,1,0)</f>
        <v>0</v>
      </c>
      <c r="G905" s="21">
        <v>0</v>
      </c>
    </row>
    <row r="906" spans="1:7" ht="16.95" customHeight="1">
      <c r="A906" s="11">
        <v>898</v>
      </c>
      <c r="B906" s="24">
        <v>90757733.25501667</v>
      </c>
      <c r="C906" s="24">
        <v>64949193.296475179</v>
      </c>
      <c r="D906" s="24">
        <v>86193203.925802082</v>
      </c>
      <c r="E906" s="24">
        <f>TSim[[#This Row],[ValorFinalReal]]-TSim[[#This Row],[AportesReales]]</f>
        <v>21244010.629326902</v>
      </c>
      <c r="F906" s="19">
        <f>IF(TSim[[#This Row],[ValorFinalReal]]&gt;=Meta,1,0)</f>
        <v>1</v>
      </c>
      <c r="G906" s="21">
        <v>1.701055048058886E-2</v>
      </c>
    </row>
    <row r="907" spans="1:7" ht="16.95" customHeight="1">
      <c r="A907" s="11">
        <v>899</v>
      </c>
      <c r="B907" s="24">
        <v>90796183.191189393</v>
      </c>
      <c r="C907" s="24">
        <v>64984614.882395089</v>
      </c>
      <c r="D907" s="24">
        <v>89344688.023804426</v>
      </c>
      <c r="E907" s="24">
        <f>TSim[[#This Row],[ValorFinalReal]]-TSim[[#This Row],[AportesReales]]</f>
        <v>24360073.141409338</v>
      </c>
      <c r="F907" s="19">
        <f>IF(TSim[[#This Row],[ValorFinalReal]]&gt;=Meta,1,0)</f>
        <v>1</v>
      </c>
      <c r="G907" s="21">
        <v>4.4304410554513174E-3</v>
      </c>
    </row>
    <row r="908" spans="1:7" ht="16.95" customHeight="1">
      <c r="A908" s="11">
        <v>900</v>
      </c>
      <c r="B908" s="24">
        <v>87616565.633861735</v>
      </c>
      <c r="C908" s="24">
        <v>64741726.287108503</v>
      </c>
      <c r="D908" s="24">
        <v>67607906.217839971</v>
      </c>
      <c r="E908" s="24">
        <f>TSim[[#This Row],[ValorFinalReal]]-TSim[[#This Row],[AportesReales]]</f>
        <v>2866179.9307314679</v>
      </c>
      <c r="F908" s="19">
        <f>IF(TSim[[#This Row],[ValorFinalReal]]&gt;=Meta,1,0)</f>
        <v>0</v>
      </c>
      <c r="G908" s="21">
        <v>7.7969092322580646E-3</v>
      </c>
    </row>
    <row r="909" spans="1:7" ht="16.95" customHeight="1">
      <c r="A909" s="11">
        <v>901</v>
      </c>
      <c r="B909" s="24">
        <v>76851818.060618401</v>
      </c>
      <c r="C909" s="24">
        <v>64987880.026343778</v>
      </c>
      <c r="D909" s="24">
        <v>75862759.57541275</v>
      </c>
      <c r="E909" s="24">
        <f>TSim[[#This Row],[ValorFinalReal]]-TSim[[#This Row],[AportesReales]]</f>
        <v>10874879.549068972</v>
      </c>
      <c r="F909" s="19">
        <f>IF(TSim[[#This Row],[ValorFinalReal]]&gt;=Meta,1,0)</f>
        <v>0</v>
      </c>
      <c r="G909" s="21">
        <v>1.0249630510488219E-3</v>
      </c>
    </row>
    <row r="910" spans="1:7" ht="16.95" customHeight="1">
      <c r="A910" s="11">
        <v>902</v>
      </c>
      <c r="B910" s="24">
        <v>86590697.403091729</v>
      </c>
      <c r="C910" s="24">
        <v>64709228.531436063</v>
      </c>
      <c r="D910" s="24">
        <v>64671033.142250143</v>
      </c>
      <c r="E910" s="24">
        <f>TSim[[#This Row],[ValorFinalReal]]-TSim[[#This Row],[AportesReales]]</f>
        <v>-38195.389185920358</v>
      </c>
      <c r="F910" s="19">
        <f>IF(TSim[[#This Row],[ValorFinalReal]]&gt;=Meta,1,0)</f>
        <v>0</v>
      </c>
      <c r="G910" s="21">
        <v>4.7107748358040658E-3</v>
      </c>
    </row>
    <row r="911" spans="1:7" ht="16.95" customHeight="1">
      <c r="A911" s="11">
        <v>903</v>
      </c>
      <c r="B911" s="24">
        <v>93463790.629501507</v>
      </c>
      <c r="C911" s="24">
        <v>64738868.65070799</v>
      </c>
      <c r="D911" s="24">
        <v>71898719.725834697</v>
      </c>
      <c r="E911" s="24">
        <f>TSim[[#This Row],[ValorFinalReal]]-TSim[[#This Row],[AportesReales]]</f>
        <v>7159851.0751267076</v>
      </c>
      <c r="F911" s="19">
        <f>IF(TSim[[#This Row],[ValorFinalReal]]&gt;=Meta,1,0)</f>
        <v>0</v>
      </c>
      <c r="G911" s="21">
        <v>9.3409342152116492E-3</v>
      </c>
    </row>
    <row r="912" spans="1:7" ht="16.95" customHeight="1">
      <c r="A912" s="11">
        <v>904</v>
      </c>
      <c r="B912" s="24">
        <v>95858851.124762028</v>
      </c>
      <c r="C912" s="24">
        <v>64703428.26531066</v>
      </c>
      <c r="D912" s="24">
        <v>71182167.686603233</v>
      </c>
      <c r="E912" s="24">
        <f>TSim[[#This Row],[ValorFinalReal]]-TSim[[#This Row],[AportesReales]]</f>
        <v>6478739.4212925732</v>
      </c>
      <c r="F912" s="19">
        <f>IF(TSim[[#This Row],[ValorFinalReal]]&gt;=Meta,1,0)</f>
        <v>0</v>
      </c>
      <c r="G912" s="21">
        <v>4.7772589095201878E-3</v>
      </c>
    </row>
    <row r="913" spans="1:7" ht="16.95" customHeight="1">
      <c r="A913" s="11">
        <v>905</v>
      </c>
      <c r="B913" s="24">
        <v>72702509.34931238</v>
      </c>
      <c r="C913" s="24">
        <v>65029912.812101737</v>
      </c>
      <c r="D913" s="24">
        <v>74864627.561698675</v>
      </c>
      <c r="E913" s="24">
        <f>TSim[[#This Row],[ValorFinalReal]]-TSim[[#This Row],[AportesReales]]</f>
        <v>9834714.7495969385</v>
      </c>
      <c r="F913" s="19">
        <f>IF(TSim[[#This Row],[ValorFinalReal]]&gt;=Meta,1,0)</f>
        <v>0</v>
      </c>
      <c r="G913" s="21">
        <v>2.4476174717107391E-3</v>
      </c>
    </row>
    <row r="914" spans="1:7" ht="16.95" customHeight="1">
      <c r="A914" s="11">
        <v>906</v>
      </c>
      <c r="B914" s="24">
        <v>94579329.166977912</v>
      </c>
      <c r="C914" s="24">
        <v>64838359.664803118</v>
      </c>
      <c r="D914" s="24">
        <v>80402656.009183288</v>
      </c>
      <c r="E914" s="24">
        <f>TSim[[#This Row],[ValorFinalReal]]-TSim[[#This Row],[AportesReales]]</f>
        <v>15564296.34438017</v>
      </c>
      <c r="F914" s="19">
        <f>IF(TSim[[#This Row],[ValorFinalReal]]&gt;=Meta,1,0)</f>
        <v>1</v>
      </c>
      <c r="G914" s="21">
        <v>0</v>
      </c>
    </row>
    <row r="915" spans="1:7" ht="16.95" customHeight="1">
      <c r="A915" s="11">
        <v>907</v>
      </c>
      <c r="B915" s="24">
        <v>73270100.731558263</v>
      </c>
      <c r="C915" s="24">
        <v>65128206.219297163</v>
      </c>
      <c r="D915" s="24">
        <v>83240735.667730466</v>
      </c>
      <c r="E915" s="24">
        <f>TSim[[#This Row],[ValorFinalReal]]-TSim[[#This Row],[AportesReales]]</f>
        <v>18112529.448433302</v>
      </c>
      <c r="F915" s="19">
        <f>IF(TSim[[#This Row],[ValorFinalReal]]&gt;=Meta,1,0)</f>
        <v>1</v>
      </c>
      <c r="G915" s="21">
        <v>6.238008674525064E-3</v>
      </c>
    </row>
    <row r="916" spans="1:7" ht="16.95" customHeight="1">
      <c r="A916" s="11">
        <v>908</v>
      </c>
      <c r="B916" s="24">
        <v>97461457.580536321</v>
      </c>
      <c r="C916" s="24">
        <v>64749045.499750607</v>
      </c>
      <c r="D916" s="24">
        <v>75772664.41326648</v>
      </c>
      <c r="E916" s="24">
        <f>TSim[[#This Row],[ValorFinalReal]]-TSim[[#This Row],[AportesReales]]</f>
        <v>11023618.913515873</v>
      </c>
      <c r="F916" s="19">
        <f>IF(TSim[[#This Row],[ValorFinalReal]]&gt;=Meta,1,0)</f>
        <v>0</v>
      </c>
      <c r="G916" s="21">
        <v>1.343665313997711E-2</v>
      </c>
    </row>
    <row r="917" spans="1:7" ht="16.95" customHeight="1">
      <c r="A917" s="11">
        <v>909</v>
      </c>
      <c r="B917" s="24">
        <v>84884909.914480507</v>
      </c>
      <c r="C917" s="24">
        <v>64891129.833575733</v>
      </c>
      <c r="D917" s="24">
        <v>76079433.363880932</v>
      </c>
      <c r="E917" s="24">
        <f>TSim[[#This Row],[ValorFinalReal]]-TSim[[#This Row],[AportesReales]]</f>
        <v>11188303.530305199</v>
      </c>
      <c r="F917" s="19">
        <f>IF(TSim[[#This Row],[ValorFinalReal]]&gt;=Meta,1,0)</f>
        <v>0</v>
      </c>
      <c r="G917" s="21">
        <v>0</v>
      </c>
    </row>
    <row r="918" spans="1:7" ht="16.95" customHeight="1">
      <c r="A918" s="11">
        <v>910</v>
      </c>
      <c r="B918" s="24">
        <v>96436123.831366584</v>
      </c>
      <c r="C918" s="24">
        <v>64860718.525123902</v>
      </c>
      <c r="D918" s="24">
        <v>83858206.78523761</v>
      </c>
      <c r="E918" s="24">
        <f>TSim[[#This Row],[ValorFinalReal]]-TSim[[#This Row],[AportesReales]]</f>
        <v>18997488.260113709</v>
      </c>
      <c r="F918" s="19">
        <f>IF(TSim[[#This Row],[ValorFinalReal]]&gt;=Meta,1,0)</f>
        <v>1</v>
      </c>
      <c r="G918" s="21">
        <v>2.4878585979154488E-3</v>
      </c>
    </row>
    <row r="919" spans="1:7" ht="16.95" customHeight="1">
      <c r="A919" s="11">
        <v>911</v>
      </c>
      <c r="B919" s="24">
        <v>99747262.884182885</v>
      </c>
      <c r="C919" s="24">
        <v>64833932.81739857</v>
      </c>
      <c r="D919" s="24">
        <v>84403617.360205367</v>
      </c>
      <c r="E919" s="24">
        <f>TSim[[#This Row],[ValorFinalReal]]-TSim[[#This Row],[AportesReales]]</f>
        <v>19569684.542806797</v>
      </c>
      <c r="F919" s="19">
        <f>IF(TSim[[#This Row],[ValorFinalReal]]&gt;=Meta,1,0)</f>
        <v>1</v>
      </c>
      <c r="G919" s="21">
        <v>0</v>
      </c>
    </row>
    <row r="920" spans="1:7" ht="16.95" customHeight="1">
      <c r="A920" s="11">
        <v>912</v>
      </c>
      <c r="B920" s="24">
        <v>88225309.773993373</v>
      </c>
      <c r="C920" s="24">
        <v>64840123.762971647</v>
      </c>
      <c r="D920" s="24">
        <v>75141034.064082101</v>
      </c>
      <c r="E920" s="24">
        <f>TSim[[#This Row],[ValorFinalReal]]-TSim[[#This Row],[AportesReales]]</f>
        <v>10300910.301110454</v>
      </c>
      <c r="F920" s="19">
        <f>IF(TSim[[#This Row],[ValorFinalReal]]&gt;=Meta,1,0)</f>
        <v>0</v>
      </c>
      <c r="G920" s="21">
        <v>0</v>
      </c>
    </row>
    <row r="921" spans="1:7" ht="16.95" customHeight="1">
      <c r="A921" s="11">
        <v>913</v>
      </c>
      <c r="B921" s="24">
        <v>94499192.711628944</v>
      </c>
      <c r="C921" s="24">
        <v>64873813.175450228</v>
      </c>
      <c r="D921" s="24">
        <v>83253141.017343551</v>
      </c>
      <c r="E921" s="24">
        <f>TSim[[#This Row],[ValorFinalReal]]-TSim[[#This Row],[AportesReales]]</f>
        <v>18379327.841893323</v>
      </c>
      <c r="F921" s="19">
        <f>IF(TSim[[#This Row],[ValorFinalReal]]&gt;=Meta,1,0)</f>
        <v>1</v>
      </c>
      <c r="G921" s="21">
        <v>3.8725720479699799E-3</v>
      </c>
    </row>
    <row r="922" spans="1:7" ht="16.95" customHeight="1">
      <c r="A922" s="11">
        <v>914</v>
      </c>
      <c r="B922" s="24">
        <v>102942387.9287373</v>
      </c>
      <c r="C922" s="24">
        <v>64664816.447277628</v>
      </c>
      <c r="D922" s="24">
        <v>73493703.695508212</v>
      </c>
      <c r="E922" s="24">
        <f>TSim[[#This Row],[ValorFinalReal]]-TSim[[#This Row],[AportesReales]]</f>
        <v>8828887.248230584</v>
      </c>
      <c r="F922" s="19">
        <f>IF(TSim[[#This Row],[ValorFinalReal]]&gt;=Meta,1,0)</f>
        <v>0</v>
      </c>
      <c r="G922" s="21">
        <v>8.2052255563748178E-3</v>
      </c>
    </row>
    <row r="923" spans="1:7" ht="16.95" customHeight="1">
      <c r="A923" s="11">
        <v>915</v>
      </c>
      <c r="B923" s="24">
        <v>99860081.128082648</v>
      </c>
      <c r="C923" s="24">
        <v>64685693.897990547</v>
      </c>
      <c r="D923" s="24">
        <v>72841758.38714397</v>
      </c>
      <c r="E923" s="24">
        <f>TSim[[#This Row],[ValorFinalReal]]-TSim[[#This Row],[AportesReales]]</f>
        <v>8156064.4891534224</v>
      </c>
      <c r="F923" s="19">
        <f>IF(TSim[[#This Row],[ValorFinalReal]]&gt;=Meta,1,0)</f>
        <v>0</v>
      </c>
      <c r="G923" s="21">
        <v>8.2217554393726466E-4</v>
      </c>
    </row>
    <row r="924" spans="1:7" ht="16.95" customHeight="1">
      <c r="A924" s="11">
        <v>916</v>
      </c>
      <c r="B924" s="24">
        <v>97249496.457949609</v>
      </c>
      <c r="C924" s="24">
        <v>64796589.969384313</v>
      </c>
      <c r="D924" s="24">
        <v>79284943.26588127</v>
      </c>
      <c r="E924" s="24">
        <f>TSim[[#This Row],[ValorFinalReal]]-TSim[[#This Row],[AportesReales]]</f>
        <v>14488353.296496958</v>
      </c>
      <c r="F924" s="19">
        <f>IF(TSim[[#This Row],[ValorFinalReal]]&gt;=Meta,1,0)</f>
        <v>0</v>
      </c>
      <c r="G924" s="21">
        <v>1.031558779582276E-3</v>
      </c>
    </row>
    <row r="925" spans="1:7" ht="16.95" customHeight="1">
      <c r="A925" s="11">
        <v>917</v>
      </c>
      <c r="B925" s="24">
        <v>90167876.757101938</v>
      </c>
      <c r="C925" s="24">
        <v>64813865.207884252</v>
      </c>
      <c r="D925" s="24">
        <v>74794140.167068437</v>
      </c>
      <c r="E925" s="24">
        <f>TSim[[#This Row],[ValorFinalReal]]-TSim[[#This Row],[AportesReales]]</f>
        <v>9980274.9591841847</v>
      </c>
      <c r="F925" s="19">
        <f>IF(TSim[[#This Row],[ValorFinalReal]]&gt;=Meta,1,0)</f>
        <v>0</v>
      </c>
      <c r="G925" s="21">
        <v>8.0523591957362139E-3</v>
      </c>
    </row>
    <row r="926" spans="1:7" ht="16.95" customHeight="1">
      <c r="A926" s="11">
        <v>918</v>
      </c>
      <c r="B926" s="24">
        <v>96011640.358196795</v>
      </c>
      <c r="C926" s="24">
        <v>64809654.605575718</v>
      </c>
      <c r="D926" s="24">
        <v>79303863.02938205</v>
      </c>
      <c r="E926" s="24">
        <f>TSim[[#This Row],[ValorFinalReal]]-TSim[[#This Row],[AportesReales]]</f>
        <v>14494208.423806332</v>
      </c>
      <c r="F926" s="19">
        <f>IF(TSim[[#This Row],[ValorFinalReal]]&gt;=Meta,1,0)</f>
        <v>0</v>
      </c>
      <c r="G926" s="21">
        <v>9.9039613547917682E-3</v>
      </c>
    </row>
    <row r="927" spans="1:7" ht="16.95" customHeight="1">
      <c r="A927" s="11">
        <v>919</v>
      </c>
      <c r="B927" s="24">
        <v>93027935.190516621</v>
      </c>
      <c r="C927" s="24">
        <v>64787448.953570351</v>
      </c>
      <c r="D927" s="24">
        <v>75148747.651758924</v>
      </c>
      <c r="E927" s="24">
        <f>TSim[[#This Row],[ValorFinalReal]]-TSim[[#This Row],[AportesReales]]</f>
        <v>10361298.698188573</v>
      </c>
      <c r="F927" s="19">
        <f>IF(TSim[[#This Row],[ValorFinalReal]]&gt;=Meta,1,0)</f>
        <v>0</v>
      </c>
      <c r="G927" s="21">
        <v>5.9571526796414753E-3</v>
      </c>
    </row>
    <row r="928" spans="1:7" ht="16.95" customHeight="1">
      <c r="A928" s="11">
        <v>920</v>
      </c>
      <c r="B928" s="24">
        <v>76956972.685710087</v>
      </c>
      <c r="C928" s="24">
        <v>64990189.1396764</v>
      </c>
      <c r="D928" s="24">
        <v>76142814.507873923</v>
      </c>
      <c r="E928" s="24">
        <f>TSim[[#This Row],[ValorFinalReal]]-TSim[[#This Row],[AportesReales]]</f>
        <v>11152625.368197523</v>
      </c>
      <c r="F928" s="19">
        <f>IF(TSim[[#This Row],[ValorFinalReal]]&gt;=Meta,1,0)</f>
        <v>0</v>
      </c>
      <c r="G928" s="21">
        <v>0</v>
      </c>
    </row>
    <row r="929" spans="1:7" ht="16.95" customHeight="1">
      <c r="A929" s="11">
        <v>921</v>
      </c>
      <c r="B929" s="24">
        <v>96843801.030136898</v>
      </c>
      <c r="C929" s="24">
        <v>64897848.794156827</v>
      </c>
      <c r="D929" s="24">
        <v>87375859.902751446</v>
      </c>
      <c r="E929" s="24">
        <f>TSim[[#This Row],[ValorFinalReal]]-TSim[[#This Row],[AportesReales]]</f>
        <v>22478011.108594619</v>
      </c>
      <c r="F929" s="19">
        <f>IF(TSim[[#This Row],[ValorFinalReal]]&gt;=Meta,1,0)</f>
        <v>1</v>
      </c>
      <c r="G929" s="21">
        <v>1.5778746882599839E-4</v>
      </c>
    </row>
    <row r="930" spans="1:7" ht="16.95" customHeight="1">
      <c r="A930" s="11">
        <v>922</v>
      </c>
      <c r="B930" s="24">
        <v>96056931.907477334</v>
      </c>
      <c r="C930" s="24">
        <v>64853204.659910627</v>
      </c>
      <c r="D930" s="24">
        <v>82897645.905556053</v>
      </c>
      <c r="E930" s="24">
        <f>TSim[[#This Row],[ValorFinalReal]]-TSim[[#This Row],[AportesReales]]</f>
        <v>18044441.245645426</v>
      </c>
      <c r="F930" s="19">
        <f>IF(TSim[[#This Row],[ValorFinalReal]]&gt;=Meta,1,0)</f>
        <v>1</v>
      </c>
      <c r="G930" s="21">
        <v>0</v>
      </c>
    </row>
    <row r="931" spans="1:7" ht="16.95" customHeight="1">
      <c r="A931" s="11">
        <v>923</v>
      </c>
      <c r="B931" s="24">
        <v>100239783.2258718</v>
      </c>
      <c r="C931" s="24">
        <v>64728500.260490566</v>
      </c>
      <c r="D931" s="24">
        <v>76308215.703020722</v>
      </c>
      <c r="E931" s="24">
        <f>TSim[[#This Row],[ValorFinalReal]]-TSim[[#This Row],[AportesReales]]</f>
        <v>11579715.442530155</v>
      </c>
      <c r="F931" s="19">
        <f>IF(TSim[[#This Row],[ValorFinalReal]]&gt;=Meta,1,0)</f>
        <v>0</v>
      </c>
      <c r="G931" s="21">
        <v>0</v>
      </c>
    </row>
    <row r="932" spans="1:7" ht="16.95" customHeight="1">
      <c r="A932" s="11">
        <v>924</v>
      </c>
      <c r="B932" s="24">
        <v>88189841.959556684</v>
      </c>
      <c r="C932" s="24">
        <v>64766485.455437116</v>
      </c>
      <c r="D932" s="24">
        <v>69733047.368223876</v>
      </c>
      <c r="E932" s="24">
        <f>TSim[[#This Row],[ValorFinalReal]]-TSim[[#This Row],[AportesReales]]</f>
        <v>4966561.9127867594</v>
      </c>
      <c r="F932" s="19">
        <f>IF(TSim[[#This Row],[ValorFinalReal]]&gt;=Meta,1,0)</f>
        <v>0</v>
      </c>
      <c r="G932" s="21">
        <v>0</v>
      </c>
    </row>
    <row r="933" spans="1:7" ht="16.95" customHeight="1">
      <c r="A933" s="11">
        <v>925</v>
      </c>
      <c r="B933" s="24">
        <v>78533464.738210395</v>
      </c>
      <c r="C933" s="24">
        <v>64903124.102757066</v>
      </c>
      <c r="D933" s="24">
        <v>71254550.976732254</v>
      </c>
      <c r="E933" s="24">
        <f>TSim[[#This Row],[ValorFinalReal]]-TSim[[#This Row],[AportesReales]]</f>
        <v>6351426.8739751875</v>
      </c>
      <c r="F933" s="19">
        <f>IF(TSim[[#This Row],[ValorFinalReal]]&gt;=Meta,1,0)</f>
        <v>0</v>
      </c>
      <c r="G933" s="21">
        <v>1.5896809896981501E-2</v>
      </c>
    </row>
    <row r="934" spans="1:7" ht="16.95" customHeight="1">
      <c r="A934" s="11">
        <v>926</v>
      </c>
      <c r="B934" s="24">
        <v>102830847.2395705</v>
      </c>
      <c r="C934" s="24">
        <v>64750268.055738486</v>
      </c>
      <c r="D934" s="24">
        <v>80032587.079285175</v>
      </c>
      <c r="E934" s="24">
        <f>TSim[[#This Row],[ValorFinalReal]]-TSim[[#This Row],[AportesReales]]</f>
        <v>15282319.023546688</v>
      </c>
      <c r="F934" s="19">
        <f>IF(TSim[[#This Row],[ValorFinalReal]]&gt;=Meta,1,0)</f>
        <v>1</v>
      </c>
      <c r="G934" s="21">
        <v>0</v>
      </c>
    </row>
    <row r="935" spans="1:7" ht="16.95" customHeight="1">
      <c r="A935" s="11">
        <v>927</v>
      </c>
      <c r="B935" s="24">
        <v>92746268.78657943</v>
      </c>
      <c r="C935" s="24">
        <v>64726285.662002303</v>
      </c>
      <c r="D935" s="24">
        <v>70464371.297317296</v>
      </c>
      <c r="E935" s="24">
        <f>TSim[[#This Row],[ValorFinalReal]]-TSim[[#This Row],[AportesReales]]</f>
        <v>5738085.6353149936</v>
      </c>
      <c r="F935" s="19">
        <f>IF(TSim[[#This Row],[ValorFinalReal]]&gt;=Meta,1,0)</f>
        <v>0</v>
      </c>
      <c r="G935" s="21">
        <v>1.1950185748851211E-2</v>
      </c>
    </row>
    <row r="936" spans="1:7" ht="16.95" customHeight="1">
      <c r="A936" s="11">
        <v>928</v>
      </c>
      <c r="B936" s="24">
        <v>72650875.9893879</v>
      </c>
      <c r="C936" s="24">
        <v>65033251.75006938</v>
      </c>
      <c r="D936" s="24">
        <v>75055969.200966716</v>
      </c>
      <c r="E936" s="24">
        <f>TSim[[#This Row],[ValorFinalReal]]-TSim[[#This Row],[AportesReales]]</f>
        <v>10022717.450897336</v>
      </c>
      <c r="F936" s="19">
        <f>IF(TSim[[#This Row],[ValorFinalReal]]&gt;=Meta,1,0)</f>
        <v>0</v>
      </c>
      <c r="G936" s="21">
        <v>0</v>
      </c>
    </row>
    <row r="937" spans="1:7" ht="16.95" customHeight="1">
      <c r="A937" s="11">
        <v>929</v>
      </c>
      <c r="B937" s="24">
        <v>87875350.598583147</v>
      </c>
      <c r="C937" s="24">
        <v>64896011.164302006</v>
      </c>
      <c r="D937" s="24">
        <v>79147330.435131609</v>
      </c>
      <c r="E937" s="24">
        <f>TSim[[#This Row],[ValorFinalReal]]-TSim[[#This Row],[AportesReales]]</f>
        <v>14251319.270829603</v>
      </c>
      <c r="F937" s="19">
        <f>IF(TSim[[#This Row],[ValorFinalReal]]&gt;=Meta,1,0)</f>
        <v>0</v>
      </c>
      <c r="G937" s="21">
        <v>4.8976119553333364E-3</v>
      </c>
    </row>
    <row r="938" spans="1:7" ht="16.95" customHeight="1">
      <c r="A938" s="11">
        <v>930</v>
      </c>
      <c r="B938" s="24">
        <v>94926947.539788678</v>
      </c>
      <c r="C938" s="24">
        <v>64887915.638619073</v>
      </c>
      <c r="D938" s="24">
        <v>84789750.195242807</v>
      </c>
      <c r="E938" s="24">
        <f>TSim[[#This Row],[ValorFinalReal]]-TSim[[#This Row],[AportesReales]]</f>
        <v>19901834.556623735</v>
      </c>
      <c r="F938" s="19">
        <f>IF(TSim[[#This Row],[ValorFinalReal]]&gt;=Meta,1,0)</f>
        <v>1</v>
      </c>
      <c r="G938" s="21">
        <v>0</v>
      </c>
    </row>
    <row r="939" spans="1:7" ht="16.95" customHeight="1">
      <c r="A939" s="11">
        <v>931</v>
      </c>
      <c r="B939" s="24">
        <v>87124090.150366396</v>
      </c>
      <c r="C939" s="24">
        <v>64900773.293002449</v>
      </c>
      <c r="D939" s="24">
        <v>78853107.636679262</v>
      </c>
      <c r="E939" s="24">
        <f>TSim[[#This Row],[ValorFinalReal]]-TSim[[#This Row],[AportesReales]]</f>
        <v>13952334.343676813</v>
      </c>
      <c r="F939" s="19">
        <f>IF(TSim[[#This Row],[ValorFinalReal]]&gt;=Meta,1,0)</f>
        <v>0</v>
      </c>
      <c r="G939" s="21">
        <v>0</v>
      </c>
    </row>
    <row r="940" spans="1:7" ht="16.95" customHeight="1">
      <c r="A940" s="11">
        <v>932</v>
      </c>
      <c r="B940" s="24">
        <v>109824183.93424369</v>
      </c>
      <c r="C940" s="24">
        <v>64759924.457670793</v>
      </c>
      <c r="D940" s="24">
        <v>86319793.990948558</v>
      </c>
      <c r="E940" s="24">
        <f>TSim[[#This Row],[ValorFinalReal]]-TSim[[#This Row],[AportesReales]]</f>
        <v>21559869.533277765</v>
      </c>
      <c r="F940" s="19">
        <f>IF(TSim[[#This Row],[ValorFinalReal]]&gt;=Meta,1,0)</f>
        <v>1</v>
      </c>
      <c r="G940" s="21">
        <v>0</v>
      </c>
    </row>
    <row r="941" spans="1:7" ht="16.95" customHeight="1">
      <c r="A941" s="11">
        <v>933</v>
      </c>
      <c r="B941" s="24">
        <v>78640421.150921851</v>
      </c>
      <c r="C941" s="24">
        <v>64795393.290516838</v>
      </c>
      <c r="D941" s="24">
        <v>64038719.449066587</v>
      </c>
      <c r="E941" s="24">
        <f>TSim[[#This Row],[ValorFinalReal]]-TSim[[#This Row],[AportesReales]]</f>
        <v>-756673.84145025164</v>
      </c>
      <c r="F941" s="19">
        <f>IF(TSim[[#This Row],[ValorFinalReal]]&gt;=Meta,1,0)</f>
        <v>0</v>
      </c>
      <c r="G941" s="21">
        <v>3.6357400819069241E-3</v>
      </c>
    </row>
    <row r="942" spans="1:7" ht="16.95" customHeight="1">
      <c r="A942" s="11">
        <v>934</v>
      </c>
      <c r="B942" s="24">
        <v>80147618.740308374</v>
      </c>
      <c r="C942" s="24">
        <v>64967813.647510283</v>
      </c>
      <c r="D942" s="24">
        <v>77581782.86159189</v>
      </c>
      <c r="E942" s="24">
        <f>TSim[[#This Row],[ValorFinalReal]]-TSim[[#This Row],[AportesReales]]</f>
        <v>12613969.214081608</v>
      </c>
      <c r="F942" s="19">
        <f>IF(TSim[[#This Row],[ValorFinalReal]]&gt;=Meta,1,0)</f>
        <v>0</v>
      </c>
      <c r="G942" s="21">
        <v>0</v>
      </c>
    </row>
    <row r="943" spans="1:7" ht="16.95" customHeight="1">
      <c r="A943" s="11">
        <v>935</v>
      </c>
      <c r="B943" s="24">
        <v>97864233.665097862</v>
      </c>
      <c r="C943" s="24">
        <v>64786085.001269847</v>
      </c>
      <c r="D943" s="24">
        <v>78911851.967579588</v>
      </c>
      <c r="E943" s="24">
        <f>TSim[[#This Row],[ValorFinalReal]]-TSim[[#This Row],[AportesReales]]</f>
        <v>14125766.966309741</v>
      </c>
      <c r="F943" s="19">
        <f>IF(TSim[[#This Row],[ValorFinalReal]]&gt;=Meta,1,0)</f>
        <v>0</v>
      </c>
      <c r="G943" s="21">
        <v>6.5044832170902964E-3</v>
      </c>
    </row>
    <row r="944" spans="1:7" ht="16.95" customHeight="1">
      <c r="A944" s="11">
        <v>936</v>
      </c>
      <c r="B944" s="24">
        <v>87553485.411645621</v>
      </c>
      <c r="C944" s="24">
        <v>64885957.998331949</v>
      </c>
      <c r="D944" s="24">
        <v>78079505.038213223</v>
      </c>
      <c r="E944" s="24">
        <f>TSim[[#This Row],[ValorFinalReal]]-TSim[[#This Row],[AportesReales]]</f>
        <v>13193547.039881274</v>
      </c>
      <c r="F944" s="19">
        <f>IF(TSim[[#This Row],[ValorFinalReal]]&gt;=Meta,1,0)</f>
        <v>0</v>
      </c>
      <c r="G944" s="21">
        <v>6.7987570880302384E-3</v>
      </c>
    </row>
    <row r="945" spans="1:7" ht="16.95" customHeight="1">
      <c r="A945" s="11">
        <v>937</v>
      </c>
      <c r="B945" s="24">
        <v>100880625.89629219</v>
      </c>
      <c r="C945" s="24">
        <v>64754434.60353829</v>
      </c>
      <c r="D945" s="24">
        <v>78834339.575170845</v>
      </c>
      <c r="E945" s="24">
        <f>TSim[[#This Row],[ValorFinalReal]]-TSim[[#This Row],[AportesReales]]</f>
        <v>14079904.971632555</v>
      </c>
      <c r="F945" s="19">
        <f>IF(TSim[[#This Row],[ValorFinalReal]]&gt;=Meta,1,0)</f>
        <v>0</v>
      </c>
      <c r="G945" s="21">
        <v>3.4189672100825019E-3</v>
      </c>
    </row>
    <row r="946" spans="1:7" ht="16.95" customHeight="1">
      <c r="A946" s="11">
        <v>938</v>
      </c>
      <c r="B946" s="24">
        <v>95515181.475457639</v>
      </c>
      <c r="C946" s="24">
        <v>64826673.99170544</v>
      </c>
      <c r="D946" s="24">
        <v>80261963.07089965</v>
      </c>
      <c r="E946" s="24">
        <f>TSim[[#This Row],[ValorFinalReal]]-TSim[[#This Row],[AportesReales]]</f>
        <v>15435289.07919421</v>
      </c>
      <c r="F946" s="19">
        <f>IF(TSim[[#This Row],[ValorFinalReal]]&gt;=Meta,1,0)</f>
        <v>1</v>
      </c>
      <c r="G946" s="21">
        <v>0</v>
      </c>
    </row>
    <row r="947" spans="1:7" ht="16.95" customHeight="1">
      <c r="A947" s="11">
        <v>939</v>
      </c>
      <c r="B947" s="24">
        <v>96270725.50737609</v>
      </c>
      <c r="C947" s="24">
        <v>64837507.510946013</v>
      </c>
      <c r="D947" s="24">
        <v>81774575.956278101</v>
      </c>
      <c r="E947" s="24">
        <f>TSim[[#This Row],[ValorFinalReal]]-TSim[[#This Row],[AportesReales]]</f>
        <v>16937068.445332088</v>
      </c>
      <c r="F947" s="19">
        <f>IF(TSim[[#This Row],[ValorFinalReal]]&gt;=Meta,1,0)</f>
        <v>1</v>
      </c>
      <c r="G947" s="21">
        <v>3.0993881894655351E-3</v>
      </c>
    </row>
    <row r="948" spans="1:7" ht="16.95" customHeight="1">
      <c r="A948" s="11">
        <v>940</v>
      </c>
      <c r="B948" s="24">
        <v>82024957.151749432</v>
      </c>
      <c r="C948" s="24">
        <v>64870277.73444134</v>
      </c>
      <c r="D948" s="24">
        <v>72005457.419585049</v>
      </c>
      <c r="E948" s="24">
        <f>TSim[[#This Row],[ValorFinalReal]]-TSim[[#This Row],[AportesReales]]</f>
        <v>7135179.6851437092</v>
      </c>
      <c r="F948" s="19">
        <f>IF(TSim[[#This Row],[ValorFinalReal]]&gt;=Meta,1,0)</f>
        <v>0</v>
      </c>
      <c r="G948" s="21">
        <v>9.4804799656726946E-3</v>
      </c>
    </row>
    <row r="949" spans="1:7" ht="16.95" customHeight="1">
      <c r="A949" s="11">
        <v>941</v>
      </c>
      <c r="B949" s="24">
        <v>88028958.258962452</v>
      </c>
      <c r="C949" s="24">
        <v>64914538.163248233</v>
      </c>
      <c r="D949" s="24">
        <v>80778595.352584526</v>
      </c>
      <c r="E949" s="24">
        <f>TSim[[#This Row],[ValorFinalReal]]-TSim[[#This Row],[AportesReales]]</f>
        <v>15864057.189336292</v>
      </c>
      <c r="F949" s="19">
        <f>IF(TSim[[#This Row],[ValorFinalReal]]&gt;=Meta,1,0)</f>
        <v>1</v>
      </c>
      <c r="G949" s="21">
        <v>2.036580719187997E-4</v>
      </c>
    </row>
    <row r="950" spans="1:7" ht="16.95" customHeight="1">
      <c r="A950" s="11">
        <v>942</v>
      </c>
      <c r="B950" s="24">
        <v>90940003.414869279</v>
      </c>
      <c r="C950" s="24">
        <v>64833144.693732828</v>
      </c>
      <c r="D950" s="24">
        <v>76911500.901805013</v>
      </c>
      <c r="E950" s="24">
        <f>TSim[[#This Row],[ValorFinalReal]]-TSim[[#This Row],[AportesReales]]</f>
        <v>12078356.208072186</v>
      </c>
      <c r="F950" s="19">
        <f>IF(TSim[[#This Row],[ValorFinalReal]]&gt;=Meta,1,0)</f>
        <v>0</v>
      </c>
      <c r="G950" s="21">
        <v>1.5160418249985709E-2</v>
      </c>
    </row>
    <row r="951" spans="1:7" ht="16.95" customHeight="1">
      <c r="A951" s="11">
        <v>943</v>
      </c>
      <c r="B951" s="24">
        <v>75816888.188652784</v>
      </c>
      <c r="C951" s="24">
        <v>65023504.753564157</v>
      </c>
      <c r="D951" s="24">
        <v>77561125.14867191</v>
      </c>
      <c r="E951" s="24">
        <f>TSim[[#This Row],[ValorFinalReal]]-TSim[[#This Row],[AportesReales]]</f>
        <v>12537620.395107754</v>
      </c>
      <c r="F951" s="19">
        <f>IF(TSim[[#This Row],[ValorFinalReal]]&gt;=Meta,1,0)</f>
        <v>0</v>
      </c>
      <c r="G951" s="21">
        <v>1.7013688265222759E-3</v>
      </c>
    </row>
    <row r="952" spans="1:7" ht="16.95" customHeight="1">
      <c r="A952" s="11">
        <v>944</v>
      </c>
      <c r="B952" s="24">
        <v>99382425.027752683</v>
      </c>
      <c r="C952" s="24">
        <v>64677869.436438844</v>
      </c>
      <c r="D952" s="24">
        <v>71913904.793198347</v>
      </c>
      <c r="E952" s="24">
        <f>TSim[[#This Row],[ValorFinalReal]]-TSim[[#This Row],[AportesReales]]</f>
        <v>7236035.3567595035</v>
      </c>
      <c r="F952" s="19">
        <f>IF(TSim[[#This Row],[ValorFinalReal]]&gt;=Meta,1,0)</f>
        <v>0</v>
      </c>
      <c r="G952" s="21">
        <v>4.779046617539473E-3</v>
      </c>
    </row>
    <row r="953" spans="1:7" ht="16.95" customHeight="1">
      <c r="A953" s="11">
        <v>945</v>
      </c>
      <c r="B953" s="24">
        <v>94953825.000881597</v>
      </c>
      <c r="C953" s="24">
        <v>64816433.830220342</v>
      </c>
      <c r="D953" s="24">
        <v>78966874.842489496</v>
      </c>
      <c r="E953" s="24">
        <f>TSim[[#This Row],[ValorFinalReal]]-TSim[[#This Row],[AportesReales]]</f>
        <v>14150441.012269154</v>
      </c>
      <c r="F953" s="19">
        <f>IF(TSim[[#This Row],[ValorFinalReal]]&gt;=Meta,1,0)</f>
        <v>0</v>
      </c>
      <c r="G953" s="21">
        <v>6.6498582558379704E-3</v>
      </c>
    </row>
    <row r="954" spans="1:7" ht="16.95" customHeight="1">
      <c r="A954" s="11">
        <v>946</v>
      </c>
      <c r="B954" s="24">
        <v>81979565.462799311</v>
      </c>
      <c r="C954" s="24">
        <v>64938829.018914498</v>
      </c>
      <c r="D954" s="24">
        <v>77075978.266375288</v>
      </c>
      <c r="E954" s="24">
        <f>TSim[[#This Row],[ValorFinalReal]]-TSim[[#This Row],[AportesReales]]</f>
        <v>12137149.24746079</v>
      </c>
      <c r="F954" s="19">
        <f>IF(TSim[[#This Row],[ValorFinalReal]]&gt;=Meta,1,0)</f>
        <v>0</v>
      </c>
      <c r="G954" s="21">
        <v>0</v>
      </c>
    </row>
    <row r="955" spans="1:7" ht="16.95" customHeight="1">
      <c r="A955" s="11">
        <v>947</v>
      </c>
      <c r="B955" s="24">
        <v>94280028.231359363</v>
      </c>
      <c r="C955" s="24">
        <v>64878979.328387827</v>
      </c>
      <c r="D955" s="24">
        <v>83448674.992531851</v>
      </c>
      <c r="E955" s="24">
        <f>TSim[[#This Row],[ValorFinalReal]]-TSim[[#This Row],[AportesReales]]</f>
        <v>18569695.664144024</v>
      </c>
      <c r="F955" s="19">
        <f>IF(TSim[[#This Row],[ValorFinalReal]]&gt;=Meta,1,0)</f>
        <v>1</v>
      </c>
      <c r="G955" s="21">
        <v>0</v>
      </c>
    </row>
    <row r="956" spans="1:7" ht="16.95" customHeight="1">
      <c r="A956" s="11">
        <v>948</v>
      </c>
      <c r="B956" s="24">
        <v>74780641.93568325</v>
      </c>
      <c r="C956" s="24">
        <v>64917466.073146857</v>
      </c>
      <c r="D956" s="24">
        <v>68814965.590985</v>
      </c>
      <c r="E956" s="24">
        <f>TSim[[#This Row],[ValorFinalReal]]-TSim[[#This Row],[AportesReales]]</f>
        <v>3897499.5178381428</v>
      </c>
      <c r="F956" s="19">
        <f>IF(TSim[[#This Row],[ValorFinalReal]]&gt;=Meta,1,0)</f>
        <v>0</v>
      </c>
      <c r="G956" s="21">
        <v>2.6820936018190361E-4</v>
      </c>
    </row>
    <row r="957" spans="1:7" ht="16.95" customHeight="1">
      <c r="A957" s="11">
        <v>949</v>
      </c>
      <c r="B957" s="24">
        <v>87486084.330446944</v>
      </c>
      <c r="C957" s="24">
        <v>64903680.188783392</v>
      </c>
      <c r="D957" s="24">
        <v>79417293.267603651</v>
      </c>
      <c r="E957" s="24">
        <f>TSim[[#This Row],[ValorFinalReal]]-TSim[[#This Row],[AportesReales]]</f>
        <v>14513613.078820258</v>
      </c>
      <c r="F957" s="19">
        <f>IF(TSim[[#This Row],[ValorFinalReal]]&gt;=Meta,1,0)</f>
        <v>0</v>
      </c>
      <c r="G957" s="21">
        <v>2.4572582311128688E-3</v>
      </c>
    </row>
    <row r="958" spans="1:7" ht="16.95" customHeight="1">
      <c r="A958" s="11">
        <v>950</v>
      </c>
      <c r="B958" s="24">
        <v>84427529.28087908</v>
      </c>
      <c r="C958" s="24">
        <v>64920921.012208752</v>
      </c>
      <c r="D958" s="24">
        <v>77978572.6917741</v>
      </c>
      <c r="E958" s="24">
        <f>TSim[[#This Row],[ValorFinalReal]]-TSim[[#This Row],[AportesReales]]</f>
        <v>13057651.679565348</v>
      </c>
      <c r="F958" s="19">
        <f>IF(TSim[[#This Row],[ValorFinalReal]]&gt;=Meta,1,0)</f>
        <v>0</v>
      </c>
      <c r="G958" s="21">
        <v>0</v>
      </c>
    </row>
    <row r="959" spans="1:7" ht="16.95" customHeight="1">
      <c r="A959" s="11">
        <v>951</v>
      </c>
      <c r="B959" s="24">
        <v>91432995.818696216</v>
      </c>
      <c r="C959" s="24">
        <v>64868250.204287648</v>
      </c>
      <c r="D959" s="24">
        <v>80088892.437927037</v>
      </c>
      <c r="E959" s="24">
        <f>TSim[[#This Row],[ValorFinalReal]]-TSim[[#This Row],[AportesReales]]</f>
        <v>15220642.233639389</v>
      </c>
      <c r="F959" s="19">
        <f>IF(TSim[[#This Row],[ValorFinalReal]]&gt;=Meta,1,0)</f>
        <v>1</v>
      </c>
      <c r="G959" s="21">
        <v>2.6762765807430981E-3</v>
      </c>
    </row>
    <row r="960" spans="1:7" ht="16.95" customHeight="1">
      <c r="A960" s="11">
        <v>952</v>
      </c>
      <c r="B960" s="24">
        <v>98930342.788776562</v>
      </c>
      <c r="C960" s="24">
        <v>64654543.910375342</v>
      </c>
      <c r="D960" s="24">
        <v>69948249.850078717</v>
      </c>
      <c r="E960" s="24">
        <f>TSim[[#This Row],[ValorFinalReal]]-TSim[[#This Row],[AportesReales]]</f>
        <v>5293705.9397033751</v>
      </c>
      <c r="F960" s="19">
        <f>IF(TSim[[#This Row],[ValorFinalReal]]&gt;=Meta,1,0)</f>
        <v>0</v>
      </c>
      <c r="G960" s="21">
        <v>8.2871714123127216E-3</v>
      </c>
    </row>
    <row r="961" spans="1:7" ht="16.95" customHeight="1">
      <c r="A961" s="11">
        <v>953</v>
      </c>
      <c r="B961" s="24">
        <v>82493518.107812062</v>
      </c>
      <c r="C961" s="24">
        <v>64708294.950724348</v>
      </c>
      <c r="D961" s="24">
        <v>61556066.287852332</v>
      </c>
      <c r="E961" s="24">
        <f>TSim[[#This Row],[ValorFinalReal]]-TSim[[#This Row],[AportesReales]]</f>
        <v>-3152228.6628720164</v>
      </c>
      <c r="F961" s="19">
        <f>IF(TSim[[#This Row],[ValorFinalReal]]&gt;=Meta,1,0)</f>
        <v>0</v>
      </c>
      <c r="G961" s="21">
        <v>6.9173077755568801E-3</v>
      </c>
    </row>
    <row r="962" spans="1:7" ht="16.95" customHeight="1">
      <c r="A962" s="11">
        <v>954</v>
      </c>
      <c r="B962" s="24">
        <v>96208304.373619318</v>
      </c>
      <c r="C962" s="24">
        <v>64817471.676665917</v>
      </c>
      <c r="D962" s="24">
        <v>80092055.197852179</v>
      </c>
      <c r="E962" s="24">
        <f>TSim[[#This Row],[ValorFinalReal]]-TSim[[#This Row],[AportesReales]]</f>
        <v>15274583.521186262</v>
      </c>
      <c r="F962" s="19">
        <f>IF(TSim[[#This Row],[ValorFinalReal]]&gt;=Meta,1,0)</f>
        <v>1</v>
      </c>
      <c r="G962" s="21">
        <v>8.882063403020668E-4</v>
      </c>
    </row>
    <row r="963" spans="1:7" ht="16.95" customHeight="1">
      <c r="A963" s="11">
        <v>955</v>
      </c>
      <c r="B963" s="24">
        <v>85896185.576301813</v>
      </c>
      <c r="C963" s="24">
        <v>64858833.442933701</v>
      </c>
      <c r="D963" s="24">
        <v>74553193.699841097</v>
      </c>
      <c r="E963" s="24">
        <f>TSim[[#This Row],[ValorFinalReal]]-TSim[[#This Row],[AportesReales]]</f>
        <v>9694360.256907396</v>
      </c>
      <c r="F963" s="19">
        <f>IF(TSim[[#This Row],[ValorFinalReal]]&gt;=Meta,1,0)</f>
        <v>0</v>
      </c>
      <c r="G963" s="21">
        <v>2.5330384776423021E-3</v>
      </c>
    </row>
    <row r="964" spans="1:7" ht="16.95" customHeight="1">
      <c r="A964" s="11">
        <v>956</v>
      </c>
      <c r="B964" s="24">
        <v>96900598.240613326</v>
      </c>
      <c r="C964" s="24">
        <v>64773709.576427929</v>
      </c>
      <c r="D964" s="24">
        <v>77213930.325746819</v>
      </c>
      <c r="E964" s="24">
        <f>TSim[[#This Row],[ValorFinalReal]]-TSim[[#This Row],[AportesReales]]</f>
        <v>12440220.74931889</v>
      </c>
      <c r="F964" s="19">
        <f>IF(TSim[[#This Row],[ValorFinalReal]]&gt;=Meta,1,0)</f>
        <v>0</v>
      </c>
      <c r="G964" s="21">
        <v>1.140405342903872E-2</v>
      </c>
    </row>
    <row r="965" spans="1:7" ht="16.95" customHeight="1">
      <c r="A965" s="11">
        <v>957</v>
      </c>
      <c r="B965" s="24">
        <v>103905655.3414389</v>
      </c>
      <c r="C965" s="24">
        <v>64713370.402846716</v>
      </c>
      <c r="D965" s="24">
        <v>77930919.410525054</v>
      </c>
      <c r="E965" s="24">
        <f>TSim[[#This Row],[ValorFinalReal]]-TSim[[#This Row],[AportesReales]]</f>
        <v>13217549.007678337</v>
      </c>
      <c r="F965" s="19">
        <f>IF(TSim[[#This Row],[ValorFinalReal]]&gt;=Meta,1,0)</f>
        <v>0</v>
      </c>
      <c r="G965" s="21">
        <v>3.6705603437618972E-3</v>
      </c>
    </row>
    <row r="966" spans="1:7" ht="16.95" customHeight="1">
      <c r="A966" s="11">
        <v>958</v>
      </c>
      <c r="B966" s="24">
        <v>95758822.486178011</v>
      </c>
      <c r="C966" s="24">
        <v>64852547.683807433</v>
      </c>
      <c r="D966" s="24">
        <v>82568278.57318458</v>
      </c>
      <c r="E966" s="24">
        <f>TSim[[#This Row],[ValorFinalReal]]-TSim[[#This Row],[AportesReales]]</f>
        <v>17715730.889377147</v>
      </c>
      <c r="F966" s="19">
        <f>IF(TSim[[#This Row],[ValorFinalReal]]&gt;=Meta,1,0)</f>
        <v>1</v>
      </c>
      <c r="G966" s="21">
        <v>7.5002470769290897E-3</v>
      </c>
    </row>
    <row r="967" spans="1:7" ht="16.95" customHeight="1">
      <c r="A967" s="11">
        <v>959</v>
      </c>
      <c r="B967" s="24">
        <v>90630814.678178743</v>
      </c>
      <c r="C967" s="24">
        <v>64856955.275168084</v>
      </c>
      <c r="D967" s="24">
        <v>78494719.148424834</v>
      </c>
      <c r="E967" s="24">
        <f>TSim[[#This Row],[ValorFinalReal]]-TSim[[#This Row],[AportesReales]]</f>
        <v>13637763.87325675</v>
      </c>
      <c r="F967" s="19">
        <f>IF(TSim[[#This Row],[ValorFinalReal]]&gt;=Meta,1,0)</f>
        <v>0</v>
      </c>
      <c r="G967" s="21">
        <v>2.8117369782805208E-3</v>
      </c>
    </row>
    <row r="968" spans="1:7" ht="16.95" customHeight="1">
      <c r="A968" s="11">
        <v>960</v>
      </c>
      <c r="B968" s="24">
        <v>83014216.182157755</v>
      </c>
      <c r="C968" s="24">
        <v>64954110.052807219</v>
      </c>
      <c r="D968" s="24">
        <v>79243431.286920279</v>
      </c>
      <c r="E968" s="24">
        <f>TSim[[#This Row],[ValorFinalReal]]-TSim[[#This Row],[AportesReales]]</f>
        <v>14289321.23411306</v>
      </c>
      <c r="F968" s="19">
        <f>IF(TSim[[#This Row],[ValorFinalReal]]&gt;=Meta,1,0)</f>
        <v>0</v>
      </c>
      <c r="G968" s="21">
        <v>8.0980416195187699E-3</v>
      </c>
    </row>
    <row r="969" spans="1:7" ht="16.95" customHeight="1">
      <c r="A969" s="11">
        <v>961</v>
      </c>
      <c r="B969" s="24">
        <v>98268993.503487676</v>
      </c>
      <c r="C969" s="24">
        <v>64717793.018806502</v>
      </c>
      <c r="D969" s="24">
        <v>74012961.243973374</v>
      </c>
      <c r="E969" s="24">
        <f>TSim[[#This Row],[ValorFinalReal]]-TSim[[#This Row],[AportesReales]]</f>
        <v>9295168.2251668721</v>
      </c>
      <c r="F969" s="19">
        <f>IF(TSim[[#This Row],[ValorFinalReal]]&gt;=Meta,1,0)</f>
        <v>0</v>
      </c>
      <c r="G969" s="21">
        <v>4.8568931407632077E-3</v>
      </c>
    </row>
    <row r="970" spans="1:7" ht="16.95" customHeight="1">
      <c r="A970" s="11">
        <v>962</v>
      </c>
      <c r="B970" s="24">
        <v>96290626.013762429</v>
      </c>
      <c r="C970" s="24">
        <v>64929742.537277304</v>
      </c>
      <c r="D970" s="24">
        <v>89721083.283118039</v>
      </c>
      <c r="E970" s="24">
        <f>TSim[[#This Row],[ValorFinalReal]]-TSim[[#This Row],[AportesReales]]</f>
        <v>24791340.745840736</v>
      </c>
      <c r="F970" s="19">
        <f>IF(TSim[[#This Row],[ValorFinalReal]]&gt;=Meta,1,0)</f>
        <v>1</v>
      </c>
      <c r="G970" s="21">
        <v>0</v>
      </c>
    </row>
    <row r="971" spans="1:7" ht="16.95" customHeight="1">
      <c r="A971" s="11">
        <v>963</v>
      </c>
      <c r="B971" s="24">
        <v>99223152.778667629</v>
      </c>
      <c r="C971" s="24">
        <v>64672963.221730039</v>
      </c>
      <c r="D971" s="24">
        <v>71450472.613150209</v>
      </c>
      <c r="E971" s="24">
        <f>TSim[[#This Row],[ValorFinalReal]]-TSim[[#This Row],[AportesReales]]</f>
        <v>6777509.3914201707</v>
      </c>
      <c r="F971" s="19">
        <f>IF(TSim[[#This Row],[ValorFinalReal]]&gt;=Meta,1,0)</f>
        <v>0</v>
      </c>
      <c r="G971" s="21">
        <v>0</v>
      </c>
    </row>
    <row r="972" spans="1:7" ht="16.95" customHeight="1">
      <c r="A972" s="11">
        <v>964</v>
      </c>
      <c r="B972" s="24">
        <v>87317252.901675582</v>
      </c>
      <c r="C972" s="24">
        <v>64842649.100650683</v>
      </c>
      <c r="D972" s="24">
        <v>74562407.86304535</v>
      </c>
      <c r="E972" s="24">
        <f>TSim[[#This Row],[ValorFinalReal]]-TSim[[#This Row],[AportesReales]]</f>
        <v>9719758.7623946667</v>
      </c>
      <c r="F972" s="19">
        <f>IF(TSim[[#This Row],[ValorFinalReal]]&gt;=Meta,1,0)</f>
        <v>0</v>
      </c>
      <c r="G972" s="21">
        <v>0</v>
      </c>
    </row>
    <row r="973" spans="1:7" ht="16.95" customHeight="1">
      <c r="A973" s="11">
        <v>965</v>
      </c>
      <c r="B973" s="24">
        <v>85786497.886309341</v>
      </c>
      <c r="C973" s="24">
        <v>64950139.723352142</v>
      </c>
      <c r="D973" s="24">
        <v>81555375.714895889</v>
      </c>
      <c r="E973" s="24">
        <f>TSim[[#This Row],[ValorFinalReal]]-TSim[[#This Row],[AportesReales]]</f>
        <v>16605235.991543747</v>
      </c>
      <c r="F973" s="19">
        <f>IF(TSim[[#This Row],[ValorFinalReal]]&gt;=Meta,1,0)</f>
        <v>1</v>
      </c>
      <c r="G973" s="21">
        <v>4.3609575758383201E-3</v>
      </c>
    </row>
    <row r="974" spans="1:7" ht="16.95" customHeight="1">
      <c r="A974" s="11">
        <v>966</v>
      </c>
      <c r="B974" s="24">
        <v>89867643.206982464</v>
      </c>
      <c r="C974" s="24">
        <v>64894742.14460706</v>
      </c>
      <c r="D974" s="24">
        <v>80829276.222139984</v>
      </c>
      <c r="E974" s="24">
        <f>TSim[[#This Row],[ValorFinalReal]]-TSim[[#This Row],[AportesReales]]</f>
        <v>15934534.077532925</v>
      </c>
      <c r="F974" s="19">
        <f>IF(TSim[[#This Row],[ValorFinalReal]]&gt;=Meta,1,0)</f>
        <v>1</v>
      </c>
      <c r="G974" s="21">
        <v>0</v>
      </c>
    </row>
    <row r="975" spans="1:7" ht="16.95" customHeight="1">
      <c r="A975" s="11">
        <v>967</v>
      </c>
      <c r="B975" s="24">
        <v>85632740.08377777</v>
      </c>
      <c r="C975" s="24">
        <v>64871153.563168317</v>
      </c>
      <c r="D975" s="24">
        <v>75221220.220568776</v>
      </c>
      <c r="E975" s="24">
        <f>TSim[[#This Row],[ValorFinalReal]]-TSim[[#This Row],[AportesReales]]</f>
        <v>10350066.657400459</v>
      </c>
      <c r="F975" s="19">
        <f>IF(TSim[[#This Row],[ValorFinalReal]]&gt;=Meta,1,0)</f>
        <v>0</v>
      </c>
      <c r="G975" s="21">
        <v>6.9517578386807388E-3</v>
      </c>
    </row>
    <row r="976" spans="1:7" ht="16.95" customHeight="1">
      <c r="A976" s="11">
        <v>968</v>
      </c>
      <c r="B976" s="24">
        <v>83395120.268516138</v>
      </c>
      <c r="C976" s="24">
        <v>64817071.700386673</v>
      </c>
      <c r="D976" s="24">
        <v>69401392.253069654</v>
      </c>
      <c r="E976" s="24">
        <f>TSim[[#This Row],[ValorFinalReal]]-TSim[[#This Row],[AportesReales]]</f>
        <v>4584320.5526829809</v>
      </c>
      <c r="F976" s="19">
        <f>IF(TSim[[#This Row],[ValorFinalReal]]&gt;=Meta,1,0)</f>
        <v>0</v>
      </c>
      <c r="G976" s="21">
        <v>2.9572136082101069E-4</v>
      </c>
    </row>
    <row r="977" spans="1:7" ht="16.95" customHeight="1">
      <c r="A977" s="11">
        <v>969</v>
      </c>
      <c r="B977" s="24">
        <v>108933106.6729181</v>
      </c>
      <c r="C977" s="24">
        <v>64738467.146064758</v>
      </c>
      <c r="D977" s="24">
        <v>83778424.732700795</v>
      </c>
      <c r="E977" s="24">
        <f>TSim[[#This Row],[ValorFinalReal]]-TSim[[#This Row],[AportesReales]]</f>
        <v>19039957.586636037</v>
      </c>
      <c r="F977" s="19">
        <f>IF(TSim[[#This Row],[ValorFinalReal]]&gt;=Meta,1,0)</f>
        <v>1</v>
      </c>
      <c r="G977" s="21">
        <v>0</v>
      </c>
    </row>
    <row r="978" spans="1:7" ht="16.95" customHeight="1">
      <c r="A978" s="11">
        <v>970</v>
      </c>
      <c r="B978" s="24">
        <v>93953288.7268852</v>
      </c>
      <c r="C978" s="24">
        <v>64753709.179181032</v>
      </c>
      <c r="D978" s="24">
        <v>73382645.14655818</v>
      </c>
      <c r="E978" s="24">
        <f>TSim[[#This Row],[ValorFinalReal]]-TSim[[#This Row],[AportesReales]]</f>
        <v>8628935.9673771486</v>
      </c>
      <c r="F978" s="19">
        <f>IF(TSim[[#This Row],[ValorFinalReal]]&gt;=Meta,1,0)</f>
        <v>0</v>
      </c>
      <c r="G978" s="21">
        <v>5.8574156450544868E-3</v>
      </c>
    </row>
    <row r="979" spans="1:7" ht="16.95" customHeight="1">
      <c r="A979" s="11">
        <v>971</v>
      </c>
      <c r="B979" s="24">
        <v>92567505.556260914</v>
      </c>
      <c r="C979" s="24">
        <v>64856487.354681797</v>
      </c>
      <c r="D979" s="24">
        <v>80124087.209208548</v>
      </c>
      <c r="E979" s="24">
        <f>TSim[[#This Row],[ValorFinalReal]]-TSim[[#This Row],[AportesReales]]</f>
        <v>15267599.854526751</v>
      </c>
      <c r="F979" s="19">
        <f>IF(TSim[[#This Row],[ValorFinalReal]]&gt;=Meta,1,0)</f>
        <v>1</v>
      </c>
      <c r="G979" s="21">
        <v>0</v>
      </c>
    </row>
    <row r="980" spans="1:7" ht="16.95" customHeight="1">
      <c r="A980" s="11">
        <v>972</v>
      </c>
      <c r="B980" s="24">
        <v>82033589.25765039</v>
      </c>
      <c r="C980" s="24">
        <v>64913887.357494801</v>
      </c>
      <c r="D980" s="24">
        <v>75230158.584851801</v>
      </c>
      <c r="E980" s="24">
        <f>TSim[[#This Row],[ValorFinalReal]]-TSim[[#This Row],[AportesReales]]</f>
        <v>10316271.227357</v>
      </c>
      <c r="F980" s="19">
        <f>IF(TSim[[#This Row],[ValorFinalReal]]&gt;=Meta,1,0)</f>
        <v>0</v>
      </c>
      <c r="G980" s="21">
        <v>1.129276993936279E-3</v>
      </c>
    </row>
    <row r="981" spans="1:7" ht="16.95" customHeight="1">
      <c r="A981" s="11">
        <v>973</v>
      </c>
      <c r="B981" s="24">
        <v>89958923.707609609</v>
      </c>
      <c r="C981" s="24">
        <v>64809800.506022669</v>
      </c>
      <c r="D981" s="24">
        <v>74333862.664940909</v>
      </c>
      <c r="E981" s="24">
        <f>TSim[[#This Row],[ValorFinalReal]]-TSim[[#This Row],[AportesReales]]</f>
        <v>9524062.1589182392</v>
      </c>
      <c r="F981" s="19">
        <f>IF(TSim[[#This Row],[ValorFinalReal]]&gt;=Meta,1,0)</f>
        <v>0</v>
      </c>
      <c r="G981" s="21">
        <v>0</v>
      </c>
    </row>
    <row r="982" spans="1:7" ht="16.95" customHeight="1">
      <c r="A982" s="11">
        <v>974</v>
      </c>
      <c r="B982" s="24">
        <v>92176551.482876882</v>
      </c>
      <c r="C982" s="24">
        <v>64738658.904075474</v>
      </c>
      <c r="D982" s="24">
        <v>70902070.311249226</v>
      </c>
      <c r="E982" s="24">
        <f>TSim[[#This Row],[ValorFinalReal]]-TSim[[#This Row],[AportesReales]]</f>
        <v>6163411.4071737528</v>
      </c>
      <c r="F982" s="19">
        <f>IF(TSim[[#This Row],[ValorFinalReal]]&gt;=Meta,1,0)</f>
        <v>0</v>
      </c>
      <c r="G982" s="21">
        <v>1.2953296212763199E-3</v>
      </c>
    </row>
    <row r="983" spans="1:7" ht="16.95" customHeight="1">
      <c r="A983" s="11">
        <v>975</v>
      </c>
      <c r="B983" s="24">
        <v>88296686.258101732</v>
      </c>
      <c r="C983" s="24">
        <v>64945691.225401692</v>
      </c>
      <c r="D983" s="24">
        <v>83577973.113964453</v>
      </c>
      <c r="E983" s="24">
        <f>TSim[[#This Row],[ValorFinalReal]]-TSim[[#This Row],[AportesReales]]</f>
        <v>18632281.888562761</v>
      </c>
      <c r="F983" s="19">
        <f>IF(TSim[[#This Row],[ValorFinalReal]]&gt;=Meta,1,0)</f>
        <v>1</v>
      </c>
      <c r="G983" s="21">
        <v>0</v>
      </c>
    </row>
    <row r="984" spans="1:7" ht="16.95" customHeight="1">
      <c r="A984" s="11">
        <v>976</v>
      </c>
      <c r="B984" s="24">
        <v>100051436.0119119</v>
      </c>
      <c r="C984" s="24">
        <v>64764239.77076634</v>
      </c>
      <c r="D984" s="24">
        <v>78947871.572036818</v>
      </c>
      <c r="E984" s="24">
        <f>TSim[[#This Row],[ValorFinalReal]]-TSim[[#This Row],[AportesReales]]</f>
        <v>14183631.801270477</v>
      </c>
      <c r="F984" s="19">
        <f>IF(TSim[[#This Row],[ValorFinalReal]]&gt;=Meta,1,0)</f>
        <v>0</v>
      </c>
      <c r="G984" s="21">
        <v>1.7681361800974679E-2</v>
      </c>
    </row>
    <row r="985" spans="1:7" ht="16.95" customHeight="1">
      <c r="A985" s="11">
        <v>977</v>
      </c>
      <c r="B985" s="24">
        <v>98491730.509110719</v>
      </c>
      <c r="C985" s="24">
        <v>64740630.447964862</v>
      </c>
      <c r="D985" s="24">
        <v>75901737.111044854</v>
      </c>
      <c r="E985" s="24">
        <f>TSim[[#This Row],[ValorFinalReal]]-TSim[[#This Row],[AportesReales]]</f>
        <v>11161106.663079992</v>
      </c>
      <c r="F985" s="19">
        <f>IF(TSim[[#This Row],[ValorFinalReal]]&gt;=Meta,1,0)</f>
        <v>0</v>
      </c>
      <c r="G985" s="21">
        <v>1.1717139474400449E-2</v>
      </c>
    </row>
    <row r="986" spans="1:7" ht="16.95" customHeight="1">
      <c r="A986" s="11">
        <v>978</v>
      </c>
      <c r="B986" s="24">
        <v>101305130.8783516</v>
      </c>
      <c r="C986" s="24">
        <v>64880155.521544479</v>
      </c>
      <c r="D986" s="24">
        <v>89796006.993671626</v>
      </c>
      <c r="E986" s="24">
        <f>TSim[[#This Row],[ValorFinalReal]]-TSim[[#This Row],[AportesReales]]</f>
        <v>24915851.472127147</v>
      </c>
      <c r="F986" s="19">
        <f>IF(TSim[[#This Row],[ValorFinalReal]]&gt;=Meta,1,0)</f>
        <v>1</v>
      </c>
      <c r="G986" s="21">
        <v>0</v>
      </c>
    </row>
    <row r="987" spans="1:7" ht="16.95" customHeight="1">
      <c r="A987" s="11">
        <v>979</v>
      </c>
      <c r="B987" s="24">
        <v>99083386.543960631</v>
      </c>
      <c r="C987" s="24">
        <v>64896364.212890036</v>
      </c>
      <c r="D987" s="24">
        <v>89240054.508947089</v>
      </c>
      <c r="E987" s="24">
        <f>TSim[[#This Row],[ValorFinalReal]]-TSim[[#This Row],[AportesReales]]</f>
        <v>24343690.296057053</v>
      </c>
      <c r="F987" s="19">
        <f>IF(TSim[[#This Row],[ValorFinalReal]]&gt;=Meta,1,0)</f>
        <v>1</v>
      </c>
      <c r="G987" s="21">
        <v>0</v>
      </c>
    </row>
    <row r="988" spans="1:7" ht="16.95" customHeight="1">
      <c r="A988" s="11">
        <v>980</v>
      </c>
      <c r="B988" s="24">
        <v>73388350.169800684</v>
      </c>
      <c r="C988" s="24">
        <v>65100076.670876414</v>
      </c>
      <c r="D988" s="24">
        <v>81061658.912761852</v>
      </c>
      <c r="E988" s="24">
        <f>TSim[[#This Row],[ValorFinalReal]]-TSim[[#This Row],[AportesReales]]</f>
        <v>15961582.241885439</v>
      </c>
      <c r="F988" s="19">
        <f>IF(TSim[[#This Row],[ValorFinalReal]]&gt;=Meta,1,0)</f>
        <v>1</v>
      </c>
      <c r="G988" s="21">
        <v>0</v>
      </c>
    </row>
    <row r="989" spans="1:7" ht="16.95" customHeight="1">
      <c r="A989" s="11">
        <v>981</v>
      </c>
      <c r="B989" s="24">
        <v>75362222.675239876</v>
      </c>
      <c r="C989" s="24">
        <v>65024260.671793178</v>
      </c>
      <c r="D989" s="24">
        <v>77178341.339051738</v>
      </c>
      <c r="E989" s="24">
        <f>TSim[[#This Row],[ValorFinalReal]]-TSim[[#This Row],[AportesReales]]</f>
        <v>12154080.667258561</v>
      </c>
      <c r="F989" s="19">
        <f>IF(TSim[[#This Row],[ValorFinalReal]]&gt;=Meta,1,0)</f>
        <v>0</v>
      </c>
      <c r="G989" s="21">
        <v>8.1596269334971439E-3</v>
      </c>
    </row>
    <row r="990" spans="1:7" ht="16.95" customHeight="1">
      <c r="A990" s="11">
        <v>982</v>
      </c>
      <c r="B990" s="24">
        <v>89549916.592496708</v>
      </c>
      <c r="C990" s="24">
        <v>64906263.064534657</v>
      </c>
      <c r="D990" s="24">
        <v>81492186.704775065</v>
      </c>
      <c r="E990" s="24">
        <f>TSim[[#This Row],[ValorFinalReal]]-TSim[[#This Row],[AportesReales]]</f>
        <v>16585923.640240408</v>
      </c>
      <c r="F990" s="19">
        <f>IF(TSim[[#This Row],[ValorFinalReal]]&gt;=Meta,1,0)</f>
        <v>1</v>
      </c>
      <c r="G990" s="21">
        <v>1.513498712776729E-3</v>
      </c>
    </row>
    <row r="991" spans="1:7" ht="16.95" customHeight="1">
      <c r="A991" s="11">
        <v>983</v>
      </c>
      <c r="B991" s="24">
        <v>86049470.010088593</v>
      </c>
      <c r="C991" s="24">
        <v>64805130.934822246</v>
      </c>
      <c r="D991" s="24">
        <v>70765286.376523435</v>
      </c>
      <c r="E991" s="24">
        <f>TSim[[#This Row],[ValorFinalReal]]-TSim[[#This Row],[AportesReales]]</f>
        <v>5960155.4417011887</v>
      </c>
      <c r="F991" s="19">
        <f>IF(TSim[[#This Row],[ValorFinalReal]]&gt;=Meta,1,0)</f>
        <v>0</v>
      </c>
      <c r="G991" s="21">
        <v>3.760760956400655E-3</v>
      </c>
    </row>
    <row r="992" spans="1:7" ht="16.95" customHeight="1">
      <c r="A992" s="11">
        <v>984</v>
      </c>
      <c r="B992" s="24">
        <v>90086655.653320059</v>
      </c>
      <c r="C992" s="24">
        <v>64822640.884558633</v>
      </c>
      <c r="D992" s="24">
        <v>75386741.3364086</v>
      </c>
      <c r="E992" s="24">
        <f>TSim[[#This Row],[ValorFinalReal]]-TSim[[#This Row],[AportesReales]]</f>
        <v>10564100.451849967</v>
      </c>
      <c r="F992" s="19">
        <f>IF(TSim[[#This Row],[ValorFinalReal]]&gt;=Meta,1,0)</f>
        <v>0</v>
      </c>
      <c r="G992" s="21">
        <v>0</v>
      </c>
    </row>
    <row r="993" spans="1:7" ht="16.95" customHeight="1">
      <c r="A993" s="11">
        <v>985</v>
      </c>
      <c r="B993" s="24">
        <v>93909674.427480116</v>
      </c>
      <c r="C993" s="24">
        <v>64833950.540585108</v>
      </c>
      <c r="D993" s="24">
        <v>79492476.81797424</v>
      </c>
      <c r="E993" s="24">
        <f>TSim[[#This Row],[ValorFinalReal]]-TSim[[#This Row],[AportesReales]]</f>
        <v>14658526.277389131</v>
      </c>
      <c r="F993" s="19">
        <f>IF(TSim[[#This Row],[ValorFinalReal]]&gt;=Meta,1,0)</f>
        <v>0</v>
      </c>
      <c r="G993" s="21">
        <v>1.021547788054855E-2</v>
      </c>
    </row>
    <row r="994" spans="1:7" ht="16.95" customHeight="1">
      <c r="A994" s="11">
        <v>986</v>
      </c>
      <c r="B994" s="24">
        <v>93586044.769336775</v>
      </c>
      <c r="C994" s="24">
        <v>64828724.205088042</v>
      </c>
      <c r="D994" s="24">
        <v>78797472.364013359</v>
      </c>
      <c r="E994" s="24">
        <f>TSim[[#This Row],[ValorFinalReal]]-TSim[[#This Row],[AportesReales]]</f>
        <v>13968748.158925317</v>
      </c>
      <c r="F994" s="19">
        <f>IF(TSim[[#This Row],[ValorFinalReal]]&gt;=Meta,1,0)</f>
        <v>0</v>
      </c>
      <c r="G994" s="21">
        <v>8.2317217537708487E-4</v>
      </c>
    </row>
    <row r="995" spans="1:7" ht="16.95" customHeight="1">
      <c r="A995" s="11">
        <v>987</v>
      </c>
      <c r="B995" s="24">
        <v>98791849.561618075</v>
      </c>
      <c r="C995" s="24">
        <v>64792481.966983452</v>
      </c>
      <c r="D995" s="24">
        <v>80222938.376726836</v>
      </c>
      <c r="E995" s="24">
        <f>TSim[[#This Row],[ValorFinalReal]]-TSim[[#This Row],[AportesReales]]</f>
        <v>15430456.409743384</v>
      </c>
      <c r="F995" s="19">
        <f>IF(TSim[[#This Row],[ValorFinalReal]]&gt;=Meta,1,0)</f>
        <v>1</v>
      </c>
      <c r="G995" s="21">
        <v>0</v>
      </c>
    </row>
    <row r="996" spans="1:7" ht="16.95" customHeight="1">
      <c r="A996" s="11">
        <v>988</v>
      </c>
      <c r="B996" s="24">
        <v>109003602.2942739</v>
      </c>
      <c r="C996" s="24">
        <v>64679308.009200387</v>
      </c>
      <c r="D996" s="24">
        <v>78996651.049259186</v>
      </c>
      <c r="E996" s="24">
        <f>TSim[[#This Row],[ValorFinalReal]]-TSim[[#This Row],[AportesReales]]</f>
        <v>14317343.040058799</v>
      </c>
      <c r="F996" s="19">
        <f>IF(TSim[[#This Row],[ValorFinalReal]]&gt;=Meta,1,0)</f>
        <v>0</v>
      </c>
      <c r="G996" s="21">
        <v>0</v>
      </c>
    </row>
    <row r="997" spans="1:7" ht="16.95" customHeight="1">
      <c r="A997" s="11">
        <v>989</v>
      </c>
      <c r="B997" s="24">
        <v>84760408.482356593</v>
      </c>
      <c r="C997" s="24">
        <v>64901126.285747342</v>
      </c>
      <c r="D997" s="24">
        <v>76755825.77663362</v>
      </c>
      <c r="E997" s="24">
        <f>TSim[[#This Row],[ValorFinalReal]]-TSim[[#This Row],[AportesReales]]</f>
        <v>11854699.490886278</v>
      </c>
      <c r="F997" s="19">
        <f>IF(TSim[[#This Row],[ValorFinalReal]]&gt;=Meta,1,0)</f>
        <v>0</v>
      </c>
      <c r="G997" s="21">
        <v>6.0910278064959522E-3</v>
      </c>
    </row>
    <row r="998" spans="1:7" ht="16.95" customHeight="1">
      <c r="A998" s="11">
        <v>990</v>
      </c>
      <c r="B998" s="24">
        <v>92503036.567431614</v>
      </c>
      <c r="C998" s="24">
        <v>64869829.884924032</v>
      </c>
      <c r="D998" s="24">
        <v>81155315.188268721</v>
      </c>
      <c r="E998" s="24">
        <f>TSim[[#This Row],[ValorFinalReal]]-TSim[[#This Row],[AportesReales]]</f>
        <v>16285485.303344689</v>
      </c>
      <c r="F998" s="19">
        <f>IF(TSim[[#This Row],[ValorFinalReal]]&gt;=Meta,1,0)</f>
        <v>1</v>
      </c>
      <c r="G998" s="21">
        <v>0</v>
      </c>
    </row>
    <row r="999" spans="1:7" ht="16.95" customHeight="1">
      <c r="A999" s="11">
        <v>991</v>
      </c>
      <c r="B999" s="24">
        <v>97430199.485044062</v>
      </c>
      <c r="C999" s="24">
        <v>64946609.698825777</v>
      </c>
      <c r="D999" s="24">
        <v>92324118.527680457</v>
      </c>
      <c r="E999" s="24">
        <f>TSim[[#This Row],[ValorFinalReal]]-TSim[[#This Row],[AportesReales]]</f>
        <v>27377508.82885468</v>
      </c>
      <c r="F999" s="19">
        <f>IF(TSim[[#This Row],[ValorFinalReal]]&gt;=Meta,1,0)</f>
        <v>1</v>
      </c>
      <c r="G999" s="21">
        <v>8.4281251971202176E-3</v>
      </c>
    </row>
    <row r="1000" spans="1:7" ht="16.95" customHeight="1">
      <c r="A1000" s="11">
        <v>992</v>
      </c>
      <c r="B1000" s="24">
        <v>80755181.714668885</v>
      </c>
      <c r="C1000" s="24">
        <v>64862604.805607177</v>
      </c>
      <c r="D1000" s="24">
        <v>70335534.320518151</v>
      </c>
      <c r="E1000" s="24">
        <f>TSim[[#This Row],[ValorFinalReal]]-TSim[[#This Row],[AportesReales]]</f>
        <v>5472929.5149109736</v>
      </c>
      <c r="F1000" s="19">
        <f>IF(TSim[[#This Row],[ValorFinalReal]]&gt;=Meta,1,0)</f>
        <v>0</v>
      </c>
      <c r="G1000" s="21">
        <v>3.4765556268532278E-3</v>
      </c>
    </row>
    <row r="1001" spans="1:7" ht="16.95" customHeight="1">
      <c r="A1001" s="11">
        <v>993</v>
      </c>
      <c r="B1001" s="24">
        <v>88302531.347375825</v>
      </c>
      <c r="C1001" s="24">
        <v>64893291.890454993</v>
      </c>
      <c r="D1001" s="24">
        <v>79328126.395733654</v>
      </c>
      <c r="E1001" s="24">
        <f>TSim[[#This Row],[ValorFinalReal]]-TSim[[#This Row],[AportesReales]]</f>
        <v>14434834.505278662</v>
      </c>
      <c r="F1001" s="19">
        <f>IF(TSim[[#This Row],[ValorFinalReal]]&gt;=Meta,1,0)</f>
        <v>0</v>
      </c>
      <c r="G1001" s="21">
        <v>7.8381266746740952E-4</v>
      </c>
    </row>
    <row r="1002" spans="1:7" ht="16.95" customHeight="1">
      <c r="A1002" s="11">
        <v>994</v>
      </c>
      <c r="B1002" s="24">
        <v>97388294.565744564</v>
      </c>
      <c r="C1002" s="24">
        <v>64827807.312540241</v>
      </c>
      <c r="D1002" s="24">
        <v>81887073.224559113</v>
      </c>
      <c r="E1002" s="24">
        <f>TSim[[#This Row],[ValorFinalReal]]-TSim[[#This Row],[AportesReales]]</f>
        <v>17059265.912018873</v>
      </c>
      <c r="F1002" s="19">
        <f>IF(TSim[[#This Row],[ValorFinalReal]]&gt;=Meta,1,0)</f>
        <v>1</v>
      </c>
      <c r="G1002" s="21">
        <v>0</v>
      </c>
    </row>
    <row r="1003" spans="1:7" ht="16.95" customHeight="1">
      <c r="A1003" s="11">
        <v>995</v>
      </c>
      <c r="B1003" s="24">
        <v>99776388.404139474</v>
      </c>
      <c r="C1003" s="24">
        <v>64759099.673690118</v>
      </c>
      <c r="D1003" s="24">
        <v>78346896.19068709</v>
      </c>
      <c r="E1003" s="24">
        <f>TSim[[#This Row],[ValorFinalReal]]-TSim[[#This Row],[AportesReales]]</f>
        <v>13587796.516996972</v>
      </c>
      <c r="F1003" s="19">
        <f>IF(TSim[[#This Row],[ValorFinalReal]]&gt;=Meta,1,0)</f>
        <v>0</v>
      </c>
      <c r="G1003" s="21">
        <v>0</v>
      </c>
    </row>
    <row r="1004" spans="1:7" ht="16.95" customHeight="1">
      <c r="A1004" s="11">
        <v>996</v>
      </c>
      <c r="B1004" s="24">
        <v>88943672.232557535</v>
      </c>
      <c r="C1004" s="24">
        <v>64866916.659617081</v>
      </c>
      <c r="D1004" s="24">
        <v>77802477.383880615</v>
      </c>
      <c r="E1004" s="24">
        <f>TSim[[#This Row],[ValorFinalReal]]-TSim[[#This Row],[AportesReales]]</f>
        <v>12935560.724263534</v>
      </c>
      <c r="F1004" s="19">
        <f>IF(TSim[[#This Row],[ValorFinalReal]]&gt;=Meta,1,0)</f>
        <v>0</v>
      </c>
      <c r="G1004" s="21">
        <v>3.2951304388147968E-3</v>
      </c>
    </row>
    <row r="1005" spans="1:7" ht="16.95" customHeight="1">
      <c r="A1005" s="11">
        <v>997</v>
      </c>
      <c r="B1005" s="24">
        <v>95846214.829082847</v>
      </c>
      <c r="C1005" s="24">
        <v>64723305.263592258</v>
      </c>
      <c r="D1005" s="24">
        <v>72587662.521968707</v>
      </c>
      <c r="E1005" s="24">
        <f>TSim[[#This Row],[ValorFinalReal]]-TSim[[#This Row],[AportesReales]]</f>
        <v>7864357.2583764493</v>
      </c>
      <c r="F1005" s="19">
        <f>IF(TSim[[#This Row],[ValorFinalReal]]&gt;=Meta,1,0)</f>
        <v>0</v>
      </c>
      <c r="G1005" s="21">
        <v>1.0131713133717519E-3</v>
      </c>
    </row>
    <row r="1006" spans="1:7" ht="16.95" customHeight="1">
      <c r="A1006" s="11">
        <v>998</v>
      </c>
      <c r="B1006" s="24">
        <v>107310027.86150099</v>
      </c>
      <c r="C1006" s="24">
        <v>64754810.539670691</v>
      </c>
      <c r="D1006" s="24">
        <v>83900606.347233683</v>
      </c>
      <c r="E1006" s="24">
        <f>TSim[[#This Row],[ValorFinalReal]]-TSim[[#This Row],[AportesReales]]</f>
        <v>19145795.807562992</v>
      </c>
      <c r="F1006" s="19">
        <f>IF(TSim[[#This Row],[ValorFinalReal]]&gt;=Meta,1,0)</f>
        <v>1</v>
      </c>
      <c r="G1006" s="21">
        <v>0</v>
      </c>
    </row>
    <row r="1007" spans="1:7" ht="16.95" customHeight="1">
      <c r="A1007" s="11">
        <v>999</v>
      </c>
      <c r="B1007" s="24">
        <v>80625006.865608573</v>
      </c>
      <c r="C1007" s="24">
        <v>64885527.695595808</v>
      </c>
      <c r="D1007" s="24">
        <v>71871158.848931074</v>
      </c>
      <c r="E1007" s="24">
        <f>TSim[[#This Row],[ValorFinalReal]]-TSim[[#This Row],[AportesReales]]</f>
        <v>6985631.1533352658</v>
      </c>
      <c r="F1007" s="19">
        <f>IF(TSim[[#This Row],[ValorFinalReal]]&gt;=Meta,1,0)</f>
        <v>0</v>
      </c>
      <c r="G1007" s="21">
        <v>0</v>
      </c>
    </row>
    <row r="1008" spans="1:7" ht="16.95" customHeight="1">
      <c r="A1008" s="11">
        <v>1000</v>
      </c>
      <c r="B1008" s="24">
        <v>82885678.410522699</v>
      </c>
      <c r="C1008" s="24">
        <v>64898266.650070123</v>
      </c>
      <c r="D1008" s="24">
        <v>74825218.197247177</v>
      </c>
      <c r="E1008" s="24">
        <f>TSim[[#This Row],[ValorFinalReal]]-TSim[[#This Row],[AportesReales]]</f>
        <v>9926951.547177054</v>
      </c>
      <c r="F1008" s="19">
        <f>IF(TSim[[#This Row],[ValorFinalReal]]&gt;=Meta,1,0)</f>
        <v>0</v>
      </c>
      <c r="G1008" s="21">
        <v>9.5534529867737916E-3</v>
      </c>
    </row>
  </sheetData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766E"/>
    <pageSetUpPr fitToPage="1"/>
  </sheetPr>
  <dimension ref="B2:G84"/>
  <sheetViews>
    <sheetView showGridLines="0" workbookViewId="0"/>
  </sheetViews>
  <sheetFormatPr baseColWidth="10" defaultColWidth="8.88671875" defaultRowHeight="14.4"/>
  <cols>
    <col min="2" max="2" width="42" customWidth="1"/>
    <col min="3" max="3" width="18" customWidth="1"/>
    <col min="4" max="4" width="16" customWidth="1"/>
    <col min="5" max="5" width="26" customWidth="1"/>
    <col min="6" max="6" width="24" customWidth="1"/>
    <col min="7" max="7" width="18" customWidth="1"/>
  </cols>
  <sheetData>
    <row r="2" spans="2:5" ht="20.399999999999999">
      <c r="B2" s="16" t="s">
        <v>260</v>
      </c>
    </row>
    <row r="4" spans="2:5">
      <c r="B4" s="9" t="s">
        <v>261</v>
      </c>
      <c r="C4" s="9" t="s">
        <v>58</v>
      </c>
      <c r="D4" s="9" t="s">
        <v>59</v>
      </c>
      <c r="E4" s="9" t="s">
        <v>60</v>
      </c>
    </row>
    <row r="5" spans="2:5" ht="15">
      <c r="B5" s="4" t="s">
        <v>262</v>
      </c>
      <c r="C5" s="21">
        <v>0.318</v>
      </c>
      <c r="D5" s="8" t="s">
        <v>263</v>
      </c>
      <c r="E5" s="8" t="s">
        <v>264</v>
      </c>
    </row>
    <row r="6" spans="2:5" ht="15">
      <c r="B6" s="4" t="s">
        <v>252</v>
      </c>
      <c r="C6" s="24">
        <v>66949561.611366928</v>
      </c>
      <c r="D6" s="8" t="s">
        <v>73</v>
      </c>
      <c r="E6" s="8" t="s">
        <v>265</v>
      </c>
    </row>
    <row r="7" spans="2:5" ht="15">
      <c r="B7" s="4" t="s">
        <v>266</v>
      </c>
      <c r="C7" s="24">
        <v>72633769.823238388</v>
      </c>
      <c r="D7" s="8" t="s">
        <v>73</v>
      </c>
      <c r="E7" s="8"/>
    </row>
    <row r="8" spans="2:5" ht="15">
      <c r="B8" s="4" t="s">
        <v>251</v>
      </c>
      <c r="C8" s="24">
        <v>76928501.273786187</v>
      </c>
      <c r="D8" s="8" t="s">
        <v>73</v>
      </c>
      <c r="E8" s="8"/>
    </row>
    <row r="9" spans="2:5" ht="15">
      <c r="B9" s="4" t="s">
        <v>267</v>
      </c>
      <c r="C9" s="24">
        <v>81340499.812420964</v>
      </c>
      <c r="D9" s="8" t="s">
        <v>73</v>
      </c>
      <c r="E9" s="8"/>
    </row>
    <row r="10" spans="2:5" ht="15">
      <c r="B10" s="4" t="s">
        <v>268</v>
      </c>
      <c r="C10" s="24">
        <v>88411987.731544197</v>
      </c>
      <c r="D10" s="8" t="s">
        <v>73</v>
      </c>
      <c r="E10" s="8"/>
    </row>
    <row r="11" spans="2:5" ht="15">
      <c r="B11" s="4" t="s">
        <v>269</v>
      </c>
      <c r="C11" s="24">
        <v>77178810.917641103</v>
      </c>
      <c r="D11" s="8" t="s">
        <v>73</v>
      </c>
      <c r="E11" s="8"/>
    </row>
    <row r="12" spans="2:5" ht="15">
      <c r="B12" s="4" t="s">
        <v>270</v>
      </c>
      <c r="C12" s="24">
        <v>90126298.785949156</v>
      </c>
      <c r="D12" s="8" t="s">
        <v>271</v>
      </c>
      <c r="E12" s="8"/>
    </row>
    <row r="13" spans="2:5" ht="15">
      <c r="B13" s="4" t="s">
        <v>272</v>
      </c>
      <c r="C13" s="24">
        <v>64842408.681618594</v>
      </c>
      <c r="D13" s="8" t="s">
        <v>73</v>
      </c>
      <c r="E13" s="8" t="s">
        <v>273</v>
      </c>
    </row>
    <row r="14" spans="2:5" ht="15">
      <c r="B14" s="4" t="s">
        <v>274</v>
      </c>
      <c r="C14" s="45">
        <v>-2167231.923926794</v>
      </c>
      <c r="D14" s="8" t="s">
        <v>73</v>
      </c>
      <c r="E14" s="8" t="s">
        <v>275</v>
      </c>
    </row>
    <row r="15" spans="2:5" ht="15">
      <c r="B15" s="4" t="s">
        <v>276</v>
      </c>
      <c r="C15" s="45">
        <v>68104.808380250717</v>
      </c>
      <c r="D15" s="8" t="s">
        <v>73</v>
      </c>
      <c r="E15" s="8" t="s">
        <v>277</v>
      </c>
    </row>
    <row r="16" spans="2:5" ht="15">
      <c r="B16" s="4" t="s">
        <v>278</v>
      </c>
      <c r="C16" s="21">
        <v>2.06E-2</v>
      </c>
      <c r="D16" s="8" t="s">
        <v>263</v>
      </c>
      <c r="E16" s="8" t="s">
        <v>279</v>
      </c>
    </row>
    <row r="17" spans="2:5" ht="15">
      <c r="B17" s="4" t="s">
        <v>280</v>
      </c>
      <c r="C17" s="21">
        <v>2.477615129084898E-3</v>
      </c>
      <c r="D17" s="8" t="s">
        <v>76</v>
      </c>
      <c r="E17" s="8" t="s">
        <v>281</v>
      </c>
    </row>
    <row r="18" spans="2:5" ht="15">
      <c r="B18" s="4" t="s">
        <v>282</v>
      </c>
      <c r="C18" s="21">
        <v>1.4360377975690709E-2</v>
      </c>
      <c r="D18" s="8" t="s">
        <v>76</v>
      </c>
      <c r="E18" s="8"/>
    </row>
    <row r="19" spans="2:5" ht="15">
      <c r="B19" s="4" t="s">
        <v>283</v>
      </c>
      <c r="C19" s="24">
        <v>1127533.1600974761</v>
      </c>
      <c r="D19" s="8" t="s">
        <v>284</v>
      </c>
      <c r="E19" s="8" t="s">
        <v>285</v>
      </c>
    </row>
    <row r="21" spans="2:5">
      <c r="B21" s="7" t="s">
        <v>286</v>
      </c>
    </row>
    <row r="22" spans="2:5" ht="15">
      <c r="B22" s="4" t="s">
        <v>287</v>
      </c>
      <c r="C22" s="24">
        <v>5000000</v>
      </c>
      <c r="D22" s="8"/>
      <c r="E22" s="8"/>
    </row>
    <row r="23" spans="2:5" ht="15">
      <c r="B23" s="4" t="s">
        <v>288</v>
      </c>
      <c r="C23" s="24">
        <v>1000000</v>
      </c>
      <c r="D23" s="8"/>
      <c r="E23" s="8"/>
    </row>
    <row r="24" spans="2:5" ht="15">
      <c r="B24" s="4" t="s">
        <v>289</v>
      </c>
      <c r="C24" s="19">
        <v>60</v>
      </c>
      <c r="D24" s="8"/>
      <c r="E24" s="8"/>
    </row>
    <row r="25" spans="2:5" ht="15">
      <c r="B25" s="4" t="s">
        <v>290</v>
      </c>
      <c r="C25" s="24">
        <v>80000000</v>
      </c>
      <c r="D25" s="8"/>
      <c r="E25" s="8"/>
    </row>
    <row r="26" spans="2:5" ht="15">
      <c r="B26" s="4" t="s">
        <v>291</v>
      </c>
      <c r="C26" s="21">
        <v>0.6</v>
      </c>
      <c r="D26" s="8"/>
      <c r="E26" s="8"/>
    </row>
    <row r="27" spans="2:5" ht="15">
      <c r="B27" s="4" t="s">
        <v>292</v>
      </c>
      <c r="C27" s="21">
        <v>0.25</v>
      </c>
      <c r="D27" s="8"/>
      <c r="E27" s="8"/>
    </row>
    <row r="28" spans="2:5" ht="15">
      <c r="B28" s="4" t="s">
        <v>293</v>
      </c>
      <c r="C28" s="21">
        <v>0.15</v>
      </c>
      <c r="D28" s="8"/>
      <c r="E28" s="8"/>
    </row>
    <row r="29" spans="2:5" ht="15">
      <c r="B29" s="4" t="s">
        <v>294</v>
      </c>
      <c r="C29" s="11" t="s">
        <v>85</v>
      </c>
      <c r="D29" s="8"/>
      <c r="E29" s="8"/>
    </row>
    <row r="30" spans="2:5" ht="15">
      <c r="B30" s="4" t="s">
        <v>295</v>
      </c>
      <c r="C30" s="11" t="s">
        <v>88</v>
      </c>
      <c r="D30" s="8"/>
      <c r="E30" s="8"/>
    </row>
    <row r="31" spans="2:5" ht="15">
      <c r="B31" s="4" t="s">
        <v>296</v>
      </c>
      <c r="C31" s="21">
        <v>0.04</v>
      </c>
      <c r="D31" s="8"/>
      <c r="E31" s="8"/>
    </row>
    <row r="33" spans="2:7">
      <c r="B33" s="7" t="s">
        <v>297</v>
      </c>
    </row>
    <row r="34" spans="2:7" ht="22.05" customHeight="1">
      <c r="B34" s="30" t="s">
        <v>298</v>
      </c>
      <c r="C34" s="30" t="s">
        <v>299</v>
      </c>
      <c r="D34" s="30" t="s">
        <v>300</v>
      </c>
      <c r="E34" s="30" t="s">
        <v>301</v>
      </c>
    </row>
    <row r="35" spans="2:7" ht="16.95" customHeight="1">
      <c r="B35" s="46">
        <v>-0.3</v>
      </c>
      <c r="C35" s="24">
        <v>700000</v>
      </c>
      <c r="D35" s="21">
        <v>0</v>
      </c>
      <c r="E35" s="24">
        <v>55896163.379967824</v>
      </c>
    </row>
    <row r="36" spans="2:7" ht="16.95" customHeight="1">
      <c r="B36" s="46">
        <v>-0.2</v>
      </c>
      <c r="C36" s="24">
        <v>800000</v>
      </c>
      <c r="D36" s="21">
        <v>2.7000000000000001E-3</v>
      </c>
      <c r="E36" s="24">
        <v>62902426.717054069</v>
      </c>
    </row>
    <row r="37" spans="2:7" ht="16.95" customHeight="1">
      <c r="B37" s="46">
        <v>-0.1</v>
      </c>
      <c r="C37" s="24">
        <v>900000</v>
      </c>
      <c r="D37" s="21">
        <v>5.62E-2</v>
      </c>
      <c r="E37" s="24">
        <v>69919152.815082192</v>
      </c>
    </row>
    <row r="38" spans="2:7" ht="16.95" customHeight="1">
      <c r="B38" s="46">
        <v>0</v>
      </c>
      <c r="C38" s="24">
        <v>1000000</v>
      </c>
      <c r="D38" s="21">
        <v>0.318</v>
      </c>
      <c r="E38" s="24">
        <v>76928501.273786187</v>
      </c>
    </row>
    <row r="39" spans="2:7" ht="16.95" customHeight="1">
      <c r="B39" s="46">
        <v>0.1</v>
      </c>
      <c r="C39" s="24">
        <v>1100000</v>
      </c>
      <c r="D39" s="21">
        <v>0.71740000000000004</v>
      </c>
      <c r="E39" s="24">
        <v>83952235.910820857</v>
      </c>
    </row>
    <row r="40" spans="2:7" ht="16.95" customHeight="1">
      <c r="B40" s="46">
        <v>0.2</v>
      </c>
      <c r="C40" s="24">
        <v>1200000</v>
      </c>
      <c r="D40" s="21">
        <v>0.93640000000000001</v>
      </c>
      <c r="E40" s="24">
        <v>90960371.779764056</v>
      </c>
    </row>
    <row r="41" spans="2:7" ht="16.95" customHeight="1">
      <c r="B41" s="46">
        <v>0.3</v>
      </c>
      <c r="C41" s="24">
        <v>1300000</v>
      </c>
      <c r="D41" s="21">
        <v>0.9919</v>
      </c>
      <c r="E41" s="24">
        <v>97969656.536569536</v>
      </c>
    </row>
    <row r="43" spans="2:7">
      <c r="B43" s="7" t="s">
        <v>302</v>
      </c>
    </row>
    <row r="44" spans="2:7" ht="22.05" customHeight="1">
      <c r="B44" s="30" t="s">
        <v>303</v>
      </c>
      <c r="C44" s="30" t="s">
        <v>304</v>
      </c>
      <c r="D44" s="30" t="s">
        <v>305</v>
      </c>
      <c r="E44" s="30" t="s">
        <v>300</v>
      </c>
      <c r="F44" s="30" t="s">
        <v>301</v>
      </c>
      <c r="G44" s="30" t="s">
        <v>306</v>
      </c>
    </row>
    <row r="45" spans="2:7" ht="16.95" customHeight="1">
      <c r="B45" s="47">
        <v>0</v>
      </c>
      <c r="C45" s="47">
        <v>0.79999999999999993</v>
      </c>
      <c r="D45" s="47">
        <v>0.2</v>
      </c>
      <c r="E45" s="21">
        <v>0.35560000000000003</v>
      </c>
      <c r="F45" s="24">
        <v>77691869.99718599</v>
      </c>
      <c r="G45" s="24">
        <v>67587988.720605567</v>
      </c>
    </row>
    <row r="46" spans="2:7" ht="16.95" customHeight="1">
      <c r="B46" s="47">
        <v>0.1</v>
      </c>
      <c r="C46" s="47">
        <v>0.72000000000000008</v>
      </c>
      <c r="D46" s="47">
        <v>0.18</v>
      </c>
      <c r="E46" s="21">
        <v>0.32429999999999998</v>
      </c>
      <c r="F46" s="24">
        <v>77338930.815305933</v>
      </c>
      <c r="G46" s="24">
        <v>68280536.462338984</v>
      </c>
    </row>
    <row r="47" spans="2:7" ht="16.95" customHeight="1">
      <c r="B47" s="47">
        <v>0.2</v>
      </c>
      <c r="C47" s="47">
        <v>0.64</v>
      </c>
      <c r="D47" s="47">
        <v>0.16</v>
      </c>
      <c r="E47" s="21">
        <v>0.31380000000000002</v>
      </c>
      <c r="F47" s="24">
        <v>77081452.159929067</v>
      </c>
      <c r="G47" s="24">
        <v>67691708.989936829</v>
      </c>
    </row>
    <row r="48" spans="2:7" ht="16.95" customHeight="1">
      <c r="B48" s="47">
        <v>0.3</v>
      </c>
      <c r="C48" s="47">
        <v>0.55999999999999994</v>
      </c>
      <c r="D48" s="47">
        <v>0.14000000000000001</v>
      </c>
      <c r="E48" s="21">
        <v>0.32150000000000001</v>
      </c>
      <c r="F48" s="24">
        <v>76791239.069656938</v>
      </c>
      <c r="G48" s="24">
        <v>65937274.6884849</v>
      </c>
    </row>
    <row r="49" spans="2:7" ht="16.95" customHeight="1">
      <c r="B49" s="47">
        <v>0.4</v>
      </c>
      <c r="C49" s="47">
        <v>0.48</v>
      </c>
      <c r="D49" s="47">
        <v>0.12</v>
      </c>
      <c r="E49" s="21">
        <v>0.33260000000000001</v>
      </c>
      <c r="F49" s="24">
        <v>76310399.679575175</v>
      </c>
      <c r="G49" s="24">
        <v>63473125.493905738</v>
      </c>
    </row>
    <row r="50" spans="2:7" ht="16.95" customHeight="1">
      <c r="B50" s="47">
        <v>0.5</v>
      </c>
      <c r="C50" s="47">
        <v>0.4</v>
      </c>
      <c r="D50" s="47">
        <v>9.9999999999999992E-2</v>
      </c>
      <c r="E50" s="21">
        <v>0.34250000000000003</v>
      </c>
      <c r="F50" s="24">
        <v>75916589.783043697</v>
      </c>
      <c r="G50" s="24">
        <v>60759685.759555116</v>
      </c>
    </row>
    <row r="51" spans="2:7" ht="16.95" customHeight="1">
      <c r="B51" s="47">
        <v>0.6</v>
      </c>
      <c r="C51" s="47">
        <v>0.32</v>
      </c>
      <c r="D51" s="47">
        <v>0.08</v>
      </c>
      <c r="E51" s="21">
        <v>0.35</v>
      </c>
      <c r="F51" s="24">
        <v>75332015.861977875</v>
      </c>
      <c r="G51" s="24">
        <v>57926240.849100672</v>
      </c>
    </row>
    <row r="53" spans="2:7">
      <c r="B53" s="7" t="s">
        <v>307</v>
      </c>
    </row>
    <row r="54" spans="2:7" ht="22.05" customHeight="1">
      <c r="B54" s="9" t="s">
        <v>308</v>
      </c>
      <c r="C54" s="30" t="s">
        <v>309</v>
      </c>
      <c r="D54" s="30" t="s">
        <v>310</v>
      </c>
      <c r="E54" s="30" t="s">
        <v>311</v>
      </c>
      <c r="F54" s="9" t="s">
        <v>312</v>
      </c>
    </row>
    <row r="55" spans="2:7" ht="16.95" customHeight="1">
      <c r="B55" s="11" t="s">
        <v>313</v>
      </c>
      <c r="C55" s="24">
        <v>61907597.459425122</v>
      </c>
      <c r="D55" s="24">
        <v>63025653.777521864</v>
      </c>
      <c r="E55" s="24">
        <v>89</v>
      </c>
      <c r="F55" s="11" t="s">
        <v>314</v>
      </c>
    </row>
    <row r="56" spans="2:7" ht="16.95" customHeight="1">
      <c r="B56" s="11" t="s">
        <v>315</v>
      </c>
      <c r="C56" s="24">
        <v>63025653.777521864</v>
      </c>
      <c r="D56" s="24">
        <v>64143710.095618583</v>
      </c>
      <c r="E56" s="24">
        <v>74</v>
      </c>
      <c r="F56" s="11" t="s">
        <v>314</v>
      </c>
    </row>
    <row r="57" spans="2:7" ht="16.95" customHeight="1">
      <c r="B57" s="11" t="s">
        <v>316</v>
      </c>
      <c r="C57" s="24">
        <v>64143710.095618583</v>
      </c>
      <c r="D57" s="24">
        <v>65261766.413715318</v>
      </c>
      <c r="E57" s="24">
        <v>98</v>
      </c>
      <c r="F57" s="11" t="s">
        <v>314</v>
      </c>
    </row>
    <row r="58" spans="2:7" ht="16.95" customHeight="1">
      <c r="B58" s="11" t="s">
        <v>317</v>
      </c>
      <c r="C58" s="24">
        <v>65261766.413715318</v>
      </c>
      <c r="D58" s="24">
        <v>66379822.731812052</v>
      </c>
      <c r="E58" s="24">
        <v>141</v>
      </c>
      <c r="F58" s="11" t="s">
        <v>314</v>
      </c>
    </row>
    <row r="59" spans="2:7" ht="16.95" customHeight="1">
      <c r="B59" s="11" t="s">
        <v>318</v>
      </c>
      <c r="C59" s="24">
        <v>66379822.731812052</v>
      </c>
      <c r="D59" s="24">
        <v>67497879.049908787</v>
      </c>
      <c r="E59" s="24">
        <v>217</v>
      </c>
      <c r="F59" s="11" t="s">
        <v>314</v>
      </c>
    </row>
    <row r="60" spans="2:7" ht="16.95" customHeight="1">
      <c r="B60" s="11" t="s">
        <v>319</v>
      </c>
      <c r="C60" s="24">
        <v>67497879.049908787</v>
      </c>
      <c r="D60" s="24">
        <v>68615935.368005514</v>
      </c>
      <c r="E60" s="24">
        <v>252</v>
      </c>
      <c r="F60" s="11" t="s">
        <v>314</v>
      </c>
    </row>
    <row r="61" spans="2:7" ht="16.95" customHeight="1">
      <c r="B61" s="11" t="s">
        <v>320</v>
      </c>
      <c r="C61" s="24">
        <v>68615935.368005514</v>
      </c>
      <c r="D61" s="24">
        <v>69733991.686102241</v>
      </c>
      <c r="E61" s="24">
        <v>355</v>
      </c>
      <c r="F61" s="11" t="s">
        <v>314</v>
      </c>
    </row>
    <row r="62" spans="2:7" ht="16.95" customHeight="1">
      <c r="B62" s="11" t="s">
        <v>321</v>
      </c>
      <c r="C62" s="24">
        <v>69733991.686102241</v>
      </c>
      <c r="D62" s="24">
        <v>70852048.004198983</v>
      </c>
      <c r="E62" s="24">
        <v>428</v>
      </c>
      <c r="F62" s="11" t="s">
        <v>314</v>
      </c>
    </row>
    <row r="63" spans="2:7" ht="16.95" customHeight="1">
      <c r="B63" s="11" t="s">
        <v>322</v>
      </c>
      <c r="C63" s="24">
        <v>70852048.004198983</v>
      </c>
      <c r="D63" s="24">
        <v>71970104.32229571</v>
      </c>
      <c r="E63" s="24">
        <v>505</v>
      </c>
      <c r="F63" s="11" t="s">
        <v>314</v>
      </c>
    </row>
    <row r="64" spans="2:7" ht="16.95" customHeight="1">
      <c r="B64" s="11" t="s">
        <v>323</v>
      </c>
      <c r="C64" s="24">
        <v>71970104.32229571</v>
      </c>
      <c r="D64" s="24">
        <v>73088160.640392452</v>
      </c>
      <c r="E64" s="24">
        <v>572</v>
      </c>
      <c r="F64" s="11" t="s">
        <v>314</v>
      </c>
    </row>
    <row r="65" spans="2:6" ht="16.95" customHeight="1">
      <c r="B65" s="11" t="s">
        <v>324</v>
      </c>
      <c r="C65" s="24">
        <v>73088160.640392452</v>
      </c>
      <c r="D65" s="24">
        <v>74206216.95848918</v>
      </c>
      <c r="E65" s="24">
        <v>647</v>
      </c>
      <c r="F65" s="11" t="s">
        <v>314</v>
      </c>
    </row>
    <row r="66" spans="2:6" ht="16.95" customHeight="1">
      <c r="B66" s="11" t="s">
        <v>325</v>
      </c>
      <c r="C66" s="24">
        <v>74206216.95848918</v>
      </c>
      <c r="D66" s="24">
        <v>75324273.276585907</v>
      </c>
      <c r="E66" s="24">
        <v>649</v>
      </c>
      <c r="F66" s="11" t="s">
        <v>314</v>
      </c>
    </row>
    <row r="67" spans="2:6" ht="16.95" customHeight="1">
      <c r="B67" s="11" t="s">
        <v>326</v>
      </c>
      <c r="C67" s="24">
        <v>75324273.276585907</v>
      </c>
      <c r="D67" s="24">
        <v>76442329.594682649</v>
      </c>
      <c r="E67" s="24">
        <v>680</v>
      </c>
      <c r="F67" s="11" t="s">
        <v>314</v>
      </c>
    </row>
    <row r="68" spans="2:6" ht="16.95" customHeight="1">
      <c r="B68" s="11" t="s">
        <v>327</v>
      </c>
      <c r="C68" s="24">
        <v>76442329.594682649</v>
      </c>
      <c r="D68" s="24">
        <v>77560385.912779376</v>
      </c>
      <c r="E68" s="24">
        <v>683</v>
      </c>
      <c r="F68" s="11" t="s">
        <v>314</v>
      </c>
    </row>
    <row r="69" spans="2:6" ht="16.95" customHeight="1">
      <c r="B69" s="11" t="s">
        <v>328</v>
      </c>
      <c r="C69" s="24">
        <v>77560385.912779376</v>
      </c>
      <c r="D69" s="24">
        <v>78678442.230876103</v>
      </c>
      <c r="E69" s="24">
        <v>685</v>
      </c>
      <c r="F69" s="11" t="s">
        <v>314</v>
      </c>
    </row>
    <row r="70" spans="2:6" ht="16.95" customHeight="1">
      <c r="B70" s="11" t="s">
        <v>329</v>
      </c>
      <c r="C70" s="24">
        <v>78678442.230876103</v>
      </c>
      <c r="D70" s="24">
        <v>79796498.548972845</v>
      </c>
      <c r="E70" s="24">
        <v>641</v>
      </c>
      <c r="F70" s="11" t="s">
        <v>314</v>
      </c>
    </row>
    <row r="71" spans="2:6" ht="16.95" customHeight="1">
      <c r="B71" s="11" t="s">
        <v>330</v>
      </c>
      <c r="C71" s="24">
        <v>79796498.548972845</v>
      </c>
      <c r="D71" s="24">
        <v>80914554.867069572</v>
      </c>
      <c r="E71" s="24">
        <v>578</v>
      </c>
      <c r="F71" s="11" t="s">
        <v>331</v>
      </c>
    </row>
    <row r="72" spans="2:6" ht="16.95" customHeight="1">
      <c r="B72" s="11" t="s">
        <v>332</v>
      </c>
      <c r="C72" s="24">
        <v>80914554.867069572</v>
      </c>
      <c r="D72" s="24">
        <v>82032611.185166299</v>
      </c>
      <c r="E72" s="24">
        <v>520</v>
      </c>
      <c r="F72" s="11" t="s">
        <v>331</v>
      </c>
    </row>
    <row r="73" spans="2:6" ht="16.95" customHeight="1">
      <c r="B73" s="11" t="s">
        <v>333</v>
      </c>
      <c r="C73" s="24">
        <v>82032611.185166299</v>
      </c>
      <c r="D73" s="24">
        <v>83150667.503263041</v>
      </c>
      <c r="E73" s="24">
        <v>437</v>
      </c>
      <c r="F73" s="11" t="s">
        <v>331</v>
      </c>
    </row>
    <row r="74" spans="2:6" ht="16.95" customHeight="1">
      <c r="B74" s="11" t="s">
        <v>334</v>
      </c>
      <c r="C74" s="24">
        <v>83150667.503263041</v>
      </c>
      <c r="D74" s="24">
        <v>84268723.821359769</v>
      </c>
      <c r="E74" s="24">
        <v>390</v>
      </c>
      <c r="F74" s="11" t="s">
        <v>331</v>
      </c>
    </row>
    <row r="75" spans="2:6" ht="16.95" customHeight="1">
      <c r="B75" s="11" t="s">
        <v>335</v>
      </c>
      <c r="C75" s="24">
        <v>84268723.821359769</v>
      </c>
      <c r="D75" s="24">
        <v>85386780.139456511</v>
      </c>
      <c r="E75" s="24">
        <v>282</v>
      </c>
      <c r="F75" s="11" t="s">
        <v>331</v>
      </c>
    </row>
    <row r="76" spans="2:6" ht="16.95" customHeight="1">
      <c r="B76" s="11" t="s">
        <v>336</v>
      </c>
      <c r="C76" s="24">
        <v>85386780.139456511</v>
      </c>
      <c r="D76" s="24">
        <v>86504836.457553238</v>
      </c>
      <c r="E76" s="24">
        <v>282</v>
      </c>
      <c r="F76" s="11" t="s">
        <v>331</v>
      </c>
    </row>
    <row r="77" spans="2:6" ht="16.95" customHeight="1">
      <c r="B77" s="11" t="s">
        <v>337</v>
      </c>
      <c r="C77" s="24">
        <v>86504836.457553238</v>
      </c>
      <c r="D77" s="24">
        <v>87622892.775649965</v>
      </c>
      <c r="E77" s="24">
        <v>187</v>
      </c>
      <c r="F77" s="11" t="s">
        <v>331</v>
      </c>
    </row>
    <row r="78" spans="2:6" ht="16.95" customHeight="1">
      <c r="B78" s="11" t="s">
        <v>338</v>
      </c>
      <c r="C78" s="24">
        <v>87622892.775649965</v>
      </c>
      <c r="D78" s="24">
        <v>88740949.093746692</v>
      </c>
      <c r="E78" s="24">
        <v>153</v>
      </c>
      <c r="F78" s="11" t="s">
        <v>331</v>
      </c>
    </row>
    <row r="79" spans="2:6" ht="16.95" customHeight="1">
      <c r="B79" s="11" t="s">
        <v>339</v>
      </c>
      <c r="C79" s="24">
        <v>88740949.093746692</v>
      </c>
      <c r="D79" s="24">
        <v>89859005.411843434</v>
      </c>
      <c r="E79" s="24">
        <v>123</v>
      </c>
      <c r="F79" s="11" t="s">
        <v>331</v>
      </c>
    </row>
    <row r="80" spans="2:6" ht="16.95" customHeight="1">
      <c r="B80" s="11" t="s">
        <v>340</v>
      </c>
      <c r="C80" s="24">
        <v>89859005.411843434</v>
      </c>
      <c r="D80" s="24">
        <v>90977061.729940161</v>
      </c>
      <c r="E80" s="24">
        <v>97</v>
      </c>
      <c r="F80" s="11" t="s">
        <v>331</v>
      </c>
    </row>
    <row r="81" spans="2:6" ht="16.95" customHeight="1">
      <c r="B81" s="11" t="s">
        <v>341</v>
      </c>
      <c r="C81" s="24">
        <v>90977061.729940161</v>
      </c>
      <c r="D81" s="24">
        <v>92095118.048036903</v>
      </c>
      <c r="E81" s="24">
        <v>52</v>
      </c>
      <c r="F81" s="11" t="s">
        <v>331</v>
      </c>
    </row>
    <row r="82" spans="2:6" ht="16.95" customHeight="1">
      <c r="B82" s="11" t="s">
        <v>342</v>
      </c>
      <c r="C82" s="24">
        <v>92095118.048036903</v>
      </c>
      <c r="D82" s="24">
        <v>93213174.36613363</v>
      </c>
      <c r="E82" s="24">
        <v>62</v>
      </c>
      <c r="F82" s="11" t="s">
        <v>331</v>
      </c>
    </row>
    <row r="83" spans="2:6" ht="16.95" customHeight="1">
      <c r="B83" s="11" t="s">
        <v>343</v>
      </c>
      <c r="C83" s="24">
        <v>93213174.36613363</v>
      </c>
      <c r="D83" s="24">
        <v>94331230.684230357</v>
      </c>
      <c r="E83" s="24">
        <v>37</v>
      </c>
      <c r="F83" s="11" t="s">
        <v>331</v>
      </c>
    </row>
    <row r="84" spans="2:6" ht="16.95" customHeight="1">
      <c r="B84" s="11" t="s">
        <v>344</v>
      </c>
      <c r="C84" s="24">
        <v>94331230.684230357</v>
      </c>
      <c r="D84" s="24">
        <v>95449287.002327099</v>
      </c>
      <c r="E84" s="24">
        <v>84</v>
      </c>
      <c r="F84" s="11" t="s">
        <v>331</v>
      </c>
    </row>
  </sheetData>
  <printOptions horizontalCentered="1"/>
  <pageMargins left="0.75" right="0.75" top="1" bottom="1" header="0.5" footer="0.5"/>
  <pageSetup fitToHeight="0" orientation="landscape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1D5DB"/>
    <pageSetUpPr fitToPage="1"/>
  </sheetPr>
  <dimension ref="A2:G65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/>
  <cols>
    <col min="1" max="1" width="24" customWidth="1"/>
    <col min="2" max="6" width="20" customWidth="1"/>
    <col min="7" max="7" width="14" customWidth="1"/>
  </cols>
  <sheetData>
    <row r="2" spans="1:7" ht="20.399999999999999">
      <c r="A2" s="16" t="s">
        <v>345</v>
      </c>
    </row>
    <row r="4" spans="1:7" ht="22.05" customHeight="1">
      <c r="A4" s="9" t="s">
        <v>346</v>
      </c>
      <c r="B4" s="30" t="s">
        <v>347</v>
      </c>
      <c r="C4" s="30" t="s">
        <v>348</v>
      </c>
      <c r="D4" s="30" t="s">
        <v>349</v>
      </c>
      <c r="E4" s="30" t="s">
        <v>350</v>
      </c>
      <c r="F4" s="30" t="s">
        <v>351</v>
      </c>
      <c r="G4" s="30" t="s">
        <v>72</v>
      </c>
    </row>
    <row r="5" spans="1:7" ht="16.95" customHeight="1">
      <c r="A5" s="11">
        <v>0</v>
      </c>
      <c r="B5" s="24">
        <v>5000000</v>
      </c>
      <c r="C5" s="24">
        <v>5000000</v>
      </c>
      <c r="D5" s="24">
        <v>5000000</v>
      </c>
      <c r="E5" s="24">
        <v>5000000</v>
      </c>
      <c r="F5" s="24">
        <v>5000000</v>
      </c>
      <c r="G5" s="24">
        <f t="shared" ref="G5:G36" si="0">MetaCorrida</f>
        <v>80000000</v>
      </c>
    </row>
    <row r="6" spans="1:7" ht="16.95" customHeight="1">
      <c r="A6" s="11">
        <v>1</v>
      </c>
      <c r="B6" s="24">
        <v>5914311.0957680512</v>
      </c>
      <c r="C6" s="24">
        <v>5970658.9583435114</v>
      </c>
      <c r="D6" s="24">
        <v>6012783.4301931188</v>
      </c>
      <c r="E6" s="24">
        <v>6055711.625942599</v>
      </c>
      <c r="F6" s="24">
        <v>6121883.5615045074</v>
      </c>
      <c r="G6" s="24">
        <f t="shared" si="0"/>
        <v>80000000</v>
      </c>
    </row>
    <row r="7" spans="1:7" ht="16.95" customHeight="1">
      <c r="A7" s="11">
        <v>2</v>
      </c>
      <c r="B7" s="24">
        <v>6876860.3478176128</v>
      </c>
      <c r="C7" s="24">
        <v>6965446.7962542335</v>
      </c>
      <c r="D7" s="24">
        <v>7031267.9093130464</v>
      </c>
      <c r="E7" s="24">
        <v>7097986.7914266046</v>
      </c>
      <c r="F7" s="24">
        <v>7202875.3792618401</v>
      </c>
      <c r="G7" s="24">
        <f t="shared" si="0"/>
        <v>80000000</v>
      </c>
    </row>
    <row r="8" spans="1:7" ht="16.95" customHeight="1">
      <c r="A8" s="11">
        <v>3</v>
      </c>
      <c r="B8" s="24">
        <v>7843810.0021850485</v>
      </c>
      <c r="C8" s="24">
        <v>7967608.418006856</v>
      </c>
      <c r="D8" s="24">
        <v>8059385.4046132807</v>
      </c>
      <c r="E8" s="24">
        <v>8153867.1305992994</v>
      </c>
      <c r="F8" s="24">
        <v>8292185.7687944993</v>
      </c>
      <c r="G8" s="24">
        <f t="shared" si="0"/>
        <v>80000000</v>
      </c>
    </row>
    <row r="9" spans="1:7" ht="16.95" customHeight="1">
      <c r="A9" s="11">
        <v>4</v>
      </c>
      <c r="B9" s="24">
        <v>8809775.1189210564</v>
      </c>
      <c r="C9" s="24">
        <v>8974395.8522101454</v>
      </c>
      <c r="D9" s="24">
        <v>9091684.1835331433</v>
      </c>
      <c r="E9" s="24">
        <v>9214662.512683928</v>
      </c>
      <c r="F9" s="24">
        <v>9393808.4587146472</v>
      </c>
      <c r="G9" s="24">
        <f t="shared" si="0"/>
        <v>80000000</v>
      </c>
    </row>
    <row r="10" spans="1:7" ht="16.95" customHeight="1">
      <c r="A10" s="11">
        <v>5</v>
      </c>
      <c r="B10" s="24">
        <v>9781661.804553451</v>
      </c>
      <c r="C10" s="24">
        <v>9985234.6579554081</v>
      </c>
      <c r="D10" s="24">
        <v>10132247.603068151</v>
      </c>
      <c r="E10" s="24">
        <v>10284493.206963919</v>
      </c>
      <c r="F10" s="24">
        <v>10510087.64073565</v>
      </c>
      <c r="G10" s="24">
        <f t="shared" si="0"/>
        <v>80000000</v>
      </c>
    </row>
    <row r="11" spans="1:7" ht="16.95" customHeight="1">
      <c r="A11" s="11">
        <v>6</v>
      </c>
      <c r="B11" s="24">
        <v>10750270.69378135</v>
      </c>
      <c r="C11" s="24">
        <v>11001875.540273899</v>
      </c>
      <c r="D11" s="24">
        <v>11184535.91886826</v>
      </c>
      <c r="E11" s="24">
        <v>11364505.943479721</v>
      </c>
      <c r="F11" s="24">
        <v>11638485.36673061</v>
      </c>
      <c r="G11" s="24">
        <f t="shared" si="0"/>
        <v>80000000</v>
      </c>
    </row>
    <row r="12" spans="1:7" ht="16.95" customHeight="1">
      <c r="A12" s="11">
        <v>7</v>
      </c>
      <c r="B12" s="24">
        <v>11722005.142916691</v>
      </c>
      <c r="C12" s="24">
        <v>12022127.31649648</v>
      </c>
      <c r="D12" s="24">
        <v>12230077.247674219</v>
      </c>
      <c r="E12" s="24">
        <v>12451302.727312529</v>
      </c>
      <c r="F12" s="24">
        <v>12773818.02362638</v>
      </c>
      <c r="G12" s="24">
        <f t="shared" si="0"/>
        <v>80000000</v>
      </c>
    </row>
    <row r="13" spans="1:7" ht="16.95" customHeight="1">
      <c r="A13" s="11">
        <v>8</v>
      </c>
      <c r="B13" s="24">
        <v>12703761.81234728</v>
      </c>
      <c r="C13" s="24">
        <v>13048981.871647861</v>
      </c>
      <c r="D13" s="24">
        <v>13297261.17913047</v>
      </c>
      <c r="E13" s="24">
        <v>13554686.175693169</v>
      </c>
      <c r="F13" s="24">
        <v>13914411.345293971</v>
      </c>
      <c r="G13" s="24">
        <f t="shared" si="0"/>
        <v>80000000</v>
      </c>
    </row>
    <row r="14" spans="1:7" ht="16.95" customHeight="1">
      <c r="A14" s="11">
        <v>9</v>
      </c>
      <c r="B14" s="24">
        <v>13680477.98820482</v>
      </c>
      <c r="C14" s="24">
        <v>14080079.04047329</v>
      </c>
      <c r="D14" s="24">
        <v>14359869.17251442</v>
      </c>
      <c r="E14" s="24">
        <v>14654771.15653442</v>
      </c>
      <c r="F14" s="24">
        <v>15085012.652345531</v>
      </c>
      <c r="G14" s="24">
        <f t="shared" si="0"/>
        <v>80000000</v>
      </c>
    </row>
    <row r="15" spans="1:7" ht="16.95" customHeight="1">
      <c r="A15" s="11">
        <v>10</v>
      </c>
      <c r="B15" s="24">
        <v>14657271.18712334</v>
      </c>
      <c r="C15" s="24">
        <v>15111578.22669523</v>
      </c>
      <c r="D15" s="24">
        <v>15431822.55119752</v>
      </c>
      <c r="E15" s="24">
        <v>15771460.17370089</v>
      </c>
      <c r="F15" s="24">
        <v>16257028.78103612</v>
      </c>
      <c r="G15" s="24">
        <f t="shared" si="0"/>
        <v>80000000</v>
      </c>
    </row>
    <row r="16" spans="1:7" ht="16.95" customHeight="1">
      <c r="A16" s="11">
        <v>11</v>
      </c>
      <c r="B16" s="24">
        <v>15647565.158354539</v>
      </c>
      <c r="C16" s="24">
        <v>16147947.49436455</v>
      </c>
      <c r="D16" s="24">
        <v>16508646.118593561</v>
      </c>
      <c r="E16" s="24">
        <v>16892681.193124201</v>
      </c>
      <c r="F16" s="24">
        <v>17441403.663830418</v>
      </c>
      <c r="G16" s="24">
        <f t="shared" si="0"/>
        <v>80000000</v>
      </c>
    </row>
    <row r="17" spans="1:7" ht="16.95" customHeight="1">
      <c r="A17" s="11">
        <v>12</v>
      </c>
      <c r="B17" s="24">
        <v>16620267.526401879</v>
      </c>
      <c r="C17" s="24">
        <v>17185552.95954857</v>
      </c>
      <c r="D17" s="24">
        <v>17589377.103122558</v>
      </c>
      <c r="E17" s="24">
        <v>18012578.84650426</v>
      </c>
      <c r="F17" s="24">
        <v>18636247.152596131</v>
      </c>
      <c r="G17" s="24">
        <f t="shared" si="0"/>
        <v>80000000</v>
      </c>
    </row>
    <row r="18" spans="1:7" ht="16.95" customHeight="1">
      <c r="A18" s="11">
        <v>13</v>
      </c>
      <c r="B18" s="24">
        <v>17618799.700630762</v>
      </c>
      <c r="C18" s="24">
        <v>18238473.58741371</v>
      </c>
      <c r="D18" s="24">
        <v>18677515.130876519</v>
      </c>
      <c r="E18" s="24">
        <v>19152703.854511689</v>
      </c>
      <c r="F18" s="24">
        <v>19859196.626488149</v>
      </c>
      <c r="G18" s="24">
        <f t="shared" si="0"/>
        <v>80000000</v>
      </c>
    </row>
    <row r="19" spans="1:7" ht="16.95" customHeight="1">
      <c r="A19" s="11">
        <v>14</v>
      </c>
      <c r="B19" s="24">
        <v>18612920.55820743</v>
      </c>
      <c r="C19" s="24">
        <v>19288402.752294108</v>
      </c>
      <c r="D19" s="24">
        <v>19785026.94765107</v>
      </c>
      <c r="E19" s="24">
        <v>20296724.41263761</v>
      </c>
      <c r="F19" s="24">
        <v>21068919.58854631</v>
      </c>
      <c r="G19" s="24">
        <f t="shared" si="0"/>
        <v>80000000</v>
      </c>
    </row>
    <row r="20" spans="1:7" ht="16.95" customHeight="1">
      <c r="A20" s="11">
        <v>15</v>
      </c>
      <c r="B20" s="24">
        <v>19607327.059962109</v>
      </c>
      <c r="C20" s="24">
        <v>20351969.602300711</v>
      </c>
      <c r="D20" s="24">
        <v>20888703.32582581</v>
      </c>
      <c r="E20" s="24">
        <v>21443508.94464406</v>
      </c>
      <c r="F20" s="24">
        <v>22292330.22927177</v>
      </c>
      <c r="G20" s="24">
        <f t="shared" si="0"/>
        <v>80000000</v>
      </c>
    </row>
    <row r="21" spans="1:7" ht="16.95" customHeight="1">
      <c r="A21" s="11">
        <v>16</v>
      </c>
      <c r="B21" s="24">
        <v>20588392.353834528</v>
      </c>
      <c r="C21" s="24">
        <v>21399750.361858409</v>
      </c>
      <c r="D21" s="24">
        <v>21990108.99239859</v>
      </c>
      <c r="E21" s="24">
        <v>22606754.85451258</v>
      </c>
      <c r="F21" s="24">
        <v>23548861.20447756</v>
      </c>
      <c r="G21" s="24">
        <f t="shared" si="0"/>
        <v>80000000</v>
      </c>
    </row>
    <row r="22" spans="1:7" ht="16.95" customHeight="1">
      <c r="A22" s="11">
        <v>17</v>
      </c>
      <c r="B22" s="24">
        <v>21590847.409647949</v>
      </c>
      <c r="C22" s="24">
        <v>22471579.162588671</v>
      </c>
      <c r="D22" s="24">
        <v>23104692.347539499</v>
      </c>
      <c r="E22" s="24">
        <v>23769463.62563261</v>
      </c>
      <c r="F22" s="24">
        <v>24750767.095136989</v>
      </c>
      <c r="G22" s="24">
        <f t="shared" si="0"/>
        <v>80000000</v>
      </c>
    </row>
    <row r="23" spans="1:7" ht="16.95" customHeight="1">
      <c r="A23" s="11">
        <v>18</v>
      </c>
      <c r="B23" s="24">
        <v>22582443.059432659</v>
      </c>
      <c r="C23" s="24">
        <v>23541495.124201689</v>
      </c>
      <c r="D23" s="24">
        <v>24228080.736668061</v>
      </c>
      <c r="E23" s="24">
        <v>24929105.43825129</v>
      </c>
      <c r="F23" s="24">
        <v>26038985.661626041</v>
      </c>
      <c r="G23" s="24">
        <f t="shared" si="0"/>
        <v>80000000</v>
      </c>
    </row>
    <row r="24" spans="1:7" ht="16.95" customHeight="1">
      <c r="A24" s="11">
        <v>19</v>
      </c>
      <c r="B24" s="24">
        <v>23606536.62981255</v>
      </c>
      <c r="C24" s="24">
        <v>24620348.526029568</v>
      </c>
      <c r="D24" s="24">
        <v>25353426.418905001</v>
      </c>
      <c r="E24" s="24">
        <v>26099669.77999796</v>
      </c>
      <c r="F24" s="24">
        <v>27276243.195474248</v>
      </c>
      <c r="G24" s="24">
        <f t="shared" si="0"/>
        <v>80000000</v>
      </c>
    </row>
    <row r="25" spans="1:7" ht="16.95" customHeight="1">
      <c r="A25" s="11">
        <v>20</v>
      </c>
      <c r="B25" s="24">
        <v>24593127.994593412</v>
      </c>
      <c r="C25" s="24">
        <v>25698216.857431859</v>
      </c>
      <c r="D25" s="24">
        <v>26492924.490131419</v>
      </c>
      <c r="E25" s="24">
        <v>27297582.05980172</v>
      </c>
      <c r="F25" s="24">
        <v>28515495.16302371</v>
      </c>
      <c r="G25" s="24">
        <f t="shared" si="0"/>
        <v>80000000</v>
      </c>
    </row>
    <row r="26" spans="1:7" ht="16.95" customHeight="1">
      <c r="A26" s="11">
        <v>21</v>
      </c>
      <c r="B26" s="24">
        <v>25617153.82058309</v>
      </c>
      <c r="C26" s="24">
        <v>26778882.60072187</v>
      </c>
      <c r="D26" s="24">
        <v>27620216.403022438</v>
      </c>
      <c r="E26" s="24">
        <v>28485864.219582651</v>
      </c>
      <c r="F26" s="24">
        <v>29836435.27849162</v>
      </c>
      <c r="G26" s="24">
        <f t="shared" si="0"/>
        <v>80000000</v>
      </c>
    </row>
    <row r="27" spans="1:7" ht="16.95" customHeight="1">
      <c r="A27" s="11">
        <v>22</v>
      </c>
      <c r="B27" s="24">
        <v>26622663.229220498</v>
      </c>
      <c r="C27" s="24">
        <v>27857465.792972129</v>
      </c>
      <c r="D27" s="24">
        <v>28758051.0691524</v>
      </c>
      <c r="E27" s="24">
        <v>29685255.716975689</v>
      </c>
      <c r="F27" s="24">
        <v>31147583.248609051</v>
      </c>
      <c r="G27" s="24">
        <f t="shared" si="0"/>
        <v>80000000</v>
      </c>
    </row>
    <row r="28" spans="1:7" ht="16.95" customHeight="1">
      <c r="A28" s="11">
        <v>23</v>
      </c>
      <c r="B28" s="24">
        <v>27643960.84696145</v>
      </c>
      <c r="C28" s="24">
        <v>28955855.24860967</v>
      </c>
      <c r="D28" s="24">
        <v>29892201.198605381</v>
      </c>
      <c r="E28" s="24">
        <v>30908195.116148591</v>
      </c>
      <c r="F28" s="24">
        <v>32457929.2239802</v>
      </c>
      <c r="G28" s="24">
        <f t="shared" si="0"/>
        <v>80000000</v>
      </c>
    </row>
    <row r="29" spans="1:7" ht="16.95" customHeight="1">
      <c r="A29" s="11">
        <v>24</v>
      </c>
      <c r="B29" s="24">
        <v>28654528.692935642</v>
      </c>
      <c r="C29" s="24">
        <v>30042052.6188493</v>
      </c>
      <c r="D29" s="24">
        <v>31047207.70733951</v>
      </c>
      <c r="E29" s="24">
        <v>32119071.961214781</v>
      </c>
      <c r="F29" s="24">
        <v>33766130.587860659</v>
      </c>
      <c r="G29" s="24">
        <f t="shared" si="0"/>
        <v>80000000</v>
      </c>
    </row>
    <row r="30" spans="1:7" ht="16.95" customHeight="1">
      <c r="A30" s="11">
        <v>25</v>
      </c>
      <c r="B30" s="24">
        <v>29700988.48547088</v>
      </c>
      <c r="C30" s="24">
        <v>31143814.96709507</v>
      </c>
      <c r="D30" s="24">
        <v>32225795.15206518</v>
      </c>
      <c r="E30" s="24">
        <v>33360450.25967053</v>
      </c>
      <c r="F30" s="24">
        <v>35077321.175093703</v>
      </c>
      <c r="G30" s="24">
        <f t="shared" si="0"/>
        <v>80000000</v>
      </c>
    </row>
    <row r="31" spans="1:7" ht="16.95" customHeight="1">
      <c r="A31" s="11">
        <v>26</v>
      </c>
      <c r="B31" s="24">
        <v>30740405.806315269</v>
      </c>
      <c r="C31" s="24">
        <v>32255743.726280458</v>
      </c>
      <c r="D31" s="24">
        <v>33412016.445284959</v>
      </c>
      <c r="E31" s="24">
        <v>34591583.64582859</v>
      </c>
      <c r="F31" s="24">
        <v>36453182.639543913</v>
      </c>
      <c r="G31" s="24">
        <f t="shared" si="0"/>
        <v>80000000</v>
      </c>
    </row>
    <row r="32" spans="1:7" ht="16.95" customHeight="1">
      <c r="A32" s="11">
        <v>27</v>
      </c>
      <c r="B32" s="24">
        <v>31778898.30893413</v>
      </c>
      <c r="C32" s="24">
        <v>33364161.091216389</v>
      </c>
      <c r="D32" s="24">
        <v>34590366.567070603</v>
      </c>
      <c r="E32" s="24">
        <v>35842158.224658944</v>
      </c>
      <c r="F32" s="24">
        <v>37790267.896097802</v>
      </c>
      <c r="G32" s="24">
        <f t="shared" si="0"/>
        <v>80000000</v>
      </c>
    </row>
    <row r="33" spans="1:7" ht="16.95" customHeight="1">
      <c r="A33" s="11">
        <v>28</v>
      </c>
      <c r="B33" s="24">
        <v>32797802.621791661</v>
      </c>
      <c r="C33" s="24">
        <v>34483582.64117904</v>
      </c>
      <c r="D33" s="24">
        <v>35789043.217935607</v>
      </c>
      <c r="E33" s="24">
        <v>37090174.301770963</v>
      </c>
      <c r="F33" s="24">
        <v>39118125.214515351</v>
      </c>
      <c r="G33" s="24">
        <f t="shared" si="0"/>
        <v>80000000</v>
      </c>
    </row>
    <row r="34" spans="1:7" ht="16.95" customHeight="1">
      <c r="A34" s="11">
        <v>29</v>
      </c>
      <c r="B34" s="24">
        <v>33846346.329761647</v>
      </c>
      <c r="C34" s="24">
        <v>35601292.015197054</v>
      </c>
      <c r="D34" s="24">
        <v>36998825.273730949</v>
      </c>
      <c r="E34" s="24">
        <v>38374388.62950401</v>
      </c>
      <c r="F34" s="24">
        <v>40513341.180617183</v>
      </c>
      <c r="G34" s="24">
        <f t="shared" si="0"/>
        <v>80000000</v>
      </c>
    </row>
    <row r="35" spans="1:7" ht="16.95" customHeight="1">
      <c r="A35" s="11">
        <v>30</v>
      </c>
      <c r="B35" s="24">
        <v>34928576.449988849</v>
      </c>
      <c r="C35" s="24">
        <v>36716999.474604823</v>
      </c>
      <c r="D35" s="24">
        <v>38136586.458772913</v>
      </c>
      <c r="E35" s="24">
        <v>39629829.27955354</v>
      </c>
      <c r="F35" s="24">
        <v>41928254.733595356</v>
      </c>
      <c r="G35" s="24">
        <f t="shared" si="0"/>
        <v>80000000</v>
      </c>
    </row>
    <row r="36" spans="1:7" ht="16.95" customHeight="1">
      <c r="A36" s="11">
        <v>31</v>
      </c>
      <c r="B36" s="24">
        <v>35937591.676451951</v>
      </c>
      <c r="C36" s="24">
        <v>37850283.700010598</v>
      </c>
      <c r="D36" s="24">
        <v>39349759.912033923</v>
      </c>
      <c r="E36" s="24">
        <v>40905339.571963347</v>
      </c>
      <c r="F36" s="24">
        <v>43335776.921875313</v>
      </c>
      <c r="G36" s="24">
        <f t="shared" si="0"/>
        <v>80000000</v>
      </c>
    </row>
    <row r="37" spans="1:7" ht="16.95" customHeight="1">
      <c r="A37" s="11">
        <v>32</v>
      </c>
      <c r="B37" s="24">
        <v>36991893.402888447</v>
      </c>
      <c r="C37" s="24">
        <v>38978682.975111723</v>
      </c>
      <c r="D37" s="24">
        <v>40544463.854389913</v>
      </c>
      <c r="E37" s="24">
        <v>42198375.12926437</v>
      </c>
      <c r="F37" s="24">
        <v>44721662.135244541</v>
      </c>
      <c r="G37" s="24">
        <f t="shared" ref="G37:G65" si="1">MetaCorrida</f>
        <v>80000000</v>
      </c>
    </row>
    <row r="38" spans="1:7" ht="16.95" customHeight="1">
      <c r="A38" s="11">
        <v>33</v>
      </c>
      <c r="B38" s="24">
        <v>37981854.560316518</v>
      </c>
      <c r="C38" s="24">
        <v>40124596.394229412</v>
      </c>
      <c r="D38" s="24">
        <v>41746195.517038539</v>
      </c>
      <c r="E38" s="24">
        <v>43498338.292909794</v>
      </c>
      <c r="F38" s="24">
        <v>46100249.768688381</v>
      </c>
      <c r="G38" s="24">
        <f t="shared" si="1"/>
        <v>80000000</v>
      </c>
    </row>
    <row r="39" spans="1:7" ht="16.95" customHeight="1">
      <c r="A39" s="11">
        <v>34</v>
      </c>
      <c r="B39" s="24">
        <v>39001318.307798669</v>
      </c>
      <c r="C39" s="24">
        <v>41269858.343034603</v>
      </c>
      <c r="D39" s="24">
        <v>42962244.23602394</v>
      </c>
      <c r="E39" s="24">
        <v>44778074.779455557</v>
      </c>
      <c r="F39" s="24">
        <v>47546919.56951917</v>
      </c>
      <c r="G39" s="24">
        <f t="shared" si="1"/>
        <v>80000000</v>
      </c>
    </row>
    <row r="40" spans="1:7" ht="16.95" customHeight="1">
      <c r="A40" s="11">
        <v>35</v>
      </c>
      <c r="B40" s="24">
        <v>40067575.936313868</v>
      </c>
      <c r="C40" s="24">
        <v>42417403.105086736</v>
      </c>
      <c r="D40" s="24">
        <v>44198350.996051162</v>
      </c>
      <c r="E40" s="24">
        <v>46089806.061171673</v>
      </c>
      <c r="F40" s="24">
        <v>49036445.279062338</v>
      </c>
      <c r="G40" s="24">
        <f t="shared" si="1"/>
        <v>80000000</v>
      </c>
    </row>
    <row r="41" spans="1:7" ht="16.95" customHeight="1">
      <c r="A41" s="11">
        <v>36</v>
      </c>
      <c r="B41" s="24">
        <v>41098888.994973823</v>
      </c>
      <c r="C41" s="24">
        <v>43559789.570940718</v>
      </c>
      <c r="D41" s="24">
        <v>45394230.644574352</v>
      </c>
      <c r="E41" s="24">
        <v>47379959.984533288</v>
      </c>
      <c r="F41" s="24">
        <v>50442980.52347564</v>
      </c>
      <c r="G41" s="24">
        <f t="shared" si="1"/>
        <v>80000000</v>
      </c>
    </row>
    <row r="42" spans="1:7" ht="16.95" customHeight="1">
      <c r="A42" s="11">
        <v>37</v>
      </c>
      <c r="B42" s="24">
        <v>42134425.616808102</v>
      </c>
      <c r="C42" s="24">
        <v>44722498.180594772</v>
      </c>
      <c r="D42" s="24">
        <v>46633363.454796121</v>
      </c>
      <c r="E42" s="24">
        <v>48719736.404444687</v>
      </c>
      <c r="F42" s="24">
        <v>51843084.610425077</v>
      </c>
      <c r="G42" s="24">
        <f t="shared" si="1"/>
        <v>80000000</v>
      </c>
    </row>
    <row r="43" spans="1:7" ht="16.95" customHeight="1">
      <c r="A43" s="11">
        <v>38</v>
      </c>
      <c r="B43" s="24">
        <v>43207245.290766887</v>
      </c>
      <c r="C43" s="24">
        <v>45882470.231170401</v>
      </c>
      <c r="D43" s="24">
        <v>47895724.400571018</v>
      </c>
      <c r="E43" s="24">
        <v>50049382.466823548</v>
      </c>
      <c r="F43" s="24">
        <v>53306875.696509443</v>
      </c>
      <c r="G43" s="24">
        <f t="shared" si="1"/>
        <v>80000000</v>
      </c>
    </row>
    <row r="44" spans="1:7" ht="16.95" customHeight="1">
      <c r="A44" s="11">
        <v>39</v>
      </c>
      <c r="B44" s="24">
        <v>44247926.503457613</v>
      </c>
      <c r="C44" s="24">
        <v>47048473.089172758</v>
      </c>
      <c r="D44" s="24">
        <v>49132191.784466967</v>
      </c>
      <c r="E44" s="24">
        <v>51392296.657995403</v>
      </c>
      <c r="F44" s="24">
        <v>54741598.924187921</v>
      </c>
      <c r="G44" s="24">
        <f t="shared" si="1"/>
        <v>80000000</v>
      </c>
    </row>
    <row r="45" spans="1:7" ht="16.95" customHeight="1">
      <c r="A45" s="11">
        <v>40</v>
      </c>
      <c r="B45" s="24">
        <v>45320130.232167147</v>
      </c>
      <c r="C45" s="24">
        <v>48201737.876624197</v>
      </c>
      <c r="D45" s="24">
        <v>50385787.242980011</v>
      </c>
      <c r="E45" s="24">
        <v>52741862.784243748</v>
      </c>
      <c r="F45" s="24">
        <v>56260017.89996852</v>
      </c>
      <c r="G45" s="24">
        <f t="shared" si="1"/>
        <v>80000000</v>
      </c>
    </row>
    <row r="46" spans="1:7" ht="16.95" customHeight="1">
      <c r="A46" s="11">
        <v>41</v>
      </c>
      <c r="B46" s="24">
        <v>46326580.003991053</v>
      </c>
      <c r="C46" s="24">
        <v>49347648.715186812</v>
      </c>
      <c r="D46" s="24">
        <v>51648611.322775543</v>
      </c>
      <c r="E46" s="24">
        <v>54099403.867382951</v>
      </c>
      <c r="F46" s="24">
        <v>57798380.828501523</v>
      </c>
      <c r="G46" s="24">
        <f t="shared" si="1"/>
        <v>80000000</v>
      </c>
    </row>
    <row r="47" spans="1:7" ht="16.95" customHeight="1">
      <c r="A47" s="11">
        <v>42</v>
      </c>
      <c r="B47" s="24">
        <v>47394989.734912284</v>
      </c>
      <c r="C47" s="24">
        <v>50543806.346343078</v>
      </c>
      <c r="D47" s="24">
        <v>52979864.813921116</v>
      </c>
      <c r="E47" s="24">
        <v>55481745.820616089</v>
      </c>
      <c r="F47" s="24">
        <v>59229595.168133587</v>
      </c>
      <c r="G47" s="24">
        <f t="shared" si="1"/>
        <v>80000000</v>
      </c>
    </row>
    <row r="48" spans="1:7" ht="16.95" customHeight="1">
      <c r="A48" s="11">
        <v>43</v>
      </c>
      <c r="B48" s="24">
        <v>48482117.640881993</v>
      </c>
      <c r="C48" s="24">
        <v>51722935.448754176</v>
      </c>
      <c r="D48" s="24">
        <v>54266860.277984381</v>
      </c>
      <c r="E48" s="24">
        <v>56831549.575846143</v>
      </c>
      <c r="F48" s="24">
        <v>60797543.906318948</v>
      </c>
      <c r="G48" s="24">
        <f t="shared" si="1"/>
        <v>80000000</v>
      </c>
    </row>
    <row r="49" spans="1:7" ht="16.95" customHeight="1">
      <c r="A49" s="11">
        <v>44</v>
      </c>
      <c r="B49" s="24">
        <v>49510883.586181954</v>
      </c>
      <c r="C49" s="24">
        <v>52846893.46265775</v>
      </c>
      <c r="D49" s="24">
        <v>55523450.256445572</v>
      </c>
      <c r="E49" s="24">
        <v>58185525.032167003</v>
      </c>
      <c r="F49" s="24">
        <v>62344256.755749144</v>
      </c>
      <c r="G49" s="24">
        <f t="shared" si="1"/>
        <v>80000000</v>
      </c>
    </row>
    <row r="50" spans="1:7" ht="16.95" customHeight="1">
      <c r="A50" s="11">
        <v>45</v>
      </c>
      <c r="B50" s="24">
        <v>50616041.854898527</v>
      </c>
      <c r="C50" s="24">
        <v>54075552.505053744</v>
      </c>
      <c r="D50" s="24">
        <v>56797856.200117528</v>
      </c>
      <c r="E50" s="24">
        <v>59602336.08033973</v>
      </c>
      <c r="F50" s="24">
        <v>63775552.345505252</v>
      </c>
      <c r="G50" s="24">
        <f t="shared" si="1"/>
        <v>80000000</v>
      </c>
    </row>
    <row r="51" spans="1:7" ht="16.95" customHeight="1">
      <c r="A51" s="11">
        <v>46</v>
      </c>
      <c r="B51" s="24">
        <v>51623300.62565504</v>
      </c>
      <c r="C51" s="24">
        <v>55267001.365616627</v>
      </c>
      <c r="D51" s="24">
        <v>58089418.372589007</v>
      </c>
      <c r="E51" s="24">
        <v>60956139.723076388</v>
      </c>
      <c r="F51" s="24">
        <v>65454924.481305636</v>
      </c>
      <c r="G51" s="24">
        <f t="shared" si="1"/>
        <v>80000000</v>
      </c>
    </row>
    <row r="52" spans="1:7" ht="16.95" customHeight="1">
      <c r="A52" s="11">
        <v>47</v>
      </c>
      <c r="B52" s="24">
        <v>52709698.109702677</v>
      </c>
      <c r="C52" s="24">
        <v>56508001.082696453</v>
      </c>
      <c r="D52" s="24">
        <v>59383708.560543209</v>
      </c>
      <c r="E52" s="24">
        <v>62338835.730106667</v>
      </c>
      <c r="F52" s="24">
        <v>66980483.345466733</v>
      </c>
      <c r="G52" s="24">
        <f t="shared" si="1"/>
        <v>80000000</v>
      </c>
    </row>
    <row r="53" spans="1:7" ht="16.95" customHeight="1">
      <c r="A53" s="11">
        <v>48</v>
      </c>
      <c r="B53" s="24">
        <v>53776889.157706782</v>
      </c>
      <c r="C53" s="24">
        <v>57673560.060979962</v>
      </c>
      <c r="D53" s="24">
        <v>60749965.252172962</v>
      </c>
      <c r="E53" s="24">
        <v>63726330.336737163</v>
      </c>
      <c r="F53" s="24">
        <v>68499109.40196985</v>
      </c>
      <c r="G53" s="24">
        <f t="shared" si="1"/>
        <v>80000000</v>
      </c>
    </row>
    <row r="54" spans="1:7" ht="16.95" customHeight="1">
      <c r="A54" s="11">
        <v>49</v>
      </c>
      <c r="B54" s="24">
        <v>54906610.060701363</v>
      </c>
      <c r="C54" s="24">
        <v>58923958.734634399</v>
      </c>
      <c r="D54" s="24">
        <v>62042527.9313934</v>
      </c>
      <c r="E54" s="24">
        <v>65182865.889050417</v>
      </c>
      <c r="F54" s="24">
        <v>70201344.853406549</v>
      </c>
      <c r="G54" s="24">
        <f t="shared" si="1"/>
        <v>80000000</v>
      </c>
    </row>
    <row r="55" spans="1:7" ht="16.95" customHeight="1">
      <c r="A55" s="11">
        <v>50</v>
      </c>
      <c r="B55" s="24">
        <v>55979616.939374954</v>
      </c>
      <c r="C55" s="24">
        <v>60156719.120063066</v>
      </c>
      <c r="D55" s="24">
        <v>63406280.255532771</v>
      </c>
      <c r="E55" s="24">
        <v>66607856.795996644</v>
      </c>
      <c r="F55" s="24">
        <v>71866638.577742919</v>
      </c>
      <c r="G55" s="24">
        <f t="shared" si="1"/>
        <v>80000000</v>
      </c>
    </row>
    <row r="56" spans="1:7" ht="16.95" customHeight="1">
      <c r="A56" s="11">
        <v>51</v>
      </c>
      <c r="B56" s="24">
        <v>57017617.355486043</v>
      </c>
      <c r="C56" s="24">
        <v>61340135.452610306</v>
      </c>
      <c r="D56" s="24">
        <v>64685475.392038107</v>
      </c>
      <c r="E56" s="24">
        <v>68085043.140727699</v>
      </c>
      <c r="F56" s="24">
        <v>73529060.335764796</v>
      </c>
      <c r="G56" s="24">
        <f t="shared" si="1"/>
        <v>80000000</v>
      </c>
    </row>
    <row r="57" spans="1:7" ht="16.95" customHeight="1">
      <c r="A57" s="11">
        <v>52</v>
      </c>
      <c r="B57" s="24">
        <v>58076989.815078422</v>
      </c>
      <c r="C57" s="24">
        <v>62603715.070966698</v>
      </c>
      <c r="D57" s="24">
        <v>66046041.467728063</v>
      </c>
      <c r="E57" s="24">
        <v>69503002.98510237</v>
      </c>
      <c r="F57" s="24">
        <v>75051975.400906757</v>
      </c>
      <c r="G57" s="24">
        <f t="shared" si="1"/>
        <v>80000000</v>
      </c>
    </row>
    <row r="58" spans="1:7" ht="16.95" customHeight="1">
      <c r="A58" s="11">
        <v>53</v>
      </c>
      <c r="B58" s="24">
        <v>59313674.636237957</v>
      </c>
      <c r="C58" s="24">
        <v>63849883.474785797</v>
      </c>
      <c r="D58" s="24">
        <v>67372393.580884516</v>
      </c>
      <c r="E58" s="24">
        <v>70962587.621793568</v>
      </c>
      <c r="F58" s="24">
        <v>76660048.815711975</v>
      </c>
      <c r="G58" s="24">
        <f t="shared" si="1"/>
        <v>80000000</v>
      </c>
    </row>
    <row r="59" spans="1:7" ht="16.95" customHeight="1">
      <c r="A59" s="11">
        <v>54</v>
      </c>
      <c r="B59" s="24">
        <v>60387583.467135631</v>
      </c>
      <c r="C59" s="24">
        <v>65133520.340913042</v>
      </c>
      <c r="D59" s="24">
        <v>68748551.167880476</v>
      </c>
      <c r="E59" s="24">
        <v>72402921.135644287</v>
      </c>
      <c r="F59" s="24">
        <v>78388045.283831745</v>
      </c>
      <c r="G59" s="24">
        <f t="shared" si="1"/>
        <v>80000000</v>
      </c>
    </row>
    <row r="60" spans="1:7" ht="16.95" customHeight="1">
      <c r="A60" s="11">
        <v>55</v>
      </c>
      <c r="B60" s="24">
        <v>61475841.229134277</v>
      </c>
      <c r="C60" s="24">
        <v>66391675.311264507</v>
      </c>
      <c r="D60" s="24">
        <v>70051905.749069124</v>
      </c>
      <c r="E60" s="24">
        <v>73850822.387012348</v>
      </c>
      <c r="F60" s="24">
        <v>80034895.10892038</v>
      </c>
      <c r="G60" s="24">
        <f t="shared" si="1"/>
        <v>80000000</v>
      </c>
    </row>
    <row r="61" spans="1:7" ht="16.95" customHeight="1">
      <c r="A61" s="11">
        <v>56</v>
      </c>
      <c r="B61" s="24">
        <v>62552951.468391508</v>
      </c>
      <c r="C61" s="24">
        <v>67661897.016370744</v>
      </c>
      <c r="D61" s="24">
        <v>71439294.433142036</v>
      </c>
      <c r="E61" s="24">
        <v>75394087.875479817</v>
      </c>
      <c r="F61" s="24">
        <v>81584912.125740513</v>
      </c>
      <c r="G61" s="24">
        <f t="shared" si="1"/>
        <v>80000000</v>
      </c>
    </row>
    <row r="62" spans="1:7" ht="16.95" customHeight="1">
      <c r="A62" s="11">
        <v>57</v>
      </c>
      <c r="B62" s="24">
        <v>63689244.317130178</v>
      </c>
      <c r="C62" s="24">
        <v>68916663.97920844</v>
      </c>
      <c r="D62" s="24">
        <v>72775306.699326009</v>
      </c>
      <c r="E62" s="24">
        <v>76886432.908124223</v>
      </c>
      <c r="F62" s="24">
        <v>83224390.36497876</v>
      </c>
      <c r="G62" s="24">
        <f t="shared" si="1"/>
        <v>80000000</v>
      </c>
    </row>
    <row r="63" spans="1:7" ht="16.95" customHeight="1">
      <c r="A63" s="11">
        <v>58</v>
      </c>
      <c r="B63" s="24">
        <v>64737057.448821127</v>
      </c>
      <c r="C63" s="24">
        <v>70151680.817064866</v>
      </c>
      <c r="D63" s="24">
        <v>74164374.572013229</v>
      </c>
      <c r="E63" s="24">
        <v>78408253.309020281</v>
      </c>
      <c r="F63" s="24">
        <v>84935948.665965483</v>
      </c>
      <c r="G63" s="24">
        <f t="shared" si="1"/>
        <v>80000000</v>
      </c>
    </row>
    <row r="64" spans="1:7" ht="16.95" customHeight="1">
      <c r="A64" s="11">
        <v>59</v>
      </c>
      <c r="B64" s="24">
        <v>65922205.11576771</v>
      </c>
      <c r="C64" s="24">
        <v>71397963.728307977</v>
      </c>
      <c r="D64" s="24">
        <v>75562473.241845265</v>
      </c>
      <c r="E64" s="24">
        <v>79914369.411914602</v>
      </c>
      <c r="F64" s="24">
        <v>86803471.154746756</v>
      </c>
      <c r="G64" s="24">
        <f t="shared" si="1"/>
        <v>80000000</v>
      </c>
    </row>
    <row r="65" spans="1:7" ht="16.95" customHeight="1">
      <c r="A65" s="11">
        <v>60</v>
      </c>
      <c r="B65" s="24">
        <v>66949561.611366928</v>
      </c>
      <c r="C65" s="24">
        <v>72633769.823238388</v>
      </c>
      <c r="D65" s="24">
        <v>76928501.273786187</v>
      </c>
      <c r="E65" s="24">
        <v>81340499.812420964</v>
      </c>
      <c r="F65" s="24">
        <v>88411987.731544197</v>
      </c>
      <c r="G65" s="24">
        <f t="shared" si="1"/>
        <v>80000000</v>
      </c>
    </row>
  </sheetData>
  <printOptions horizontalCentered="1"/>
  <pageMargins left="0.75" right="0.75" top="1" bottom="1" header="0.5" footer="0.5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1D5DB"/>
    <pageSetUpPr fitToPage="1"/>
  </sheetPr>
  <dimension ref="A2:E33"/>
  <sheetViews>
    <sheetView showGridLines="0" workbookViewId="0"/>
  </sheetViews>
  <sheetFormatPr baseColWidth="10" defaultColWidth="8.88671875" defaultRowHeight="14.4"/>
  <cols>
    <col min="1" max="1" width="60" customWidth="1"/>
    <col min="2" max="2" width="70" customWidth="1"/>
    <col min="3" max="3" width="55" customWidth="1"/>
    <col min="4" max="4" width="15" customWidth="1"/>
    <col min="5" max="5" width="59" customWidth="1"/>
  </cols>
  <sheetData>
    <row r="2" spans="1:5" ht="20.399999999999999">
      <c r="A2" s="16" t="s">
        <v>352</v>
      </c>
    </row>
    <row r="4" spans="1:5" ht="22.05" customHeight="1">
      <c r="A4" s="9" t="s">
        <v>107</v>
      </c>
      <c r="B4" s="9" t="s">
        <v>353</v>
      </c>
      <c r="C4" s="9" t="s">
        <v>354</v>
      </c>
      <c r="D4" s="30" t="s">
        <v>156</v>
      </c>
      <c r="E4" s="9" t="s">
        <v>355</v>
      </c>
    </row>
    <row r="5" spans="1:5" ht="16.95" customHeight="1">
      <c r="A5" s="11" t="s">
        <v>157</v>
      </c>
      <c r="B5" s="11" t="s">
        <v>356</v>
      </c>
      <c r="C5" s="11" t="s">
        <v>105</v>
      </c>
      <c r="D5" s="24">
        <v>121</v>
      </c>
      <c r="E5" s="11" t="s">
        <v>357</v>
      </c>
    </row>
    <row r="6" spans="1:5" ht="16.95" customHeight="1">
      <c r="A6" s="11" t="s">
        <v>159</v>
      </c>
      <c r="B6" s="11" t="s">
        <v>358</v>
      </c>
      <c r="C6" s="11" t="s">
        <v>105</v>
      </c>
      <c r="D6" s="24">
        <v>121</v>
      </c>
      <c r="E6" s="11" t="s">
        <v>357</v>
      </c>
    </row>
    <row r="7" spans="1:5" ht="16.95" customHeight="1">
      <c r="A7" s="11" t="s">
        <v>359</v>
      </c>
      <c r="B7" s="11" t="s">
        <v>360</v>
      </c>
      <c r="C7" s="11" t="s">
        <v>105</v>
      </c>
      <c r="D7" s="24">
        <v>121</v>
      </c>
      <c r="E7" s="11" t="s">
        <v>361</v>
      </c>
    </row>
    <row r="8" spans="1:5" ht="16.95" customHeight="1">
      <c r="A8" s="11" t="s">
        <v>362</v>
      </c>
      <c r="B8" s="11" t="s">
        <v>363</v>
      </c>
      <c r="C8" s="11" t="s">
        <v>105</v>
      </c>
      <c r="D8" s="48"/>
      <c r="E8" s="11" t="s">
        <v>364</v>
      </c>
    </row>
    <row r="9" spans="1:5" ht="16.95" customHeight="1">
      <c r="A9" s="11" t="s">
        <v>365</v>
      </c>
      <c r="B9" s="11" t="s">
        <v>366</v>
      </c>
      <c r="C9" s="11" t="s">
        <v>105</v>
      </c>
      <c r="D9" s="24">
        <v>120</v>
      </c>
      <c r="E9" s="11" t="s">
        <v>367</v>
      </c>
    </row>
    <row r="10" spans="1:5" ht="16.95" customHeight="1">
      <c r="A10" s="11" t="s">
        <v>368</v>
      </c>
      <c r="B10" s="11" t="s">
        <v>369</v>
      </c>
      <c r="C10" s="11" t="s">
        <v>105</v>
      </c>
      <c r="D10" s="48"/>
      <c r="E10" s="11" t="s">
        <v>370</v>
      </c>
    </row>
    <row r="11" spans="1:5" ht="16.95" customHeight="1">
      <c r="A11" s="11" t="s">
        <v>371</v>
      </c>
      <c r="B11" s="11" t="s">
        <v>372</v>
      </c>
      <c r="C11" s="11" t="s">
        <v>105</v>
      </c>
      <c r="D11" s="48"/>
      <c r="E11" s="11" t="s">
        <v>20</v>
      </c>
    </row>
    <row r="12" spans="1:5" ht="16.95" customHeight="1">
      <c r="A12" s="11" t="s">
        <v>373</v>
      </c>
      <c r="B12" s="11" t="s">
        <v>374</v>
      </c>
      <c r="C12" s="11" t="s">
        <v>105</v>
      </c>
      <c r="D12" s="48"/>
      <c r="E12" s="11" t="s">
        <v>375</v>
      </c>
    </row>
    <row r="15" spans="1:5" ht="22.05" customHeight="1">
      <c r="A15" s="9" t="s">
        <v>376</v>
      </c>
      <c r="B15" s="9" t="s">
        <v>261</v>
      </c>
      <c r="C15" s="9" t="s">
        <v>355</v>
      </c>
    </row>
    <row r="16" spans="1:5" ht="16.95" customHeight="1">
      <c r="A16" s="11" t="s">
        <v>377</v>
      </c>
      <c r="B16" s="11" t="s">
        <v>54</v>
      </c>
      <c r="C16" s="11" t="s">
        <v>378</v>
      </c>
    </row>
    <row r="17" spans="1:5" ht="16.95" customHeight="1">
      <c r="A17" s="11" t="s">
        <v>379</v>
      </c>
      <c r="B17" s="11" t="s">
        <v>54</v>
      </c>
      <c r="C17" s="11" t="s">
        <v>380</v>
      </c>
    </row>
    <row r="18" spans="1:5" ht="16.95" customHeight="1">
      <c r="A18" s="11" t="s">
        <v>43</v>
      </c>
      <c r="B18" s="11" t="s">
        <v>54</v>
      </c>
      <c r="C18" s="11" t="s">
        <v>381</v>
      </c>
    </row>
    <row r="19" spans="1:5" ht="16.95" customHeight="1">
      <c r="A19" s="11" t="s">
        <v>382</v>
      </c>
      <c r="B19" s="11" t="s">
        <v>54</v>
      </c>
      <c r="C19" s="11" t="s">
        <v>383</v>
      </c>
    </row>
    <row r="20" spans="1:5" ht="16.95" customHeight="1">
      <c r="A20" s="11" t="s">
        <v>384</v>
      </c>
      <c r="B20" s="11" t="s">
        <v>54</v>
      </c>
      <c r="C20" s="11" t="s">
        <v>385</v>
      </c>
    </row>
    <row r="21" spans="1:5" ht="16.95" customHeight="1">
      <c r="A21" s="11" t="s">
        <v>386</v>
      </c>
      <c r="B21" s="11" t="s">
        <v>54</v>
      </c>
      <c r="C21" s="11" t="s">
        <v>387</v>
      </c>
    </row>
    <row r="22" spans="1:5" ht="16.95" customHeight="1">
      <c r="A22" s="11" t="s">
        <v>388</v>
      </c>
      <c r="B22" s="11" t="s">
        <v>54</v>
      </c>
      <c r="C22" s="11" t="s">
        <v>389</v>
      </c>
    </row>
    <row r="23" spans="1:5" ht="16.95" customHeight="1">
      <c r="A23" s="11" t="s">
        <v>390</v>
      </c>
      <c r="B23" s="11" t="s">
        <v>54</v>
      </c>
      <c r="C23" s="11" t="s">
        <v>391</v>
      </c>
    </row>
    <row r="26" spans="1:5" ht="40.049999999999997" customHeight="1">
      <c r="A26" s="55" t="s">
        <v>392</v>
      </c>
      <c r="B26" s="52"/>
      <c r="C26" s="52"/>
      <c r="D26" s="52"/>
      <c r="E26" s="52"/>
    </row>
    <row r="27" spans="1:5" ht="40.049999999999997" customHeight="1">
      <c r="A27" s="55" t="s">
        <v>393</v>
      </c>
      <c r="B27" s="52"/>
      <c r="C27" s="52"/>
      <c r="D27" s="52"/>
      <c r="E27" s="52"/>
    </row>
    <row r="28" spans="1:5" ht="40.049999999999997" customHeight="1">
      <c r="A28" s="55" t="s">
        <v>394</v>
      </c>
      <c r="B28" s="52"/>
      <c r="C28" s="52"/>
      <c r="D28" s="52"/>
      <c r="E28" s="52"/>
    </row>
    <row r="29" spans="1:5" ht="40.049999999999997" customHeight="1">
      <c r="A29" s="55" t="s">
        <v>395</v>
      </c>
      <c r="B29" s="52"/>
      <c r="C29" s="52"/>
      <c r="D29" s="52"/>
      <c r="E29" s="52"/>
    </row>
    <row r="30" spans="1:5" ht="40.049999999999997" customHeight="1">
      <c r="A30" s="55" t="s">
        <v>396</v>
      </c>
      <c r="B30" s="52"/>
      <c r="C30" s="52"/>
      <c r="D30" s="52"/>
      <c r="E30" s="52"/>
    </row>
    <row r="31" spans="1:5" ht="40.049999999999997" customHeight="1">
      <c r="A31" s="55" t="s">
        <v>397</v>
      </c>
      <c r="B31" s="52"/>
      <c r="C31" s="52"/>
      <c r="D31" s="52"/>
      <c r="E31" s="52"/>
    </row>
    <row r="32" spans="1:5" ht="40.049999999999997" customHeight="1">
      <c r="A32" s="55" t="s">
        <v>398</v>
      </c>
      <c r="B32" s="52"/>
      <c r="C32" s="52"/>
      <c r="D32" s="52"/>
      <c r="E32" s="52"/>
    </row>
    <row r="33" spans="1:5" ht="40.049999999999997" customHeight="1">
      <c r="A33" s="55" t="s">
        <v>399</v>
      </c>
      <c r="B33" s="52"/>
      <c r="C33" s="52"/>
      <c r="D33" s="52"/>
      <c r="E33" s="52"/>
    </row>
  </sheetData>
  <mergeCells count="8">
    <mergeCell ref="A30:E30"/>
    <mergeCell ref="A29:E29"/>
    <mergeCell ref="A26:E26"/>
    <mergeCell ref="A28:E28"/>
    <mergeCell ref="A33:E33"/>
    <mergeCell ref="A32:E32"/>
    <mergeCell ref="A31:E31"/>
    <mergeCell ref="A27:E27"/>
  </mergeCells>
  <printOptions horizontalCentered="1"/>
  <pageMargins left="0.75" right="0.75" top="1" bottom="1" header="0.5" footer="0.5"/>
  <pageSetup fitToHeight="0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83</vt:i4>
      </vt:variant>
    </vt:vector>
  </HeadingPairs>
  <TitlesOfParts>
    <vt:vector size="93" baseType="lpstr">
      <vt:lpstr>Resumen</vt:lpstr>
      <vt:lpstr>Controles</vt:lpstr>
      <vt:lpstr>Parametros</vt:lpstr>
      <vt:lpstr>Supuestos_EnVivo</vt:lpstr>
      <vt:lpstr>Calibracion</vt:lpstr>
      <vt:lpstr>Modelo_Base</vt:lpstr>
      <vt:lpstr>Simulacion</vt:lpstr>
      <vt:lpstr>Resultados</vt:lpstr>
      <vt:lpstr>Percentiles_Mes</vt:lpstr>
      <vt:lpstr>Fuentes</vt:lpstr>
      <vt:lpstr>AhorroInicial</vt:lpstr>
      <vt:lpstr>AhorroInicialCorrida</vt:lpstr>
      <vt:lpstr>Aporte80</vt:lpstr>
      <vt:lpstr>AporteMensual</vt:lpstr>
      <vt:lpstr>AporteMensualCorrida</vt:lpstr>
      <vt:lpstr>AportesRealesMedios</vt:lpstr>
      <vt:lpstr>Asset</vt:lpstr>
      <vt:lpstr>CDTa</vt:lpstr>
      <vt:lpstr>CDTb</vt:lpstr>
      <vt:lpstr>CDTsigma</vt:lpstr>
      <vt:lpstr>CDTspread</vt:lpstr>
      <vt:lpstr>CDTx0</vt:lpstr>
      <vt:lpstr>CDTy0</vt:lpstr>
      <vt:lpstr>CorrPSD</vt:lpstr>
      <vt:lpstr>CrecimientoAporte</vt:lpstr>
      <vt:lpstr>CrecimientoCorrida</vt:lpstr>
      <vt:lpstr>CVaR95</vt:lpstr>
      <vt:lpstr>DDMediana</vt:lpstr>
      <vt:lpstr>DDP95</vt:lpstr>
      <vt:lpstr>DfT</vt:lpstr>
      <vt:lpstr>Disbursement</vt:lpstr>
      <vt:lpstr>Distribucion</vt:lpstr>
      <vt:lpstr>Downpayment</vt:lpstr>
      <vt:lpstr>DownpaymentP</vt:lpstr>
      <vt:lpstr>EAR</vt:lpstr>
      <vt:lpstr>FechaConsulta</vt:lpstr>
      <vt:lpstr>FechaDatos</vt:lpstr>
      <vt:lpstr>FechaInicio</vt:lpstr>
      <vt:lpstr>FinalNominal</vt:lpstr>
      <vt:lpstr>FinalReal</vt:lpstr>
      <vt:lpstr>Freq</vt:lpstr>
      <vt:lpstr>HorizonteAnios</vt:lpstr>
      <vt:lpstr>HorizonteMeses</vt:lpstr>
      <vt:lpstr>HorizonteMesesCorrida</vt:lpstr>
      <vt:lpstr>INFa</vt:lpstr>
      <vt:lpstr>INFb</vt:lpstr>
      <vt:lpstr>INFpi0</vt:lpstr>
      <vt:lpstr>INFsigma</vt:lpstr>
      <vt:lpstr>Installment</vt:lpstr>
      <vt:lpstr>LastBalance</vt:lpstr>
      <vt:lpstr>m</vt:lpstr>
      <vt:lpstr>MedianaMuestra</vt:lpstr>
      <vt:lpstr>MedianaNominal</vt:lpstr>
      <vt:lpstr>MedianaReal</vt:lpstr>
      <vt:lpstr>MediaReal</vt:lpstr>
      <vt:lpstr>Meta</vt:lpstr>
      <vt:lpstr>MetaCorrida</vt:lpstr>
      <vt:lpstr>ModeloOK</vt:lpstr>
      <vt:lpstr>MuCOLCAP</vt:lpstr>
      <vt:lpstr>MuTRM</vt:lpstr>
      <vt:lpstr>nInstallments</vt:lpstr>
      <vt:lpstr>NObsMin</vt:lpstr>
      <vt:lpstr>NOM</vt:lpstr>
      <vt:lpstr>NSim</vt:lpstr>
      <vt:lpstr>P25Real</vt:lpstr>
      <vt:lpstr>P5Muestra</vt:lpstr>
      <vt:lpstr>P5Real</vt:lpstr>
      <vt:lpstr>P75Real</vt:lpstr>
      <vt:lpstr>P95Real</vt:lpstr>
      <vt:lpstr>PerRate</vt:lpstr>
      <vt:lpstr>PesoCDT</vt:lpstr>
      <vt:lpstr>PesoCDTCorrida</vt:lpstr>
      <vt:lpstr>PesoCOLCAP</vt:lpstr>
      <vt:lpstr>PesoCOLCAPCorrida</vt:lpstr>
      <vt:lpstr>PesoUSD</vt:lpstr>
      <vt:lpstr>PesoUSDCorrida</vt:lpstr>
      <vt:lpstr>PMeta</vt:lpstr>
      <vt:lpstr>PMetaMuestra</vt:lpstr>
      <vt:lpstr>PPerdidaReal</vt:lpstr>
      <vt:lpstr>Principal</vt:lpstr>
      <vt:lpstr>Rebalanceo</vt:lpstr>
      <vt:lpstr>RebalanceoCorrida</vt:lpstr>
      <vt:lpstr>Retencion</vt:lpstr>
      <vt:lpstr>RetencionCorrida</vt:lpstr>
      <vt:lpstr>Seed</vt:lpstr>
      <vt:lpstr>SigmaCOLCAP</vt:lpstr>
      <vt:lpstr>SigmaTRM</vt:lpstr>
      <vt:lpstr>SumaPesos</vt:lpstr>
      <vt:lpstr>SumXfd</vt:lpstr>
      <vt:lpstr>Term</vt:lpstr>
      <vt:lpstr>TotalAportado</vt:lpstr>
      <vt:lpstr>VaR95</vt:lpstr>
      <vt:lpstr>VentanaAnios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DAVID PEÑARANDA PEREZ</cp:lastModifiedBy>
  <dcterms:created xsi:type="dcterms:W3CDTF">2026-09-30T04:13:08Z</dcterms:created>
  <dcterms:modified xsi:type="dcterms:W3CDTF">2026-09-30T04:13:18Z</dcterms:modified>
</cp:coreProperties>
</file>